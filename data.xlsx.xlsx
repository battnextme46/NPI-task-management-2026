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7.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charts/chart14.xml" ContentType="application/vnd.openxmlformats-officedocument.drawingml.chart+xml"/>
  <Override PartName="/xl/drawings/drawing3.xml" ContentType="application/vnd.openxmlformats-officedocument.drawing+xml"/>
  <Override PartName="/xl/tables/table1.xml" ContentType="application/vnd.openxmlformats-officedocument.spreadsheetml.table+xml"/>
  <Override PartName="/xl/slicers/slicer3.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codeName="ThisWorkbook" hidePivotFieldList="1" defaultThemeVersion="166925"/>
  <mc:AlternateContent xmlns:mc="http://schemas.openxmlformats.org/markup-compatibility/2006">
    <mc:Choice Requires="x15">
      <x15ac:absPath xmlns:x15ac="http://schemas.microsoft.com/office/spreadsheetml/2010/11/ac" url="https://asiamagneticwinding-my.sharepoint.com/personal/npi25_amw-ems_com/Documents/"/>
    </mc:Choice>
  </mc:AlternateContent>
  <xr:revisionPtr revIDLastSave="0" documentId="8_{6B710859-64CD-4D8F-A9AA-604100B552F7}" xr6:coauthVersionLast="47" xr6:coauthVersionMax="47" xr10:uidLastSave="{00000000-0000-0000-0000-000000000000}"/>
  <bookViews>
    <workbookView xWindow="-110" yWindow="-110" windowWidth="23260" windowHeight="12580" tabRatio="756" firstSheet="2" activeTab="2" xr2:uid="{AFB4FFA2-BB45-4947-9C1C-B2512E19EE13}"/>
  </bookViews>
  <sheets>
    <sheet name="Dashboard Monthly" sheetId="14" r:id="rId1"/>
    <sheet name="Dashboard Weekly" sheetId="11" r:id="rId2"/>
    <sheet name="Schedule2026" sheetId="5" r:id="rId3"/>
    <sheet name="Refer" sheetId="2" r:id="rId4"/>
    <sheet name="Pivot monthly" sheetId="13" r:id="rId5"/>
    <sheet name="Pivot" sheetId="10" r:id="rId6"/>
    <sheet name="Progress report" sheetId="23" r:id="rId7"/>
    <sheet name="Sheet6" sheetId="21" r:id="rId8"/>
  </sheets>
  <definedNames>
    <definedName name="category">Table10[Category]</definedName>
    <definedName name="Name">Table1[Name List]</definedName>
    <definedName name="Slicer_Month">#N/A</definedName>
    <definedName name="Slicer_OverDue_Aleart">#N/A</definedName>
    <definedName name="Slicer_PIC">#N/A</definedName>
    <definedName name="Slicer_Status">#N/A</definedName>
    <definedName name="Slicer_Type">#N/A</definedName>
    <definedName name="Slicer_WW">#N/A</definedName>
    <definedName name="Slicer_WW2">#N/A</definedName>
    <definedName name="task_name">Refer!$C$5:$C$45</definedName>
  </definedNames>
  <calcPr calcId="191028"/>
  <pivotCaches>
    <pivotCache cacheId="120" r:id="rId9"/>
    <pivotCache cacheId="132"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3"/>
        <x14:slicerCache r:id="rId14"/>
        <x14:slicerCache r:id="rId15"/>
        <x14:slicerCache r:id="rId16"/>
        <x14:slicerCache r:id="rId1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73" i="5" l="1"/>
  <c r="B673" i="5"/>
  <c r="C673" i="5"/>
  <c r="K673" i="5"/>
  <c r="M673" i="5" a="1"/>
  <c r="M673" i="5"/>
  <c r="A674" i="5"/>
  <c r="B674" i="5"/>
  <c r="C674" i="5"/>
  <c r="K674" i="5"/>
  <c r="M674" i="5" a="1"/>
  <c r="M674" i="5"/>
  <c r="A677" i="5"/>
  <c r="B677" i="5"/>
  <c r="C677" i="5"/>
  <c r="K677" i="5"/>
  <c r="M677" i="5" a="1"/>
  <c r="M677" i="5"/>
  <c r="A657" i="5"/>
  <c r="B657" i="5"/>
  <c r="C657" i="5"/>
  <c r="K657" i="5"/>
  <c r="M657" i="5" a="1"/>
  <c r="M657" i="5"/>
  <c r="A656" i="5"/>
  <c r="B656" i="5"/>
  <c r="C656" i="5"/>
  <c r="K656" i="5"/>
  <c r="M656" i="5" a="1"/>
  <c r="M656" i="5"/>
  <c r="A666" i="5"/>
  <c r="B666" i="5"/>
  <c r="C666" i="5"/>
  <c r="K666" i="5"/>
  <c r="M666" i="5" a="1"/>
  <c r="M666" i="5"/>
  <c r="A653" i="5"/>
  <c r="B653" i="5"/>
  <c r="C653" i="5"/>
  <c r="K653" i="5"/>
  <c r="M653" i="5" a="1"/>
  <c r="M653" i="5"/>
  <c r="A652" i="5"/>
  <c r="B652" i="5"/>
  <c r="C652" i="5"/>
  <c r="K652" i="5"/>
  <c r="M652" i="5" a="1"/>
  <c r="M652" i="5"/>
  <c r="A678" i="5"/>
  <c r="A671" i="5"/>
  <c r="B671" i="5"/>
  <c r="C671" i="5"/>
  <c r="K671" i="5"/>
  <c r="M671" i="5" a="1"/>
  <c r="M671" i="5"/>
  <c r="A660" i="5"/>
  <c r="B660" i="5"/>
  <c r="C660" i="5"/>
  <c r="K660" i="5"/>
  <c r="M660" i="5" a="1"/>
  <c r="M660" i="5"/>
  <c r="A661" i="5"/>
  <c r="B661" i="5"/>
  <c r="C661" i="5"/>
  <c r="K661" i="5"/>
  <c r="M661" i="5" a="1"/>
  <c r="M661" i="5"/>
  <c r="A651" i="5"/>
  <c r="B651" i="5"/>
  <c r="C651" i="5"/>
  <c r="K651" i="5"/>
  <c r="M651" i="5" a="1"/>
  <c r="M651" i="5"/>
  <c r="A665" i="5"/>
  <c r="B665" i="5"/>
  <c r="C665" i="5"/>
  <c r="K665" i="5"/>
  <c r="M665" i="5" a="1"/>
  <c r="M665" i="5"/>
  <c r="A676" i="5"/>
  <c r="B676" i="5"/>
  <c r="C676" i="5"/>
  <c r="K676" i="5"/>
  <c r="M676" i="5" a="1"/>
  <c r="M676" i="5"/>
  <c r="B678" i="5"/>
  <c r="A675" i="5"/>
  <c r="B675" i="5"/>
  <c r="C675" i="5"/>
  <c r="K675" i="5"/>
  <c r="M675" i="5" a="1"/>
  <c r="M675" i="5"/>
  <c r="A672" i="5"/>
  <c r="B672" i="5"/>
  <c r="C672" i="5"/>
  <c r="K672" i="5"/>
  <c r="M672" i="5" a="1"/>
  <c r="M672" i="5"/>
  <c r="A668" i="5"/>
  <c r="B668" i="5"/>
  <c r="C668" i="5"/>
  <c r="K668" i="5"/>
  <c r="M668" i="5" a="1"/>
  <c r="M668" i="5"/>
  <c r="A649" i="5"/>
  <c r="B649" i="5"/>
  <c r="C649" i="5"/>
  <c r="K649" i="5"/>
  <c r="M649" i="5" a="1"/>
  <c r="M649" i="5"/>
  <c r="A648" i="5"/>
  <c r="B648" i="5"/>
  <c r="C648" i="5"/>
  <c r="K648" i="5"/>
  <c r="M648" i="5" a="1"/>
  <c r="M648" i="5"/>
  <c r="A654" i="5"/>
  <c r="B654" i="5"/>
  <c r="C654" i="5"/>
  <c r="K654" i="5"/>
  <c r="M654" i="5" a="1"/>
  <c r="M654" i="5"/>
  <c r="A663" i="5"/>
  <c r="B663" i="5"/>
  <c r="C663" i="5"/>
  <c r="K663" i="5"/>
  <c r="M663" i="5" a="1"/>
  <c r="M663" i="5"/>
  <c r="A670" i="5"/>
  <c r="B670" i="5"/>
  <c r="C670" i="5"/>
  <c r="K670" i="5"/>
  <c r="M670" i="5" a="1"/>
  <c r="M670" i="5"/>
  <c r="A662" i="5"/>
  <c r="B662" i="5"/>
  <c r="C662" i="5"/>
  <c r="K662" i="5"/>
  <c r="M662" i="5" a="1"/>
  <c r="M662" i="5"/>
  <c r="A669" i="5"/>
  <c r="B669" i="5"/>
  <c r="C669" i="5"/>
  <c r="K669" i="5"/>
  <c r="M669" i="5" a="1"/>
  <c r="M669" i="5"/>
  <c r="A667" i="5"/>
  <c r="B667" i="5"/>
  <c r="C667" i="5"/>
  <c r="K667" i="5"/>
  <c r="M667" i="5" a="1"/>
  <c r="M667" i="5"/>
  <c r="A659" i="5"/>
  <c r="B659" i="5"/>
  <c r="C659" i="5"/>
  <c r="K659" i="5"/>
  <c r="M659" i="5" a="1"/>
  <c r="M659" i="5"/>
  <c r="A658" i="5"/>
  <c r="B658" i="5"/>
  <c r="C658" i="5"/>
  <c r="K658" i="5"/>
  <c r="M658" i="5" a="1"/>
  <c r="M658" i="5"/>
  <c r="A647" i="5"/>
  <c r="B647" i="5"/>
  <c r="C647" i="5"/>
  <c r="K647" i="5"/>
  <c r="M647" i="5" a="1"/>
  <c r="M647" i="5"/>
  <c r="A635" i="5"/>
  <c r="B635" i="5"/>
  <c r="C635" i="5"/>
  <c r="K635" i="5"/>
  <c r="M635" i="5" a="1"/>
  <c r="M635" i="5"/>
  <c r="A634" i="5"/>
  <c r="B634" i="5"/>
  <c r="C634" i="5"/>
  <c r="K634" i="5"/>
  <c r="M634" i="5" a="1"/>
  <c r="M634" i="5"/>
  <c r="A632" i="5"/>
  <c r="B632" i="5"/>
  <c r="C632" i="5"/>
  <c r="K632" i="5"/>
  <c r="M632" i="5" a="1"/>
  <c r="M632" i="5"/>
  <c r="A631" i="5"/>
  <c r="B631" i="5"/>
  <c r="C631" i="5"/>
  <c r="K631" i="5"/>
  <c r="M631" i="5" a="1"/>
  <c r="M631" i="5"/>
  <c r="A645" i="5"/>
  <c r="B645" i="5"/>
  <c r="C645" i="5"/>
  <c r="K645" i="5"/>
  <c r="M645" i="5" a="1"/>
  <c r="M645" i="5"/>
  <c r="A640" i="5"/>
  <c r="B640" i="5"/>
  <c r="C640" i="5"/>
  <c r="K640" i="5"/>
  <c r="M640" i="5" a="1"/>
  <c r="M640" i="5"/>
  <c r="A629" i="5"/>
  <c r="B629" i="5"/>
  <c r="C629" i="5"/>
  <c r="K629" i="5"/>
  <c r="M629" i="5" a="1"/>
  <c r="M629" i="5"/>
  <c r="A646" i="5"/>
  <c r="B646" i="5"/>
  <c r="C646" i="5"/>
  <c r="K646" i="5"/>
  <c r="M646" i="5" a="1"/>
  <c r="M646" i="5"/>
  <c r="A626" i="5"/>
  <c r="B626" i="5"/>
  <c r="C626" i="5"/>
  <c r="K626" i="5"/>
  <c r="M626" i="5" a="1"/>
  <c r="M626" i="5"/>
  <c r="A623" i="5"/>
  <c r="B623" i="5"/>
  <c r="C623" i="5"/>
  <c r="K623" i="5"/>
  <c r="M623" i="5" a="1"/>
  <c r="M623" i="5"/>
  <c r="A624" i="5"/>
  <c r="B624" i="5"/>
  <c r="C624" i="5"/>
  <c r="K624" i="5"/>
  <c r="M624" i="5" a="1"/>
  <c r="M624" i="5"/>
  <c r="A622" i="5"/>
  <c r="B622" i="5"/>
  <c r="C622" i="5"/>
  <c r="K622" i="5"/>
  <c r="M622" i="5" a="1"/>
  <c r="M622" i="5"/>
  <c r="A621" i="5"/>
  <c r="B621" i="5"/>
  <c r="C621" i="5"/>
  <c r="K621" i="5"/>
  <c r="M621" i="5" a="1"/>
  <c r="M621" i="5"/>
  <c r="A618" i="5"/>
  <c r="B618" i="5"/>
  <c r="C618" i="5"/>
  <c r="K618" i="5"/>
  <c r="M618" i="5" a="1"/>
  <c r="M618" i="5"/>
  <c r="A620" i="5"/>
  <c r="B620" i="5"/>
  <c r="C620" i="5"/>
  <c r="K620" i="5"/>
  <c r="M620" i="5" a="1"/>
  <c r="M620" i="5"/>
  <c r="K664" i="5"/>
  <c r="A617" i="5"/>
  <c r="B617" i="5"/>
  <c r="C617" i="5"/>
  <c r="K617" i="5"/>
  <c r="M617" i="5" a="1"/>
  <c r="M617" i="5"/>
  <c r="A627" i="5"/>
  <c r="B627" i="5"/>
  <c r="C627" i="5"/>
  <c r="K627" i="5"/>
  <c r="M627" i="5" a="1"/>
  <c r="M627" i="5"/>
  <c r="A619" i="5"/>
  <c r="B619" i="5"/>
  <c r="C619" i="5"/>
  <c r="K619" i="5"/>
  <c r="M619" i="5" a="1"/>
  <c r="M619" i="5"/>
  <c r="A615" i="5"/>
  <c r="B615" i="5"/>
  <c r="C615" i="5"/>
  <c r="K615" i="5"/>
  <c r="M615" i="5" a="1"/>
  <c r="M615" i="5"/>
  <c r="A650" i="5"/>
  <c r="B650" i="5"/>
  <c r="C650" i="5"/>
  <c r="K650" i="5"/>
  <c r="M650" i="5" a="1"/>
  <c r="M650" i="5"/>
  <c r="A637" i="5"/>
  <c r="B637" i="5"/>
  <c r="C637" i="5"/>
  <c r="K637" i="5"/>
  <c r="M637" i="5" a="1"/>
  <c r="M637" i="5"/>
  <c r="A641" i="5"/>
  <c r="B641" i="5"/>
  <c r="C641" i="5"/>
  <c r="K641" i="5"/>
  <c r="M641" i="5" a="1"/>
  <c r="M641" i="5"/>
  <c r="A639" i="5"/>
  <c r="B639" i="5"/>
  <c r="C639" i="5"/>
  <c r="K639" i="5"/>
  <c r="M639" i="5" a="1"/>
  <c r="M639" i="5"/>
  <c r="A638" i="5"/>
  <c r="B638" i="5"/>
  <c r="C638" i="5"/>
  <c r="K638" i="5"/>
  <c r="M638" i="5" a="1"/>
  <c r="M638" i="5"/>
  <c r="A664" i="5"/>
  <c r="B664" i="5"/>
  <c r="C664" i="5"/>
  <c r="M664" i="5" a="1"/>
  <c r="M664" i="5"/>
  <c r="A633" i="5"/>
  <c r="B633" i="5"/>
  <c r="C633" i="5"/>
  <c r="K633" i="5"/>
  <c r="M633" i="5" a="1"/>
  <c r="M633" i="5"/>
  <c r="A643" i="5"/>
  <c r="B643" i="5"/>
  <c r="C643" i="5"/>
  <c r="K643" i="5"/>
  <c r="M643" i="5" a="1"/>
  <c r="M643" i="5"/>
  <c r="A644" i="5"/>
  <c r="B644" i="5"/>
  <c r="C644" i="5"/>
  <c r="K644" i="5"/>
  <c r="M644" i="5" a="1"/>
  <c r="M644" i="5"/>
  <c r="A630" i="5"/>
  <c r="B630" i="5"/>
  <c r="C630" i="5"/>
  <c r="K630" i="5"/>
  <c r="M630" i="5" a="1"/>
  <c r="M630" i="5"/>
  <c r="A628" i="5"/>
  <c r="B628" i="5"/>
  <c r="C628" i="5"/>
  <c r="K628" i="5"/>
  <c r="M628" i="5" a="1"/>
  <c r="M628" i="5"/>
  <c r="A612" i="5"/>
  <c r="B612" i="5"/>
  <c r="C612" i="5"/>
  <c r="K612" i="5"/>
  <c r="M612" i="5" a="1"/>
  <c r="M612" i="5"/>
  <c r="A614" i="5"/>
  <c r="B614" i="5"/>
  <c r="C614" i="5"/>
  <c r="K614" i="5"/>
  <c r="M614" i="5" a="1"/>
  <c r="M614" i="5"/>
  <c r="C678" i="5"/>
  <c r="K678" i="5"/>
  <c r="M678" i="5" a="1"/>
  <c r="M678" i="5"/>
  <c r="A642" i="5"/>
  <c r="B642" i="5"/>
  <c r="C642" i="5"/>
  <c r="K642" i="5"/>
  <c r="M642" i="5" a="1"/>
  <c r="M642" i="5"/>
  <c r="A636" i="5"/>
  <c r="B636" i="5"/>
  <c r="C636" i="5"/>
  <c r="K636" i="5"/>
  <c r="M636" i="5" a="1"/>
  <c r="M636" i="5"/>
  <c r="A625" i="5"/>
  <c r="B625" i="5"/>
  <c r="C625" i="5"/>
  <c r="K625" i="5"/>
  <c r="M625" i="5" a="1"/>
  <c r="M625" i="5"/>
  <c r="A613" i="5"/>
  <c r="B613" i="5"/>
  <c r="C613" i="5"/>
  <c r="K613" i="5"/>
  <c r="M613" i="5" a="1"/>
  <c r="M613" i="5"/>
  <c r="A611" i="5"/>
  <c r="B611" i="5"/>
  <c r="C611" i="5"/>
  <c r="K611" i="5"/>
  <c r="M611" i="5" a="1"/>
  <c r="M611" i="5"/>
  <c r="A600" i="5"/>
  <c r="B600" i="5"/>
  <c r="C600" i="5"/>
  <c r="K600" i="5"/>
  <c r="M600" i="5" a="1"/>
  <c r="M600" i="5"/>
  <c r="A609" i="5"/>
  <c r="B609" i="5"/>
  <c r="C609" i="5"/>
  <c r="K609" i="5"/>
  <c r="M609" i="5" a="1"/>
  <c r="M609" i="5"/>
  <c r="A591" i="5"/>
  <c r="B591" i="5"/>
  <c r="C591" i="5"/>
  <c r="K591" i="5"/>
  <c r="M591" i="5" a="1"/>
  <c r="M591" i="5"/>
  <c r="A602" i="5"/>
  <c r="B602" i="5"/>
  <c r="C602" i="5"/>
  <c r="K602" i="5"/>
  <c r="M602" i="5" a="1"/>
  <c r="M602" i="5"/>
  <c r="A610" i="5"/>
  <c r="B610" i="5"/>
  <c r="C610" i="5"/>
  <c r="K610" i="5"/>
  <c r="M610" i="5" a="1"/>
  <c r="M610" i="5"/>
  <c r="A605" i="5"/>
  <c r="B605" i="5"/>
  <c r="C605" i="5"/>
  <c r="K605" i="5"/>
  <c r="M605" i="5" a="1"/>
  <c r="M605" i="5"/>
  <c r="A590" i="5"/>
  <c r="B590" i="5"/>
  <c r="C590" i="5"/>
  <c r="K590" i="5"/>
  <c r="M590" i="5" a="1"/>
  <c r="M590" i="5"/>
  <c r="A589" i="5"/>
  <c r="B589" i="5"/>
  <c r="C589" i="5"/>
  <c r="K589" i="5"/>
  <c r="M589" i="5" a="1"/>
  <c r="M589" i="5"/>
  <c r="A599" i="5"/>
  <c r="B599" i="5"/>
  <c r="C599" i="5"/>
  <c r="K599" i="5"/>
  <c r="M599" i="5" a="1"/>
  <c r="M599" i="5"/>
  <c r="A595" i="5"/>
  <c r="B595" i="5"/>
  <c r="C595" i="5"/>
  <c r="K595" i="5"/>
  <c r="M595" i="5" a="1"/>
  <c r="M595" i="5"/>
  <c r="A608" i="5"/>
  <c r="B608" i="5"/>
  <c r="C608" i="5"/>
  <c r="K608" i="5"/>
  <c r="M608" i="5" a="1"/>
  <c r="M608" i="5"/>
  <c r="B607" i="5"/>
  <c r="A607" i="5"/>
  <c r="C607" i="5"/>
  <c r="K607" i="5"/>
  <c r="M607" i="5" a="1"/>
  <c r="M607" i="5"/>
  <c r="A598" i="5"/>
  <c r="B598" i="5"/>
  <c r="C598" i="5"/>
  <c r="K598" i="5"/>
  <c r="M598" i="5" a="1"/>
  <c r="M598" i="5"/>
  <c r="A604" i="5"/>
  <c r="B604" i="5"/>
  <c r="C604" i="5"/>
  <c r="K604" i="5"/>
  <c r="M604" i="5" a="1"/>
  <c r="M604" i="5"/>
  <c r="A606" i="5"/>
  <c r="B606" i="5"/>
  <c r="C606" i="5"/>
  <c r="K606" i="5"/>
  <c r="M606" i="5" a="1"/>
  <c r="M606" i="5"/>
  <c r="A597" i="5"/>
  <c r="B597" i="5"/>
  <c r="C597" i="5"/>
  <c r="K597" i="5"/>
  <c r="M597" i="5" a="1"/>
  <c r="M597" i="5"/>
  <c r="A601" i="5"/>
  <c r="B601" i="5"/>
  <c r="C601" i="5"/>
  <c r="K601" i="5"/>
  <c r="M601" i="5" a="1"/>
  <c r="M601" i="5"/>
  <c r="A655" i="5"/>
  <c r="B655" i="5"/>
  <c r="C655" i="5"/>
  <c r="K655" i="5"/>
  <c r="M655" i="5" a="1"/>
  <c r="M655" i="5"/>
  <c r="A586" i="5"/>
  <c r="B586" i="5"/>
  <c r="C586" i="5"/>
  <c r="K586" i="5"/>
  <c r="M586" i="5" a="1"/>
  <c r="M586" i="5"/>
  <c r="A579" i="5"/>
  <c r="B579" i="5"/>
  <c r="C579" i="5"/>
  <c r="K579" i="5"/>
  <c r="M579" i="5" a="1"/>
  <c r="M579" i="5"/>
  <c r="A580" i="5"/>
  <c r="B580" i="5"/>
  <c r="C580" i="5"/>
  <c r="K580" i="5"/>
  <c r="M580" i="5" a="1"/>
  <c r="M580" i="5"/>
  <c r="A581" i="5"/>
  <c r="B581" i="5"/>
  <c r="C581" i="5"/>
  <c r="K581" i="5"/>
  <c r="M581" i="5" a="1"/>
  <c r="M581" i="5"/>
  <c r="A578" i="5"/>
  <c r="B578" i="5"/>
  <c r="C578" i="5"/>
  <c r="K578" i="5"/>
  <c r="M578" i="5" a="1"/>
  <c r="M578" i="5"/>
  <c r="A616" i="5"/>
  <c r="B616" i="5"/>
  <c r="C616" i="5"/>
  <c r="K616" i="5"/>
  <c r="M616" i="5" a="1"/>
  <c r="M616" i="5"/>
  <c r="A592" i="5"/>
  <c r="B592" i="5"/>
  <c r="C592" i="5"/>
  <c r="K592" i="5"/>
  <c r="M592" i="5" a="1"/>
  <c r="M592" i="5"/>
  <c r="C603" i="5"/>
  <c r="A603" i="5"/>
  <c r="B603" i="5"/>
  <c r="K603" i="5"/>
  <c r="M603" i="5" a="1"/>
  <c r="M603" i="5"/>
  <c r="A594" i="5"/>
  <c r="B594" i="5"/>
  <c r="C594" i="5"/>
  <c r="K594" i="5"/>
  <c r="M594" i="5" a="1"/>
  <c r="M594" i="5"/>
  <c r="A587" i="5"/>
  <c r="B587" i="5"/>
  <c r="C587" i="5"/>
  <c r="K587" i="5"/>
  <c r="M587" i="5" a="1"/>
  <c r="M587" i="5"/>
  <c r="A565" i="5"/>
  <c r="B565" i="5"/>
  <c r="C565" i="5"/>
  <c r="K565" i="5"/>
  <c r="M565" i="5" a="1"/>
  <c r="M565" i="5"/>
  <c r="A585" i="5"/>
  <c r="B585" i="5"/>
  <c r="C585" i="5"/>
  <c r="K585" i="5"/>
  <c r="M585" i="5" a="1"/>
  <c r="M585" i="5"/>
  <c r="A563" i="5"/>
  <c r="B563" i="5"/>
  <c r="C563" i="5"/>
  <c r="K563" i="5"/>
  <c r="M563" i="5" a="1"/>
  <c r="M563" i="5"/>
  <c r="A584" i="5"/>
  <c r="B584" i="5"/>
  <c r="C584" i="5"/>
  <c r="K584" i="5"/>
  <c r="M584" i="5" a="1"/>
  <c r="M584" i="5"/>
  <c r="A575" i="5"/>
  <c r="B575" i="5"/>
  <c r="C575" i="5"/>
  <c r="K575" i="5"/>
  <c r="M575" i="5" a="1"/>
  <c r="M575" i="5"/>
  <c r="A583" i="5"/>
  <c r="B583" i="5"/>
  <c r="C583" i="5"/>
  <c r="K583" i="5"/>
  <c r="M583" i="5" a="1"/>
  <c r="M583" i="5"/>
  <c r="A571" i="5"/>
  <c r="B571" i="5"/>
  <c r="C571" i="5"/>
  <c r="K571" i="5"/>
  <c r="M571" i="5" a="1"/>
  <c r="M571" i="5"/>
  <c r="A569" i="5"/>
  <c r="B569" i="5"/>
  <c r="C569" i="5"/>
  <c r="K569" i="5"/>
  <c r="M569" i="5" a="1"/>
  <c r="M569" i="5"/>
  <c r="A574" i="5"/>
  <c r="B574" i="5"/>
  <c r="C574" i="5"/>
  <c r="K574" i="5"/>
  <c r="M574" i="5" a="1"/>
  <c r="M574" i="5"/>
  <c r="A576" i="5"/>
  <c r="B576" i="5"/>
  <c r="C576" i="5"/>
  <c r="K576" i="5"/>
  <c r="M576" i="5" a="1"/>
  <c r="M576" i="5"/>
  <c r="A570" i="5"/>
  <c r="B570" i="5"/>
  <c r="C570" i="5"/>
  <c r="K570" i="5"/>
  <c r="M570" i="5" a="1"/>
  <c r="M570" i="5"/>
  <c r="A582" i="5"/>
  <c r="B582" i="5"/>
  <c r="C582" i="5"/>
  <c r="K582" i="5"/>
  <c r="M582" i="5" a="1"/>
  <c r="M582" i="5"/>
  <c r="A573" i="5"/>
  <c r="B573" i="5"/>
  <c r="C573" i="5"/>
  <c r="K573" i="5"/>
  <c r="M573" i="5" a="1"/>
  <c r="M573" i="5"/>
  <c r="A560" i="5"/>
  <c r="B560" i="5"/>
  <c r="C560" i="5"/>
  <c r="K560" i="5"/>
  <c r="M560" i="5" a="1"/>
  <c r="M560" i="5"/>
  <c r="B564" i="5"/>
  <c r="C564" i="5"/>
  <c r="K564" i="5"/>
  <c r="M564" i="5" a="1"/>
  <c r="M564" i="5"/>
  <c r="A564" i="5"/>
  <c r="A588" i="5"/>
  <c r="B588" i="5"/>
  <c r="C588" i="5"/>
  <c r="K588" i="5"/>
  <c r="M588" i="5" a="1"/>
  <c r="M588" i="5"/>
  <c r="A572" i="5"/>
  <c r="B572" i="5"/>
  <c r="C572" i="5"/>
  <c r="K572" i="5"/>
  <c r="M572" i="5" a="1"/>
  <c r="M572" i="5"/>
  <c r="A566" i="5"/>
  <c r="B566" i="5"/>
  <c r="C566" i="5"/>
  <c r="K566" i="5"/>
  <c r="M566" i="5" a="1"/>
  <c r="M566" i="5"/>
  <c r="A577" i="5"/>
  <c r="B577" i="5"/>
  <c r="C577" i="5"/>
  <c r="K577" i="5"/>
  <c r="M577" i="5" a="1"/>
  <c r="M577" i="5"/>
  <c r="A558" i="5"/>
  <c r="B558" i="5"/>
  <c r="C558" i="5"/>
  <c r="K558" i="5"/>
  <c r="M558" i="5" a="1"/>
  <c r="M558" i="5"/>
  <c r="A540" i="5"/>
  <c r="B540" i="5"/>
  <c r="C540" i="5"/>
  <c r="K540" i="5"/>
  <c r="M540" i="5" a="1"/>
  <c r="M540" i="5"/>
  <c r="A541" i="5"/>
  <c r="B541" i="5"/>
  <c r="C541" i="5"/>
  <c r="K541" i="5"/>
  <c r="M541" i="5" a="1"/>
  <c r="M541" i="5"/>
  <c r="A561" i="5"/>
  <c r="B561" i="5"/>
  <c r="C561" i="5"/>
  <c r="K561" i="5"/>
  <c r="M561" i="5" a="1"/>
  <c r="M561" i="5"/>
  <c r="A568" i="5"/>
  <c r="B568" i="5"/>
  <c r="C568" i="5"/>
  <c r="K568" i="5"/>
  <c r="M568" i="5" a="1"/>
  <c r="M568" i="5"/>
  <c r="A567" i="5"/>
  <c r="B567" i="5"/>
  <c r="C567" i="5"/>
  <c r="K567" i="5"/>
  <c r="M567" i="5" a="1"/>
  <c r="M567" i="5"/>
  <c r="A557" i="5"/>
  <c r="B557" i="5"/>
  <c r="C557" i="5"/>
  <c r="K557" i="5"/>
  <c r="M557" i="5" a="1"/>
  <c r="M557" i="5"/>
  <c r="A556" i="5"/>
  <c r="B556" i="5"/>
  <c r="C556" i="5"/>
  <c r="K556" i="5"/>
  <c r="M556" i="5" a="1"/>
  <c r="M556" i="5"/>
  <c r="A555" i="5"/>
  <c r="B555" i="5"/>
  <c r="C555" i="5"/>
  <c r="K555" i="5"/>
  <c r="M555" i="5" a="1"/>
  <c r="M555" i="5"/>
  <c r="A554" i="5"/>
  <c r="B554" i="5"/>
  <c r="C554" i="5"/>
  <c r="K554" i="5"/>
  <c r="M554" i="5" a="1"/>
  <c r="M554" i="5"/>
  <c r="A553" i="5"/>
  <c r="B553" i="5"/>
  <c r="C553" i="5"/>
  <c r="K553" i="5"/>
  <c r="M553" i="5" a="1"/>
  <c r="M553" i="5"/>
  <c r="A552" i="5"/>
  <c r="B552" i="5"/>
  <c r="C552" i="5"/>
  <c r="K552" i="5"/>
  <c r="M552" i="5" a="1"/>
  <c r="M552" i="5"/>
  <c r="A551" i="5"/>
  <c r="B551" i="5"/>
  <c r="C551" i="5"/>
  <c r="K551" i="5"/>
  <c r="M551" i="5" a="1"/>
  <c r="M551" i="5"/>
  <c r="A550" i="5"/>
  <c r="B550" i="5"/>
  <c r="C550" i="5"/>
  <c r="K550" i="5"/>
  <c r="M550" i="5" a="1"/>
  <c r="M550" i="5"/>
  <c r="A548" i="5"/>
  <c r="B548" i="5"/>
  <c r="C548" i="5"/>
  <c r="K548" i="5"/>
  <c r="M548" i="5" a="1"/>
  <c r="M548" i="5"/>
  <c r="A547" i="5"/>
  <c r="B547" i="5"/>
  <c r="C547" i="5"/>
  <c r="K547" i="5"/>
  <c r="M547" i="5" a="1"/>
  <c r="M547" i="5"/>
  <c r="A549" i="5"/>
  <c r="B549" i="5"/>
  <c r="C549" i="5"/>
  <c r="K549" i="5"/>
  <c r="M549" i="5" a="1"/>
  <c r="M549" i="5"/>
  <c r="C535" i="5"/>
  <c r="A535" i="5"/>
  <c r="B535" i="5"/>
  <c r="K535" i="5"/>
  <c r="M535" i="5" a="1"/>
  <c r="M535" i="5"/>
  <c r="K543" i="5"/>
  <c r="C543" i="5"/>
  <c r="K542" i="5"/>
  <c r="C542" i="5"/>
  <c r="A543" i="5"/>
  <c r="B543" i="5"/>
  <c r="M543" i="5" a="1"/>
  <c r="M543" i="5"/>
  <c r="A542" i="5"/>
  <c r="B542" i="5"/>
  <c r="M542" i="5" a="1"/>
  <c r="M542" i="5"/>
  <c r="A559" i="5"/>
  <c r="B559" i="5"/>
  <c r="C559" i="5"/>
  <c r="K559" i="5"/>
  <c r="M559" i="5" a="1"/>
  <c r="M559" i="5"/>
  <c r="A562" i="5"/>
  <c r="B562" i="5"/>
  <c r="C562" i="5"/>
  <c r="K562" i="5"/>
  <c r="M562" i="5" a="1"/>
  <c r="M562" i="5"/>
  <c r="A546" i="5"/>
  <c r="B546" i="5"/>
  <c r="C546" i="5"/>
  <c r="K546" i="5"/>
  <c r="M546" i="5" a="1"/>
  <c r="M546" i="5"/>
  <c r="C545" i="5"/>
  <c r="A545" i="5"/>
  <c r="B545" i="5"/>
  <c r="K545" i="5"/>
  <c r="M545" i="5" a="1"/>
  <c r="M545" i="5"/>
  <c r="A544" i="5"/>
  <c r="B544" i="5"/>
  <c r="C544" i="5"/>
  <c r="K544" i="5"/>
  <c r="M544" i="5" a="1"/>
  <c r="M544" i="5"/>
  <c r="A539" i="5"/>
  <c r="B539" i="5"/>
  <c r="C539" i="5"/>
  <c r="K539" i="5"/>
  <c r="M539" i="5" a="1"/>
  <c r="M539" i="5"/>
  <c r="A538" i="5"/>
  <c r="B538" i="5"/>
  <c r="C538" i="5"/>
  <c r="K538" i="5"/>
  <c r="M538" i="5" a="1"/>
  <c r="M538" i="5"/>
  <c r="A537" i="5"/>
  <c r="B537" i="5"/>
  <c r="C537" i="5"/>
  <c r="K537" i="5"/>
  <c r="M537" i="5" a="1"/>
  <c r="M537" i="5"/>
  <c r="A536" i="5"/>
  <c r="B536" i="5"/>
  <c r="C536" i="5"/>
  <c r="K536" i="5"/>
  <c r="M536" i="5" a="1"/>
  <c r="M536" i="5"/>
  <c r="C534" i="5"/>
  <c r="A534" i="5"/>
  <c r="B534" i="5"/>
  <c r="K534" i="5"/>
  <c r="M534" i="5" a="1"/>
  <c r="M534" i="5"/>
  <c r="A533" i="5"/>
  <c r="B533" i="5"/>
  <c r="C533" i="5"/>
  <c r="K533" i="5"/>
  <c r="M533" i="5" a="1"/>
  <c r="M533" i="5"/>
  <c r="C510" i="5"/>
  <c r="A510" i="5"/>
  <c r="B510" i="5"/>
  <c r="K510" i="5"/>
  <c r="M510" i="5" a="1"/>
  <c r="M510" i="5"/>
  <c r="C509" i="5"/>
  <c r="A509" i="5"/>
  <c r="B509" i="5"/>
  <c r="K509" i="5"/>
  <c r="M509" i="5" a="1"/>
  <c r="M509" i="5"/>
  <c r="B508" i="5"/>
  <c r="A508" i="5"/>
  <c r="C508" i="5"/>
  <c r="K508" i="5"/>
  <c r="M508" i="5" a="1"/>
  <c r="M508" i="5"/>
  <c r="A521" i="5"/>
  <c r="B521" i="5"/>
  <c r="C521" i="5"/>
  <c r="K521" i="5"/>
  <c r="M521" i="5" a="1"/>
  <c r="M521" i="5"/>
  <c r="A498" i="5"/>
  <c r="B498" i="5"/>
  <c r="C498" i="5"/>
  <c r="K498" i="5"/>
  <c r="M498" i="5" a="1"/>
  <c r="M498" i="5"/>
  <c r="C532" i="5"/>
  <c r="A532" i="5"/>
  <c r="B532" i="5"/>
  <c r="K532" i="5"/>
  <c r="M532" i="5" a="1"/>
  <c r="M532" i="5"/>
  <c r="C531" i="5"/>
  <c r="A531" i="5"/>
  <c r="B531" i="5"/>
  <c r="K531" i="5"/>
  <c r="M531" i="5" a="1"/>
  <c r="M531" i="5"/>
  <c r="C530" i="5"/>
  <c r="A530" i="5"/>
  <c r="B530" i="5"/>
  <c r="K530" i="5"/>
  <c r="M530" i="5" a="1"/>
  <c r="M530" i="5"/>
  <c r="A529" i="5"/>
  <c r="B529" i="5"/>
  <c r="C529" i="5"/>
  <c r="K529" i="5"/>
  <c r="M529" i="5" a="1"/>
  <c r="M529" i="5"/>
  <c r="A593" i="5"/>
  <c r="B593" i="5"/>
  <c r="C593" i="5"/>
  <c r="K593" i="5"/>
  <c r="M593" i="5" a="1"/>
  <c r="M593" i="5"/>
  <c r="A528" i="5"/>
  <c r="B528" i="5"/>
  <c r="C528" i="5"/>
  <c r="K528" i="5"/>
  <c r="M528" i="5" a="1"/>
  <c r="M528" i="5"/>
  <c r="A497" i="5"/>
  <c r="B497" i="5"/>
  <c r="C497" i="5"/>
  <c r="K497" i="5"/>
  <c r="M497" i="5" a="1"/>
  <c r="M497" i="5"/>
  <c r="B527" i="5"/>
  <c r="A496" i="5"/>
  <c r="B496" i="5"/>
  <c r="C496" i="5"/>
  <c r="K496" i="5"/>
  <c r="M496" i="5" a="1"/>
  <c r="M496" i="5"/>
  <c r="A494" i="5"/>
  <c r="B494" i="5"/>
  <c r="C494" i="5"/>
  <c r="K494" i="5"/>
  <c r="M494" i="5" a="1"/>
  <c r="M494" i="5"/>
  <c r="A516" i="5"/>
  <c r="B516" i="5"/>
  <c r="C516" i="5"/>
  <c r="K516" i="5"/>
  <c r="M516" i="5" a="1"/>
  <c r="M516" i="5"/>
  <c r="A518" i="5"/>
  <c r="B518" i="5"/>
  <c r="C518" i="5"/>
  <c r="K518" i="5"/>
  <c r="M518" i="5" a="1"/>
  <c r="M518" i="5"/>
  <c r="A527" i="5"/>
  <c r="C527" i="5"/>
  <c r="K527" i="5"/>
  <c r="M527" i="5" a="1"/>
  <c r="M527" i="5"/>
  <c r="A526" i="5"/>
  <c r="B526" i="5"/>
  <c r="C526" i="5"/>
  <c r="K526" i="5"/>
  <c r="M526" i="5" a="1"/>
  <c r="M526" i="5"/>
  <c r="A525" i="5"/>
  <c r="B525" i="5"/>
  <c r="C525" i="5"/>
  <c r="K525" i="5"/>
  <c r="M525" i="5" a="1"/>
  <c r="M525" i="5"/>
  <c r="A524" i="5"/>
  <c r="B524" i="5"/>
  <c r="C524" i="5"/>
  <c r="K524" i="5"/>
  <c r="M524" i="5" a="1"/>
  <c r="M524" i="5"/>
  <c r="A523" i="5"/>
  <c r="B523" i="5"/>
  <c r="C523" i="5"/>
  <c r="K523" i="5"/>
  <c r="M523" i="5" a="1"/>
  <c r="M523" i="5"/>
  <c r="A517" i="5"/>
  <c r="B517" i="5"/>
  <c r="C517" i="5"/>
  <c r="K517" i="5"/>
  <c r="M517" i="5" a="1"/>
  <c r="M517" i="5"/>
  <c r="A522" i="5"/>
  <c r="B522" i="5"/>
  <c r="C522" i="5"/>
  <c r="K522" i="5"/>
  <c r="M522" i="5" a="1"/>
  <c r="M522" i="5"/>
  <c r="A520" i="5"/>
  <c r="B520" i="5"/>
  <c r="C520" i="5"/>
  <c r="K520" i="5"/>
  <c r="M520" i="5" a="1"/>
  <c r="M520" i="5"/>
  <c r="A495" i="5"/>
  <c r="B495" i="5"/>
  <c r="C495" i="5"/>
  <c r="K495" i="5"/>
  <c r="M495" i="5" a="1"/>
  <c r="M495" i="5"/>
  <c r="A519" i="5"/>
  <c r="B519" i="5"/>
  <c r="C519" i="5"/>
  <c r="K519" i="5"/>
  <c r="M519" i="5" a="1"/>
  <c r="M519" i="5"/>
  <c r="A515" i="5"/>
  <c r="B515" i="5"/>
  <c r="C515" i="5"/>
  <c r="K515" i="5"/>
  <c r="M515" i="5" a="1"/>
  <c r="M515" i="5"/>
  <c r="A511" i="5"/>
  <c r="B511" i="5"/>
  <c r="C511" i="5"/>
  <c r="K511" i="5"/>
  <c r="M511" i="5" a="1"/>
  <c r="M511" i="5"/>
  <c r="A512" i="5"/>
  <c r="B512" i="5"/>
  <c r="C512" i="5"/>
  <c r="K512" i="5"/>
  <c r="M512" i="5" a="1"/>
  <c r="M512" i="5"/>
  <c r="A514" i="5"/>
  <c r="B514" i="5"/>
  <c r="C514" i="5"/>
  <c r="K514" i="5"/>
  <c r="M514" i="5" a="1"/>
  <c r="M514" i="5"/>
  <c r="A513" i="5"/>
  <c r="B513" i="5"/>
  <c r="C513" i="5"/>
  <c r="K513" i="5"/>
  <c r="M513" i="5" a="1"/>
  <c r="M513" i="5"/>
  <c r="A472" i="5"/>
  <c r="B472" i="5"/>
  <c r="C472" i="5"/>
  <c r="K472" i="5"/>
  <c r="M472" i="5" a="1"/>
  <c r="M472" i="5"/>
  <c r="A471" i="5"/>
  <c r="B471" i="5"/>
  <c r="C471" i="5"/>
  <c r="K471" i="5"/>
  <c r="M471" i="5" a="1"/>
  <c r="M471" i="5"/>
  <c r="A470" i="5"/>
  <c r="B470" i="5"/>
  <c r="C470" i="5"/>
  <c r="K470" i="5"/>
  <c r="M470" i="5" a="1"/>
  <c r="M470" i="5"/>
  <c r="A507" i="5"/>
  <c r="B507" i="5"/>
  <c r="C507" i="5"/>
  <c r="K507" i="5"/>
  <c r="M507" i="5" a="1"/>
  <c r="M507" i="5"/>
  <c r="A506" i="5"/>
  <c r="B506" i="5"/>
  <c r="C506" i="5"/>
  <c r="K506" i="5"/>
  <c r="M506" i="5" a="1"/>
  <c r="M506" i="5"/>
  <c r="A504" i="5"/>
  <c r="B504" i="5"/>
  <c r="C504" i="5"/>
  <c r="K504" i="5"/>
  <c r="M504" i="5" a="1"/>
  <c r="M504" i="5"/>
  <c r="A492" i="5"/>
  <c r="B492" i="5"/>
  <c r="C492" i="5"/>
  <c r="K492" i="5"/>
  <c r="M492" i="5" a="1"/>
  <c r="M492" i="5"/>
  <c r="A479" i="5"/>
  <c r="B479" i="5"/>
  <c r="C479" i="5"/>
  <c r="K479" i="5"/>
  <c r="M479" i="5" a="1"/>
  <c r="M479" i="5"/>
  <c r="A481" i="5"/>
  <c r="B481" i="5"/>
  <c r="C481" i="5"/>
  <c r="K481" i="5"/>
  <c r="M481" i="5" a="1"/>
  <c r="M481" i="5"/>
  <c r="A467" i="5"/>
  <c r="B467" i="5"/>
  <c r="C467" i="5"/>
  <c r="K467" i="5"/>
  <c r="M467" i="5" a="1"/>
  <c r="M467" i="5"/>
  <c r="A596" i="5"/>
  <c r="B596" i="5"/>
  <c r="C596" i="5"/>
  <c r="K596" i="5"/>
  <c r="M596" i="5" a="1"/>
  <c r="M596" i="5"/>
  <c r="A501" i="5"/>
  <c r="B501" i="5"/>
  <c r="C501" i="5"/>
  <c r="K501" i="5"/>
  <c r="M501" i="5" a="1"/>
  <c r="M501" i="5"/>
  <c r="A485" i="5"/>
  <c r="B485" i="5"/>
  <c r="C485" i="5"/>
  <c r="K485" i="5"/>
  <c r="M485" i="5" a="1"/>
  <c r="M485" i="5"/>
  <c r="C482" i="5"/>
  <c r="A482" i="5"/>
  <c r="B482" i="5"/>
  <c r="K482" i="5"/>
  <c r="M482" i="5" a="1"/>
  <c r="M482" i="5"/>
  <c r="A484" i="5"/>
  <c r="B484" i="5"/>
  <c r="C484" i="5"/>
  <c r="K484" i="5"/>
  <c r="M484" i="5" a="1"/>
  <c r="M484" i="5"/>
  <c r="A505" i="5"/>
  <c r="B505" i="5"/>
  <c r="C505" i="5"/>
  <c r="K505" i="5"/>
  <c r="M505" i="5" a="1"/>
  <c r="M505" i="5"/>
  <c r="A502" i="5"/>
  <c r="B502" i="5"/>
  <c r="C502" i="5"/>
  <c r="K502" i="5"/>
  <c r="M502" i="5" a="1"/>
  <c r="M502" i="5"/>
  <c r="B466" i="5"/>
  <c r="C466" i="5"/>
  <c r="K466" i="5"/>
  <c r="M466" i="5" a="1"/>
  <c r="M466" i="5"/>
  <c r="A466" i="5"/>
  <c r="A449" i="5"/>
  <c r="B449" i="5"/>
  <c r="C449" i="5"/>
  <c r="K449" i="5"/>
  <c r="M449" i="5" a="1"/>
  <c r="M449" i="5"/>
  <c r="A351" i="5"/>
  <c r="B351" i="5"/>
  <c r="C351" i="5"/>
  <c r="K351" i="5"/>
  <c r="M351" i="5" a="1"/>
  <c r="M351" i="5"/>
  <c r="A350" i="5"/>
  <c r="B350" i="5"/>
  <c r="C350" i="5"/>
  <c r="K350" i="5"/>
  <c r="M350" i="5" a="1"/>
  <c r="M350" i="5"/>
  <c r="A349" i="5"/>
  <c r="B349" i="5"/>
  <c r="C349" i="5"/>
  <c r="K349" i="5"/>
  <c r="M349" i="5" a="1"/>
  <c r="M349" i="5"/>
  <c r="A347" i="5"/>
  <c r="B347" i="5"/>
  <c r="C347" i="5"/>
  <c r="K347" i="5"/>
  <c r="M347" i="5" a="1"/>
  <c r="M347" i="5"/>
  <c r="A346" i="5"/>
  <c r="B346" i="5"/>
  <c r="C346" i="5"/>
  <c r="K346" i="5"/>
  <c r="M346" i="5" a="1"/>
  <c r="M346" i="5"/>
  <c r="A491" i="5"/>
  <c r="B491" i="5"/>
  <c r="C491" i="5"/>
  <c r="K491" i="5"/>
  <c r="M491" i="5" a="1"/>
  <c r="M491" i="5"/>
  <c r="A468" i="5"/>
  <c r="B468" i="5"/>
  <c r="C468" i="5"/>
  <c r="K468" i="5"/>
  <c r="M468" i="5" a="1"/>
  <c r="M468" i="5"/>
  <c r="A503" i="5"/>
  <c r="B503" i="5"/>
  <c r="C503" i="5"/>
  <c r="K503" i="5"/>
  <c r="M503" i="5" a="1"/>
  <c r="M503" i="5"/>
  <c r="A345" i="5"/>
  <c r="B345" i="5"/>
  <c r="C345" i="5"/>
  <c r="K345" i="5"/>
  <c r="M345" i="5" a="1"/>
  <c r="M345" i="5"/>
  <c r="A344" i="5"/>
  <c r="B344" i="5"/>
  <c r="C344" i="5"/>
  <c r="K344" i="5"/>
  <c r="M344" i="5" a="1"/>
  <c r="M344" i="5"/>
  <c r="A343" i="5"/>
  <c r="B343" i="5"/>
  <c r="C343" i="5"/>
  <c r="K343" i="5"/>
  <c r="M343" i="5" a="1"/>
  <c r="M343" i="5"/>
  <c r="A342" i="5"/>
  <c r="B342" i="5"/>
  <c r="C342" i="5"/>
  <c r="K342" i="5"/>
  <c r="M342" i="5" a="1"/>
  <c r="M342" i="5"/>
  <c r="A341" i="5"/>
  <c r="B341" i="5"/>
  <c r="C341" i="5"/>
  <c r="K341" i="5"/>
  <c r="M341" i="5" a="1"/>
  <c r="M341" i="5"/>
  <c r="A340" i="5"/>
  <c r="B340" i="5"/>
  <c r="C340" i="5"/>
  <c r="K340" i="5"/>
  <c r="M340" i="5" a="1"/>
  <c r="M340" i="5"/>
  <c r="C461" i="5"/>
  <c r="A461" i="5"/>
  <c r="B461" i="5"/>
  <c r="K461" i="5"/>
  <c r="M461" i="5" a="1"/>
  <c r="M461" i="5"/>
  <c r="C460" i="5"/>
  <c r="A460" i="5"/>
  <c r="B460" i="5"/>
  <c r="K460" i="5"/>
  <c r="M460" i="5" a="1"/>
  <c r="M460" i="5"/>
  <c r="C459" i="5"/>
  <c r="A459" i="5"/>
  <c r="B459" i="5"/>
  <c r="K459" i="5"/>
  <c r="M459" i="5" a="1"/>
  <c r="M459" i="5"/>
  <c r="A457" i="5"/>
  <c r="B457" i="5"/>
  <c r="C457" i="5"/>
  <c r="K457" i="5"/>
  <c r="M457" i="5" a="1"/>
  <c r="M457" i="5"/>
  <c r="A456" i="5"/>
  <c r="B456" i="5"/>
  <c r="C456" i="5"/>
  <c r="K456" i="5"/>
  <c r="M456" i="5" a="1"/>
  <c r="M456" i="5"/>
  <c r="A455" i="5"/>
  <c r="B455" i="5"/>
  <c r="C455" i="5"/>
  <c r="K455" i="5"/>
  <c r="M455" i="5" a="1"/>
  <c r="M455" i="5"/>
  <c r="A486" i="5"/>
  <c r="B486" i="5"/>
  <c r="C486" i="5"/>
  <c r="K486" i="5"/>
  <c r="M486" i="5" a="1"/>
  <c r="M486" i="5"/>
  <c r="A469" i="5"/>
  <c r="B469" i="5"/>
  <c r="C469" i="5"/>
  <c r="K469" i="5"/>
  <c r="M469" i="5" a="1"/>
  <c r="M469" i="5"/>
  <c r="A483" i="5"/>
  <c r="B483" i="5"/>
  <c r="C483" i="5"/>
  <c r="K483" i="5"/>
  <c r="M483" i="5" a="1"/>
  <c r="M483" i="5"/>
  <c r="A480" i="5"/>
  <c r="B480" i="5"/>
  <c r="C480" i="5"/>
  <c r="K480" i="5"/>
  <c r="M480" i="5" a="1"/>
  <c r="M480" i="5"/>
  <c r="A478" i="5"/>
  <c r="B478" i="5"/>
  <c r="C478" i="5"/>
  <c r="K478" i="5"/>
  <c r="M478" i="5" a="1"/>
  <c r="M478" i="5" s="1"/>
  <c r="A465" i="5"/>
  <c r="B465" i="5"/>
  <c r="C465" i="5"/>
  <c r="K465" i="5"/>
  <c r="M465" i="5" a="1"/>
  <c r="M465" i="5" s="1"/>
  <c r="A500" i="5"/>
  <c r="B500" i="5"/>
  <c r="C500" i="5"/>
  <c r="K500" i="5"/>
  <c r="M500" i="5" a="1"/>
  <c r="M500" i="5" s="1"/>
  <c r="A499" i="5"/>
  <c r="B499" i="5"/>
  <c r="C499" i="5"/>
  <c r="K499" i="5"/>
  <c r="M499" i="5" a="1"/>
  <c r="M499" i="5" s="1"/>
  <c r="A493" i="5"/>
  <c r="B493" i="5"/>
  <c r="C493" i="5"/>
  <c r="K493" i="5"/>
  <c r="M493" i="5" a="1"/>
  <c r="M493" i="5" s="1"/>
  <c r="A490" i="5"/>
  <c r="B490" i="5"/>
  <c r="C490" i="5"/>
  <c r="K490" i="5"/>
  <c r="M490" i="5" a="1"/>
  <c r="M490" i="5" s="1"/>
  <c r="A489" i="5"/>
  <c r="B489" i="5"/>
  <c r="C489" i="5"/>
  <c r="K489" i="5"/>
  <c r="M489" i="5" a="1"/>
  <c r="M489" i="5" s="1"/>
  <c r="A488" i="5"/>
  <c r="B488" i="5"/>
  <c r="C488" i="5"/>
  <c r="K488" i="5"/>
  <c r="M488" i="5" a="1"/>
  <c r="M488" i="5" s="1"/>
  <c r="A487" i="5"/>
  <c r="B487" i="5"/>
  <c r="C487" i="5"/>
  <c r="K487" i="5"/>
  <c r="M487" i="5" a="1"/>
  <c r="M487" i="5" s="1"/>
  <c r="A444" i="5"/>
  <c r="B444" i="5"/>
  <c r="C444" i="5"/>
  <c r="K444" i="5"/>
  <c r="M444" i="5" a="1"/>
  <c r="M444" i="5" s="1"/>
  <c r="A451" i="5"/>
  <c r="B451" i="5"/>
  <c r="C451" i="5"/>
  <c r="K451" i="5"/>
  <c r="M451" i="5" a="1"/>
  <c r="M451" i="5" s="1"/>
  <c r="A450" i="5"/>
  <c r="B450" i="5"/>
  <c r="C450" i="5"/>
  <c r="K450" i="5"/>
  <c r="M450" i="5" a="1"/>
  <c r="M450" i="5" s="1"/>
  <c r="A447" i="5"/>
  <c r="B447" i="5"/>
  <c r="C447" i="5"/>
  <c r="K447" i="5"/>
  <c r="M447" i="5" a="1"/>
  <c r="M447" i="5" s="1"/>
  <c r="A446" i="5"/>
  <c r="B446" i="5"/>
  <c r="C446" i="5"/>
  <c r="K446" i="5"/>
  <c r="M446" i="5" a="1"/>
  <c r="M446" i="5" s="1"/>
  <c r="A443" i="5"/>
  <c r="B443" i="5"/>
  <c r="C443" i="5"/>
  <c r="K443" i="5"/>
  <c r="M443" i="5" a="1"/>
  <c r="M443" i="5" s="1"/>
  <c r="C445" i="5"/>
  <c r="A445" i="5"/>
  <c r="B445" i="5"/>
  <c r="K445" i="5"/>
  <c r="M445" i="5" a="1"/>
  <c r="M445" i="5" s="1"/>
  <c r="C442" i="5"/>
  <c r="A442" i="5"/>
  <c r="B442" i="5"/>
  <c r="K442" i="5"/>
  <c r="M442" i="5" a="1"/>
  <c r="M442" i="5" s="1"/>
  <c r="C441" i="5"/>
  <c r="A441" i="5"/>
  <c r="B441" i="5"/>
  <c r="K441" i="5"/>
  <c r="M441" i="5" a="1"/>
  <c r="M441" i="5" s="1"/>
  <c r="A440" i="5"/>
  <c r="B440" i="5"/>
  <c r="C440" i="5"/>
  <c r="K440" i="5"/>
  <c r="M440" i="5" a="1"/>
  <c r="M440" i="5" s="1"/>
  <c r="A439" i="5"/>
  <c r="B439" i="5"/>
  <c r="C439" i="5"/>
  <c r="K439" i="5"/>
  <c r="M439" i="5" a="1"/>
  <c r="M439" i="5" s="1"/>
  <c r="A454" i="5"/>
  <c r="B454" i="5"/>
  <c r="C454" i="5"/>
  <c r="K454" i="5"/>
  <c r="M454" i="5" a="1"/>
  <c r="M454" i="5" s="1"/>
  <c r="A453" i="5"/>
  <c r="B453" i="5"/>
  <c r="C453" i="5"/>
  <c r="K453" i="5"/>
  <c r="M453" i="5" a="1"/>
  <c r="M453" i="5" s="1"/>
  <c r="A452" i="5"/>
  <c r="B452" i="5"/>
  <c r="C452" i="5"/>
  <c r="K452" i="5"/>
  <c r="M452" i="5" a="1"/>
  <c r="M452" i="5" s="1"/>
  <c r="A438" i="5"/>
  <c r="B438" i="5"/>
  <c r="C438" i="5"/>
  <c r="K438" i="5"/>
  <c r="M438" i="5" a="1"/>
  <c r="M438" i="5" s="1"/>
  <c r="A348" i="5"/>
  <c r="B348" i="5"/>
  <c r="C348" i="5"/>
  <c r="K348" i="5"/>
  <c r="M348" i="5" a="1"/>
  <c r="M348" i="5" s="1"/>
  <c r="A405" i="5"/>
  <c r="B405" i="5"/>
  <c r="C405" i="5"/>
  <c r="K405" i="5"/>
  <c r="M405" i="5" a="1"/>
  <c r="M405" i="5" s="1"/>
  <c r="A404" i="5"/>
  <c r="B404" i="5"/>
  <c r="C404" i="5"/>
  <c r="K404" i="5"/>
  <c r="M404" i="5" a="1"/>
  <c r="M404" i="5" s="1"/>
  <c r="A385" i="5"/>
  <c r="B385" i="5"/>
  <c r="C385" i="5"/>
  <c r="K385" i="5"/>
  <c r="M385" i="5" a="1"/>
  <c r="M385" i="5" s="1"/>
  <c r="A430" i="5"/>
  <c r="B430" i="5"/>
  <c r="C430" i="5"/>
  <c r="K430" i="5"/>
  <c r="M430" i="5" a="1"/>
  <c r="M430" i="5" s="1"/>
  <c r="A431" i="5"/>
  <c r="B431" i="5"/>
  <c r="C431" i="5"/>
  <c r="K431" i="5"/>
  <c r="M431" i="5" a="1"/>
  <c r="M431" i="5" s="1"/>
  <c r="A432" i="5"/>
  <c r="B432" i="5"/>
  <c r="C432" i="5"/>
  <c r="K432" i="5"/>
  <c r="M432" i="5" a="1"/>
  <c r="M432" i="5" s="1"/>
  <c r="A474" i="5"/>
  <c r="B474" i="5"/>
  <c r="C474" i="5"/>
  <c r="K474" i="5"/>
  <c r="M474" i="5" a="1"/>
  <c r="M474" i="5" s="1"/>
  <c r="B477" i="5"/>
  <c r="A477" i="5"/>
  <c r="C477" i="5"/>
  <c r="K477" i="5"/>
  <c r="M477" i="5" a="1"/>
  <c r="M477" i="5" s="1"/>
  <c r="A475" i="5"/>
  <c r="B475" i="5"/>
  <c r="C475" i="5"/>
  <c r="K475" i="5"/>
  <c r="M475" i="5" a="1"/>
  <c r="M475" i="5" s="1"/>
  <c r="A437" i="5"/>
  <c r="B437" i="5"/>
  <c r="C437" i="5"/>
  <c r="K437" i="5"/>
  <c r="M437" i="5" a="1"/>
  <c r="M437" i="5" s="1"/>
  <c r="A434" i="5"/>
  <c r="B434" i="5"/>
  <c r="C434" i="5"/>
  <c r="K434" i="5"/>
  <c r="M434" i="5" a="1"/>
  <c r="M434" i="5" s="1"/>
  <c r="A448" i="5"/>
  <c r="B448" i="5"/>
  <c r="C448" i="5"/>
  <c r="K448" i="5"/>
  <c r="M448" i="5" a="1"/>
  <c r="M448" i="5" s="1"/>
  <c r="A458" i="5"/>
  <c r="B458" i="5"/>
  <c r="C458" i="5"/>
  <c r="K458" i="5"/>
  <c r="M458" i="5" a="1"/>
  <c r="M458" i="5" s="1"/>
  <c r="A435" i="5"/>
  <c r="B435" i="5"/>
  <c r="C435" i="5"/>
  <c r="K435" i="5"/>
  <c r="M435" i="5" a="1"/>
  <c r="M435" i="5" s="1"/>
  <c r="A476" i="5"/>
  <c r="B476" i="5"/>
  <c r="C476" i="5"/>
  <c r="K476" i="5"/>
  <c r="M476" i="5" a="1"/>
  <c r="M476" i="5" s="1"/>
  <c r="A473" i="5"/>
  <c r="B473" i="5"/>
  <c r="C473" i="5"/>
  <c r="K473" i="5"/>
  <c r="M473" i="5" a="1"/>
  <c r="M473" i="5" s="1"/>
  <c r="A433" i="5"/>
  <c r="B433" i="5"/>
  <c r="C433" i="5"/>
  <c r="K433" i="5"/>
  <c r="M433" i="5" a="1"/>
  <c r="M433" i="5" s="1"/>
  <c r="A429" i="5"/>
  <c r="B429" i="5"/>
  <c r="C429" i="5"/>
  <c r="K429" i="5"/>
  <c r="M429" i="5" a="1"/>
  <c r="M429" i="5" s="1"/>
  <c r="A436" i="5"/>
  <c r="B436" i="5"/>
  <c r="C436" i="5"/>
  <c r="K436" i="5"/>
  <c r="M436" i="5" a="1"/>
  <c r="M436" i="5" s="1"/>
  <c r="A418" i="5"/>
  <c r="B418" i="5"/>
  <c r="C418" i="5"/>
  <c r="K418" i="5"/>
  <c r="M418" i="5" a="1"/>
  <c r="M418" i="5" s="1"/>
  <c r="A415" i="5"/>
  <c r="A416" i="5"/>
  <c r="A417" i="5"/>
  <c r="B417" i="5"/>
  <c r="C417" i="5"/>
  <c r="K417" i="5"/>
  <c r="M417" i="5" a="1"/>
  <c r="M417" i="5" s="1"/>
  <c r="B416" i="5"/>
  <c r="C416" i="5"/>
  <c r="K416" i="5"/>
  <c r="M416" i="5" a="1"/>
  <c r="M416" i="5" s="1"/>
  <c r="B415" i="5"/>
  <c r="C415" i="5"/>
  <c r="K415" i="5"/>
  <c r="M415" i="5" a="1"/>
  <c r="M415" i="5" s="1"/>
  <c r="A414" i="5"/>
  <c r="B414" i="5"/>
  <c r="C414" i="5"/>
  <c r="K414" i="5"/>
  <c r="M414" i="5" a="1"/>
  <c r="M414" i="5" s="1"/>
  <c r="A413" i="5"/>
  <c r="B413" i="5"/>
  <c r="C413" i="5"/>
  <c r="K413" i="5"/>
  <c r="M413" i="5" a="1"/>
  <c r="M413" i="5" s="1"/>
  <c r="A412" i="5"/>
  <c r="B412" i="5"/>
  <c r="C412" i="5"/>
  <c r="K412" i="5"/>
  <c r="M412" i="5" a="1"/>
  <c r="M412" i="5" s="1"/>
  <c r="A411" i="5"/>
  <c r="B411" i="5"/>
  <c r="C411" i="5"/>
  <c r="K411" i="5"/>
  <c r="M411" i="5" a="1"/>
  <c r="M411" i="5" s="1"/>
  <c r="A410" i="5"/>
  <c r="B410" i="5"/>
  <c r="C410" i="5"/>
  <c r="K410" i="5"/>
  <c r="M410" i="5" a="1"/>
  <c r="M410" i="5" s="1"/>
  <c r="A409" i="5"/>
  <c r="B409" i="5"/>
  <c r="C409" i="5"/>
  <c r="K409" i="5"/>
  <c r="M409" i="5" a="1"/>
  <c r="M409" i="5" s="1"/>
  <c r="A408" i="5"/>
  <c r="B408" i="5"/>
  <c r="C408" i="5"/>
  <c r="K408" i="5"/>
  <c r="M408" i="5" a="1"/>
  <c r="M408" i="5" s="1"/>
  <c r="A407" i="5"/>
  <c r="B407" i="5"/>
  <c r="C407" i="5"/>
  <c r="K407" i="5"/>
  <c r="M407" i="5" a="1"/>
  <c r="M407" i="5" s="1"/>
  <c r="A406" i="5"/>
  <c r="B406" i="5"/>
  <c r="C406" i="5"/>
  <c r="K406" i="5"/>
  <c r="M406" i="5" a="1"/>
  <c r="M406" i="5" s="1"/>
  <c r="A428" i="5"/>
  <c r="B428" i="5"/>
  <c r="C428" i="5"/>
  <c r="K428" i="5"/>
  <c r="M428" i="5" a="1"/>
  <c r="M428" i="5" s="1"/>
  <c r="A425" i="5"/>
  <c r="B425" i="5"/>
  <c r="C425" i="5"/>
  <c r="K425" i="5"/>
  <c r="M425" i="5" a="1"/>
  <c r="M425" i="5" s="1"/>
  <c r="A424" i="5"/>
  <c r="B424" i="5"/>
  <c r="C424" i="5"/>
  <c r="K424" i="5"/>
  <c r="M424" i="5" a="1"/>
  <c r="M424" i="5" s="1"/>
  <c r="A423" i="5"/>
  <c r="B423" i="5"/>
  <c r="C423" i="5"/>
  <c r="K423" i="5"/>
  <c r="M423" i="5" a="1"/>
  <c r="M423" i="5" s="1"/>
  <c r="A422" i="5"/>
  <c r="B422" i="5"/>
  <c r="C422" i="5"/>
  <c r="K422" i="5"/>
  <c r="M422" i="5" a="1"/>
  <c r="M422" i="5" s="1"/>
  <c r="A421" i="5"/>
  <c r="B421" i="5"/>
  <c r="C421" i="5"/>
  <c r="K421" i="5"/>
  <c r="M421" i="5" a="1"/>
  <c r="M421" i="5" s="1"/>
  <c r="A420" i="5"/>
  <c r="B420" i="5"/>
  <c r="C420" i="5"/>
  <c r="K420" i="5"/>
  <c r="M420" i="5" a="1"/>
  <c r="M420" i="5" s="1"/>
  <c r="A419" i="5"/>
  <c r="B419" i="5"/>
  <c r="C419" i="5"/>
  <c r="K419" i="5"/>
  <c r="M419" i="5" a="1"/>
  <c r="M419" i="5" s="1"/>
  <c r="A464" i="5"/>
  <c r="B464" i="5"/>
  <c r="C464" i="5"/>
  <c r="K464" i="5"/>
  <c r="M464" i="5" a="1"/>
  <c r="M464" i="5" s="1"/>
  <c r="A463" i="5"/>
  <c r="B463" i="5"/>
  <c r="C463" i="5"/>
  <c r="K463" i="5"/>
  <c r="M463" i="5" a="1"/>
  <c r="M463" i="5" s="1"/>
  <c r="A462" i="5"/>
  <c r="B462" i="5"/>
  <c r="C462" i="5"/>
  <c r="K462" i="5"/>
  <c r="M462" i="5" a="1"/>
  <c r="M462" i="5" s="1"/>
  <c r="A427" i="5"/>
  <c r="B427" i="5"/>
  <c r="C427" i="5"/>
  <c r="K427" i="5"/>
  <c r="M427" i="5" a="1"/>
  <c r="M427" i="5" s="1"/>
  <c r="A426" i="5"/>
  <c r="B426" i="5"/>
  <c r="C426" i="5"/>
  <c r="K426" i="5"/>
  <c r="M426" i="5" a="1"/>
  <c r="M426" i="5" s="1"/>
  <c r="A403" i="5"/>
  <c r="B403" i="5"/>
  <c r="C403" i="5"/>
  <c r="K403" i="5"/>
  <c r="M403" i="5" a="1"/>
  <c r="M403" i="5" s="1"/>
  <c r="B402" i="5"/>
  <c r="C402" i="5"/>
  <c r="K402" i="5"/>
  <c r="M402" i="5" a="1"/>
  <c r="M402" i="5" s="1"/>
  <c r="A402" i="5"/>
  <c r="A401" i="5"/>
  <c r="B401" i="5"/>
  <c r="C401" i="5"/>
  <c r="K401" i="5"/>
  <c r="M401" i="5" a="1"/>
  <c r="M401" i="5" s="1"/>
  <c r="A400" i="5"/>
  <c r="B400" i="5"/>
  <c r="C400" i="5"/>
  <c r="K400" i="5"/>
  <c r="M400" i="5" a="1"/>
  <c r="M400" i="5" s="1"/>
  <c r="A399" i="5"/>
  <c r="B399" i="5"/>
  <c r="C399" i="5"/>
  <c r="K399" i="5"/>
  <c r="M399" i="5" a="1"/>
  <c r="M399" i="5" s="1"/>
  <c r="C398" i="5"/>
  <c r="A398" i="5"/>
  <c r="B398" i="5"/>
  <c r="K398" i="5"/>
  <c r="M398" i="5" a="1"/>
  <c r="M398" i="5" s="1"/>
  <c r="A397" i="5"/>
  <c r="B397" i="5"/>
  <c r="C397" i="5"/>
  <c r="K397" i="5"/>
  <c r="M397" i="5" a="1"/>
  <c r="M397" i="5" s="1"/>
  <c r="A396" i="5"/>
  <c r="B396" i="5"/>
  <c r="C396" i="5"/>
  <c r="K396" i="5"/>
  <c r="M396" i="5" a="1"/>
  <c r="M396" i="5" s="1"/>
  <c r="A395" i="5"/>
  <c r="B395" i="5"/>
  <c r="C395" i="5"/>
  <c r="K395" i="5"/>
  <c r="M395" i="5" a="1"/>
  <c r="M395" i="5" s="1"/>
  <c r="A394" i="5"/>
  <c r="B394" i="5"/>
  <c r="C394" i="5"/>
  <c r="K394" i="5"/>
  <c r="M394" i="5" a="1"/>
  <c r="M394" i="5" s="1"/>
  <c r="A393" i="5"/>
  <c r="B393" i="5"/>
  <c r="C393" i="5"/>
  <c r="K393" i="5"/>
  <c r="M393" i="5" a="1"/>
  <c r="M393" i="5" s="1"/>
  <c r="A392" i="5"/>
  <c r="B392" i="5"/>
  <c r="C392" i="5"/>
  <c r="K392" i="5"/>
  <c r="M392" i="5" a="1"/>
  <c r="M392" i="5" s="1"/>
  <c r="A391" i="5"/>
  <c r="B391" i="5"/>
  <c r="C391" i="5"/>
  <c r="K391" i="5"/>
  <c r="M391" i="5" a="1"/>
  <c r="M391" i="5" s="1"/>
  <c r="A390" i="5"/>
  <c r="B390" i="5"/>
  <c r="C390" i="5"/>
  <c r="K390" i="5"/>
  <c r="M390" i="5" a="1"/>
  <c r="M390" i="5" s="1"/>
  <c r="A389" i="5"/>
  <c r="B389" i="5"/>
  <c r="C389" i="5"/>
  <c r="K389" i="5"/>
  <c r="M389" i="5" a="1"/>
  <c r="M389" i="5" s="1"/>
  <c r="A388" i="5"/>
  <c r="B388" i="5"/>
  <c r="C388" i="5"/>
  <c r="K388" i="5"/>
  <c r="M388" i="5" a="1"/>
  <c r="M388" i="5" s="1"/>
  <c r="A387" i="5"/>
  <c r="B387" i="5"/>
  <c r="C387" i="5"/>
  <c r="K387" i="5"/>
  <c r="M387" i="5" a="1"/>
  <c r="M387" i="5" s="1"/>
  <c r="A386" i="5"/>
  <c r="B386" i="5"/>
  <c r="C386" i="5"/>
  <c r="K386" i="5"/>
  <c r="M386" i="5" a="1"/>
  <c r="M386" i="5" s="1"/>
  <c r="A384" i="5"/>
  <c r="B384" i="5"/>
  <c r="C384" i="5"/>
  <c r="K384" i="5"/>
  <c r="M384" i="5" a="1"/>
  <c r="M384" i="5" s="1"/>
  <c r="A383" i="5"/>
  <c r="B383" i="5"/>
  <c r="C383" i="5"/>
  <c r="K383" i="5"/>
  <c r="M383" i="5" a="1"/>
  <c r="M383" i="5" s="1"/>
  <c r="A382" i="5"/>
  <c r="B382" i="5"/>
  <c r="C382" i="5"/>
  <c r="K382" i="5"/>
  <c r="M382" i="5" a="1"/>
  <c r="M382" i="5" s="1"/>
  <c r="A381" i="5"/>
  <c r="B381" i="5"/>
  <c r="C381" i="5"/>
  <c r="K381" i="5"/>
  <c r="M381" i="5" a="1"/>
  <c r="M381" i="5" s="1"/>
  <c r="A380" i="5"/>
  <c r="B380" i="5"/>
  <c r="C380" i="5"/>
  <c r="K380" i="5"/>
  <c r="M380" i="5" a="1"/>
  <c r="M380" i="5" s="1"/>
  <c r="A379" i="5"/>
  <c r="B379" i="5"/>
  <c r="C379" i="5"/>
  <c r="K379" i="5"/>
  <c r="M379" i="5" a="1"/>
  <c r="M379" i="5" s="1"/>
  <c r="A378" i="5"/>
  <c r="B378" i="5"/>
  <c r="C378" i="5"/>
  <c r="K378" i="5"/>
  <c r="M378" i="5" a="1"/>
  <c r="M378" i="5" s="1"/>
  <c r="A377" i="5"/>
  <c r="B377" i="5"/>
  <c r="C377" i="5"/>
  <c r="K377" i="5"/>
  <c r="M377" i="5" a="1"/>
  <c r="M377" i="5" s="1"/>
  <c r="A376" i="5"/>
  <c r="B376" i="5"/>
  <c r="C376" i="5"/>
  <c r="K376" i="5"/>
  <c r="M376" i="5" a="1"/>
  <c r="M376" i="5" s="1"/>
  <c r="A375" i="5"/>
  <c r="B375" i="5"/>
  <c r="C375" i="5"/>
  <c r="K375" i="5"/>
  <c r="M375" i="5" a="1"/>
  <c r="M375" i="5" s="1"/>
  <c r="A374" i="5"/>
  <c r="B374" i="5"/>
  <c r="C374" i="5"/>
  <c r="K374" i="5"/>
  <c r="M374" i="5" a="1"/>
  <c r="M374" i="5" s="1"/>
  <c r="A373" i="5"/>
  <c r="B373" i="5"/>
  <c r="C373" i="5"/>
  <c r="K373" i="5"/>
  <c r="M373" i="5" a="1"/>
  <c r="M373" i="5" s="1"/>
  <c r="A372" i="5"/>
  <c r="B372" i="5"/>
  <c r="C372" i="5"/>
  <c r="K372" i="5"/>
  <c r="M372" i="5" a="1"/>
  <c r="M372" i="5" s="1"/>
  <c r="A371" i="5"/>
  <c r="B371" i="5"/>
  <c r="C371" i="5"/>
  <c r="K371" i="5"/>
  <c r="M371" i="5" a="1"/>
  <c r="M371" i="5" s="1"/>
  <c r="A370" i="5"/>
  <c r="B370" i="5"/>
  <c r="C370" i="5"/>
  <c r="K370" i="5"/>
  <c r="M370" i="5" a="1"/>
  <c r="M370" i="5" s="1"/>
  <c r="A369" i="5"/>
  <c r="B369" i="5"/>
  <c r="C369" i="5"/>
  <c r="K369" i="5"/>
  <c r="M369" i="5" a="1"/>
  <c r="M369" i="5" s="1"/>
  <c r="A360" i="5"/>
  <c r="B360" i="5"/>
  <c r="C360" i="5"/>
  <c r="K360" i="5"/>
  <c r="M360" i="5" a="1"/>
  <c r="M360" i="5" s="1"/>
  <c r="M359" i="5" a="1"/>
  <c r="M359" i="5" s="1"/>
  <c r="K359" i="5"/>
  <c r="C359" i="5"/>
  <c r="B359" i="5"/>
  <c r="A359" i="5"/>
  <c r="A368" i="5"/>
  <c r="B368" i="5"/>
  <c r="C368" i="5"/>
  <c r="K368" i="5"/>
  <c r="M368" i="5" a="1"/>
  <c r="M368" i="5"/>
  <c r="M367" i="5" a="1"/>
  <c r="M367" i="5" s="1"/>
  <c r="K367" i="5"/>
  <c r="C367" i="5"/>
  <c r="B367" i="5"/>
  <c r="A367" i="5"/>
  <c r="A358" i="5"/>
  <c r="B358" i="5"/>
  <c r="C358" i="5"/>
  <c r="K358" i="5"/>
  <c r="M358" i="5" a="1"/>
  <c r="M358" i="5" s="1"/>
  <c r="A357" i="5"/>
  <c r="B357" i="5"/>
  <c r="C357" i="5"/>
  <c r="K357" i="5"/>
  <c r="M357" i="5" a="1"/>
  <c r="M357" i="5" s="1"/>
  <c r="A356" i="5"/>
  <c r="B356" i="5"/>
  <c r="C356" i="5"/>
  <c r="K356" i="5"/>
  <c r="M356" i="5" a="1"/>
  <c r="M356" i="5" s="1"/>
  <c r="A355" i="5"/>
  <c r="B355" i="5"/>
  <c r="C355" i="5"/>
  <c r="K355" i="5"/>
  <c r="M355" i="5" a="1"/>
  <c r="M355" i="5" s="1"/>
  <c r="A354" i="5"/>
  <c r="B354" i="5"/>
  <c r="C354" i="5"/>
  <c r="K354" i="5"/>
  <c r="M354" i="5" a="1"/>
  <c r="M354" i="5" s="1"/>
  <c r="A353" i="5"/>
  <c r="B353" i="5"/>
  <c r="C353" i="5"/>
  <c r="K353" i="5"/>
  <c r="M353" i="5" a="1"/>
  <c r="M353" i="5" s="1"/>
  <c r="A339" i="5"/>
  <c r="B339" i="5"/>
  <c r="C339" i="5"/>
  <c r="K339" i="5"/>
  <c r="M339" i="5" a="1"/>
  <c r="M339" i="5" s="1"/>
  <c r="A338" i="5"/>
  <c r="B338" i="5"/>
  <c r="C338" i="5"/>
  <c r="K338" i="5"/>
  <c r="M338" i="5" a="1"/>
  <c r="M338" i="5" s="1"/>
  <c r="A337" i="5"/>
  <c r="B337" i="5"/>
  <c r="C337" i="5"/>
  <c r="K337" i="5"/>
  <c r="M337" i="5" a="1"/>
  <c r="M337" i="5" s="1"/>
  <c r="A334" i="5"/>
  <c r="B334" i="5"/>
  <c r="C334" i="5"/>
  <c r="K334" i="5"/>
  <c r="M334" i="5" a="1"/>
  <c r="M334" i="5" s="1"/>
  <c r="A333" i="5"/>
  <c r="B333" i="5"/>
  <c r="C333" i="5"/>
  <c r="K333" i="5"/>
  <c r="M333" i="5" a="1"/>
  <c r="M333" i="5" s="1"/>
  <c r="A332" i="5"/>
  <c r="B332" i="5"/>
  <c r="C332" i="5"/>
  <c r="K332" i="5"/>
  <c r="M332" i="5" a="1"/>
  <c r="M332" i="5" s="1"/>
  <c r="A362" i="5"/>
  <c r="B362" i="5"/>
  <c r="C362" i="5"/>
  <c r="K362" i="5"/>
  <c r="M362" i="5" a="1"/>
  <c r="M362" i="5" s="1"/>
  <c r="A365" i="5"/>
  <c r="B365" i="5"/>
  <c r="C365" i="5"/>
  <c r="K365" i="5"/>
  <c r="M365" i="5" a="1"/>
  <c r="M365" i="5" s="1"/>
  <c r="A366" i="5"/>
  <c r="B366" i="5"/>
  <c r="C366" i="5"/>
  <c r="K366" i="5"/>
  <c r="M366" i="5" a="1"/>
  <c r="M366" i="5" s="1"/>
  <c r="A364" i="5"/>
  <c r="B364" i="5"/>
  <c r="C364" i="5"/>
  <c r="K364" i="5"/>
  <c r="M364" i="5" a="1"/>
  <c r="M364" i="5" s="1"/>
  <c r="A327" i="5"/>
  <c r="B327" i="5"/>
  <c r="C327" i="5"/>
  <c r="K327" i="5"/>
  <c r="M327" i="5" a="1"/>
  <c r="M327" i="5" s="1"/>
  <c r="A28" i="2"/>
  <c r="A326" i="5"/>
  <c r="B326" i="5"/>
  <c r="C326" i="5"/>
  <c r="K326" i="5"/>
  <c r="M326" i="5" a="1"/>
  <c r="M326" i="5"/>
  <c r="A325" i="5"/>
  <c r="B325" i="5"/>
  <c r="C325" i="5"/>
  <c r="K325" i="5"/>
  <c r="M325" i="5" a="1"/>
  <c r="M325" i="5" s="1"/>
  <c r="B324" i="5"/>
  <c r="A324" i="5"/>
  <c r="C324" i="5"/>
  <c r="K324" i="5"/>
  <c r="M324" i="5" a="1"/>
  <c r="M324" i="5" s="1"/>
  <c r="A352" i="5"/>
  <c r="B352" i="5"/>
  <c r="C352" i="5"/>
  <c r="K352" i="5"/>
  <c r="M352" i="5" a="1"/>
  <c r="M352" i="5" s="1"/>
  <c r="A361" i="5"/>
  <c r="B361" i="5"/>
  <c r="C361" i="5"/>
  <c r="K361" i="5"/>
  <c r="M361" i="5" a="1"/>
  <c r="M361" i="5"/>
  <c r="A336" i="5"/>
  <c r="B336" i="5"/>
  <c r="C336" i="5"/>
  <c r="K336" i="5"/>
  <c r="M336" i="5" a="1"/>
  <c r="M336" i="5" s="1"/>
  <c r="A335" i="5"/>
  <c r="B335" i="5"/>
  <c r="C335" i="5"/>
  <c r="K335" i="5"/>
  <c r="M335" i="5" a="1"/>
  <c r="M335" i="5" s="1"/>
  <c r="A329" i="5"/>
  <c r="B329" i="5"/>
  <c r="C329" i="5"/>
  <c r="K329" i="5"/>
  <c r="M329" i="5" a="1"/>
  <c r="M329" i="5" s="1"/>
  <c r="A331" i="5"/>
  <c r="B331" i="5"/>
  <c r="C331" i="5"/>
  <c r="K331" i="5"/>
  <c r="M331" i="5" a="1"/>
  <c r="M331" i="5"/>
  <c r="A328" i="5"/>
  <c r="B328" i="5"/>
  <c r="C328" i="5"/>
  <c r="K328" i="5"/>
  <c r="M328" i="5" a="1"/>
  <c r="M328" i="5" s="1"/>
  <c r="A363" i="5"/>
  <c r="B363" i="5"/>
  <c r="C363" i="5"/>
  <c r="K363" i="5"/>
  <c r="M363" i="5" a="1"/>
  <c r="M363" i="5" s="1"/>
  <c r="A323" i="5"/>
  <c r="B323" i="5"/>
  <c r="C323" i="5"/>
  <c r="K323" i="5"/>
  <c r="M323" i="5" a="1"/>
  <c r="M323" i="5" s="1"/>
  <c r="A330" i="5"/>
  <c r="B330" i="5"/>
  <c r="C330" i="5"/>
  <c r="K330" i="5"/>
  <c r="M330" i="5" a="1"/>
  <c r="M330" i="5"/>
  <c r="A314" i="5"/>
  <c r="B314" i="5"/>
  <c r="C314" i="5"/>
  <c r="K314" i="5"/>
  <c r="M314" i="5" a="1"/>
  <c r="M314" i="5" s="1"/>
  <c r="A307" i="5"/>
  <c r="B307" i="5"/>
  <c r="C307" i="5"/>
  <c r="K307" i="5"/>
  <c r="M307" i="5" a="1"/>
  <c r="M307" i="5" s="1"/>
  <c r="B322" i="5"/>
  <c r="A322" i="5"/>
  <c r="C322" i="5"/>
  <c r="K322" i="5"/>
  <c r="M322" i="5" a="1"/>
  <c r="M322" i="5" s="1"/>
  <c r="A321" i="5"/>
  <c r="B321" i="5"/>
  <c r="C321" i="5"/>
  <c r="K321" i="5"/>
  <c r="M321" i="5" a="1"/>
  <c r="M321" i="5" s="1"/>
  <c r="A313" i="5"/>
  <c r="B313" i="5"/>
  <c r="C313" i="5"/>
  <c r="K313" i="5"/>
  <c r="M313" i="5" a="1"/>
  <c r="M313" i="5" s="1"/>
  <c r="A319" i="5"/>
  <c r="B319" i="5"/>
  <c r="C319" i="5"/>
  <c r="K319" i="5"/>
  <c r="M319" i="5" a="1"/>
  <c r="M319" i="5" s="1"/>
  <c r="A312" i="5"/>
  <c r="B312" i="5"/>
  <c r="C312" i="5"/>
  <c r="K312" i="5"/>
  <c r="M312" i="5" a="1"/>
  <c r="M312" i="5" s="1"/>
  <c r="A311" i="5"/>
  <c r="B311" i="5"/>
  <c r="C311" i="5"/>
  <c r="K311" i="5"/>
  <c r="M311" i="5" a="1"/>
  <c r="M311" i="5" s="1"/>
  <c r="A310" i="5"/>
  <c r="B310" i="5"/>
  <c r="C310" i="5"/>
  <c r="K310" i="5"/>
  <c r="M310" i="5" a="1"/>
  <c r="M310" i="5" s="1"/>
  <c r="A318" i="5"/>
  <c r="B318" i="5"/>
  <c r="C318" i="5"/>
  <c r="K318" i="5"/>
  <c r="M318" i="5" a="1"/>
  <c r="M318" i="5" s="1"/>
  <c r="A306" i="5"/>
  <c r="B306" i="5"/>
  <c r="C306" i="5"/>
  <c r="K306" i="5"/>
  <c r="M306" i="5" a="1"/>
  <c r="M306" i="5" s="1"/>
  <c r="A305" i="5"/>
  <c r="B305" i="5"/>
  <c r="C305" i="5"/>
  <c r="K305" i="5"/>
  <c r="M305" i="5" a="1"/>
  <c r="M305" i="5" s="1"/>
  <c r="A304" i="5"/>
  <c r="B304" i="5"/>
  <c r="C304" i="5"/>
  <c r="K304" i="5"/>
  <c r="M304" i="5" a="1"/>
  <c r="M304" i="5" s="1"/>
  <c r="A303" i="5"/>
  <c r="B303" i="5"/>
  <c r="C303" i="5"/>
  <c r="K303" i="5"/>
  <c r="M303" i="5" a="1"/>
  <c r="M303" i="5" s="1"/>
  <c r="A302" i="5"/>
  <c r="B302" i="5"/>
  <c r="C302" i="5"/>
  <c r="K302" i="5"/>
  <c r="M302" i="5" a="1"/>
  <c r="M302" i="5" s="1"/>
  <c r="A301" i="5"/>
  <c r="B301" i="5"/>
  <c r="C301" i="5"/>
  <c r="K301" i="5"/>
  <c r="M301" i="5" a="1"/>
  <c r="M301" i="5" s="1"/>
  <c r="C285" i="5"/>
  <c r="C284" i="5"/>
  <c r="C283" i="5"/>
  <c r="A285" i="5"/>
  <c r="B285" i="5"/>
  <c r="K285" i="5"/>
  <c r="M285" i="5" a="1"/>
  <c r="M285" i="5" s="1"/>
  <c r="A283" i="5"/>
  <c r="B283" i="5"/>
  <c r="K283" i="5"/>
  <c r="M283" i="5" a="1"/>
  <c r="M283" i="5" s="1"/>
  <c r="A284" i="5"/>
  <c r="B284" i="5"/>
  <c r="K284" i="5"/>
  <c r="L284" i="5" s="1"/>
  <c r="M284" i="5" a="1"/>
  <c r="M284" i="5" s="1"/>
  <c r="C281" i="5"/>
  <c r="A281" i="5"/>
  <c r="B281" i="5"/>
  <c r="K281" i="5"/>
  <c r="M281" i="5" a="1"/>
  <c r="M281" i="5" s="1"/>
  <c r="A278" i="5"/>
  <c r="A277" i="5"/>
  <c r="B277" i="5"/>
  <c r="K277" i="5"/>
  <c r="M277" i="5" a="1"/>
  <c r="M277" i="5" s="1"/>
  <c r="B278" i="5"/>
  <c r="K278" i="5"/>
  <c r="M278" i="5" a="1"/>
  <c r="M278" i="5" s="1"/>
  <c r="A320" i="5"/>
  <c r="B320" i="5"/>
  <c r="C320" i="5"/>
  <c r="K320" i="5"/>
  <c r="M320" i="5" a="1"/>
  <c r="M320" i="5" s="1"/>
  <c r="A308" i="5"/>
  <c r="B308" i="5"/>
  <c r="C308" i="5"/>
  <c r="K308" i="5"/>
  <c r="M308" i="5" a="1"/>
  <c r="M308" i="5" s="1"/>
  <c r="A317" i="5"/>
  <c r="B317" i="5"/>
  <c r="C317" i="5"/>
  <c r="K317" i="5"/>
  <c r="M317" i="5" a="1"/>
  <c r="M317" i="5" s="1"/>
  <c r="A316" i="5"/>
  <c r="B316" i="5"/>
  <c r="C316" i="5"/>
  <c r="K316" i="5"/>
  <c r="M316" i="5" a="1"/>
  <c r="M316" i="5" s="1"/>
  <c r="A315" i="5"/>
  <c r="B315" i="5"/>
  <c r="C315" i="5"/>
  <c r="K315" i="5"/>
  <c r="M315" i="5" a="1"/>
  <c r="M315" i="5" s="1"/>
  <c r="A309" i="5"/>
  <c r="B309" i="5"/>
  <c r="C309" i="5"/>
  <c r="K309" i="5"/>
  <c r="M309" i="5" a="1"/>
  <c r="M309" i="5" s="1"/>
  <c r="A300" i="5"/>
  <c r="B300" i="5"/>
  <c r="C300" i="5"/>
  <c r="K300" i="5"/>
  <c r="M300" i="5" a="1"/>
  <c r="M300" i="5" s="1"/>
  <c r="A282" i="5"/>
  <c r="B282" i="5"/>
  <c r="C282" i="5"/>
  <c r="K282" i="5"/>
  <c r="M282" i="5" a="1"/>
  <c r="M282" i="5" s="1"/>
  <c r="A269" i="5"/>
  <c r="B269" i="5"/>
  <c r="C269" i="5"/>
  <c r="K269" i="5"/>
  <c r="M269" i="5" a="1"/>
  <c r="M269" i="5" s="1"/>
  <c r="A297" i="5"/>
  <c r="B297" i="5"/>
  <c r="C297" i="5"/>
  <c r="K297" i="5"/>
  <c r="M297" i="5" a="1"/>
  <c r="M297" i="5" s="1"/>
  <c r="A291" i="5"/>
  <c r="B291" i="5"/>
  <c r="C291" i="5"/>
  <c r="K291" i="5"/>
  <c r="M291" i="5" a="1"/>
  <c r="M291" i="5" s="1"/>
  <c r="A295" i="5"/>
  <c r="B295" i="5"/>
  <c r="C295" i="5"/>
  <c r="K295" i="5"/>
  <c r="M295" i="5" a="1"/>
  <c r="M295" i="5" s="1"/>
  <c r="A279" i="5"/>
  <c r="B279" i="5"/>
  <c r="C279" i="5"/>
  <c r="K279" i="5"/>
  <c r="M279" i="5" a="1"/>
  <c r="M279" i="5" s="1"/>
  <c r="A294" i="5"/>
  <c r="B294" i="5"/>
  <c r="C294" i="5"/>
  <c r="K294" i="5"/>
  <c r="M294" i="5" a="1"/>
  <c r="M294" i="5" s="1"/>
  <c r="A290" i="5"/>
  <c r="B290" i="5"/>
  <c r="C290" i="5"/>
  <c r="K290" i="5"/>
  <c r="M290" i="5" a="1"/>
  <c r="M290" i="5" s="1"/>
  <c r="A274" i="5"/>
  <c r="B274" i="5"/>
  <c r="C274" i="5"/>
  <c r="K274" i="5"/>
  <c r="M274" i="5" a="1"/>
  <c r="M274" i="5" s="1"/>
  <c r="A267" i="5"/>
  <c r="B267" i="5"/>
  <c r="C267" i="5"/>
  <c r="K267" i="5"/>
  <c r="M267" i="5" a="1"/>
  <c r="M267" i="5" s="1"/>
  <c r="A288" i="5"/>
  <c r="B288" i="5"/>
  <c r="C288" i="5"/>
  <c r="K288" i="5"/>
  <c r="M288" i="5" a="1"/>
  <c r="M288" i="5" s="1"/>
  <c r="A268" i="5"/>
  <c r="B268" i="5"/>
  <c r="C268" i="5"/>
  <c r="K268" i="5"/>
  <c r="M268" i="5" a="1"/>
  <c r="M268" i="5" s="1"/>
  <c r="A275" i="5"/>
  <c r="B275" i="5"/>
  <c r="C275" i="5"/>
  <c r="K275" i="5"/>
  <c r="M275" i="5" a="1"/>
  <c r="M275" i="5" s="1"/>
  <c r="A276" i="5"/>
  <c r="B276" i="5"/>
  <c r="C276" i="5"/>
  <c r="K276" i="5"/>
  <c r="M276" i="5" a="1"/>
  <c r="M276" i="5" s="1"/>
  <c r="A289" i="5"/>
  <c r="B289" i="5"/>
  <c r="C289" i="5"/>
  <c r="K289" i="5"/>
  <c r="M289" i="5" a="1"/>
  <c r="M289" i="5" s="1"/>
  <c r="B271" i="5"/>
  <c r="C271" i="5"/>
  <c r="K271" i="5"/>
  <c r="M271" i="5" a="1"/>
  <c r="M271" i="5" s="1"/>
  <c r="A271" i="5"/>
  <c r="B293" i="5"/>
  <c r="C293" i="5"/>
  <c r="K293" i="5"/>
  <c r="M293" i="5" a="1"/>
  <c r="M293" i="5" s="1"/>
  <c r="A293" i="5"/>
  <c r="B287" i="5"/>
  <c r="C287" i="5"/>
  <c r="K287" i="5"/>
  <c r="M287" i="5" a="1"/>
  <c r="M287" i="5" s="1"/>
  <c r="A287" i="5"/>
  <c r="B280" i="5"/>
  <c r="C280" i="5"/>
  <c r="K280" i="5"/>
  <c r="M280" i="5" a="1"/>
  <c r="M280" i="5" s="1"/>
  <c r="A280" i="5"/>
  <c r="B299" i="5"/>
  <c r="C299" i="5"/>
  <c r="K299" i="5"/>
  <c r="M299" i="5" a="1"/>
  <c r="M299" i="5" s="1"/>
  <c r="A299" i="5"/>
  <c r="B298" i="5"/>
  <c r="C298" i="5"/>
  <c r="K298" i="5"/>
  <c r="M298" i="5" a="1"/>
  <c r="M298" i="5" s="1"/>
  <c r="A298" i="5"/>
  <c r="B296" i="5"/>
  <c r="C296" i="5"/>
  <c r="K296" i="5"/>
  <c r="M296" i="5" a="1"/>
  <c r="M296" i="5" s="1"/>
  <c r="A296" i="5"/>
  <c r="B292" i="5"/>
  <c r="C292" i="5"/>
  <c r="K292" i="5"/>
  <c r="M292" i="5" a="1"/>
  <c r="M292" i="5" s="1"/>
  <c r="A292" i="5"/>
  <c r="B286" i="5"/>
  <c r="C286" i="5"/>
  <c r="K286" i="5"/>
  <c r="M286" i="5" a="1"/>
  <c r="M286" i="5" s="1"/>
  <c r="A286" i="5"/>
  <c r="B266" i="5"/>
  <c r="C266" i="5"/>
  <c r="K266" i="5"/>
  <c r="M266" i="5" a="1"/>
  <c r="M266" i="5" s="1"/>
  <c r="A266" i="5"/>
  <c r="B273" i="5"/>
  <c r="C273" i="5"/>
  <c r="K273" i="5"/>
  <c r="M273" i="5" a="1"/>
  <c r="M273" i="5" s="1"/>
  <c r="A273" i="5"/>
  <c r="B272" i="5"/>
  <c r="C272" i="5"/>
  <c r="K272" i="5"/>
  <c r="M272" i="5" a="1"/>
  <c r="M272" i="5" s="1"/>
  <c r="A272" i="5"/>
  <c r="B270" i="5"/>
  <c r="C270" i="5"/>
  <c r="K270" i="5"/>
  <c r="M270" i="5" a="1"/>
  <c r="M270" i="5" s="1"/>
  <c r="A270" i="5"/>
  <c r="B265" i="5"/>
  <c r="C265" i="5"/>
  <c r="K265" i="5"/>
  <c r="M265" i="5" a="1"/>
  <c r="M265" i="5" s="1"/>
  <c r="A265" i="5"/>
  <c r="B264" i="5"/>
  <c r="C264" i="5"/>
  <c r="K264" i="5"/>
  <c r="M264" i="5" a="1"/>
  <c r="M264" i="5" s="1"/>
  <c r="A264" i="5"/>
  <c r="B263" i="5"/>
  <c r="C263" i="5"/>
  <c r="K263" i="5"/>
  <c r="M263" i="5" a="1"/>
  <c r="M263" i="5" s="1"/>
  <c r="A263" i="5"/>
  <c r="B262" i="5"/>
  <c r="C262" i="5"/>
  <c r="K262" i="5"/>
  <c r="M262" i="5" a="1"/>
  <c r="M262" i="5" s="1"/>
  <c r="A262" i="5"/>
  <c r="B261" i="5"/>
  <c r="C261" i="5"/>
  <c r="K261" i="5"/>
  <c r="M261" i="5" a="1"/>
  <c r="M261" i="5" s="1"/>
  <c r="A261" i="5"/>
  <c r="B260" i="5"/>
  <c r="C260" i="5"/>
  <c r="K260" i="5"/>
  <c r="M260" i="5" a="1"/>
  <c r="M260" i="5" s="1"/>
  <c r="A260" i="5"/>
  <c r="B259" i="5"/>
  <c r="C259" i="5"/>
  <c r="K259" i="5"/>
  <c r="M259" i="5" a="1"/>
  <c r="M259" i="5" s="1"/>
  <c r="A259" i="5"/>
  <c r="B258" i="5"/>
  <c r="C258" i="5"/>
  <c r="K258" i="5"/>
  <c r="M258" i="5" a="1"/>
  <c r="M258" i="5" s="1"/>
  <c r="A258" i="5"/>
  <c r="B257" i="5"/>
  <c r="C257" i="5"/>
  <c r="K257" i="5"/>
  <c r="M257" i="5" a="1"/>
  <c r="M257" i="5" s="1"/>
  <c r="A257" i="5"/>
  <c r="B244" i="5"/>
  <c r="C244" i="5"/>
  <c r="K244" i="5"/>
  <c r="M244" i="5" a="1"/>
  <c r="M244" i="5" s="1"/>
  <c r="A244" i="5"/>
  <c r="B243" i="5"/>
  <c r="C243" i="5"/>
  <c r="K243" i="5"/>
  <c r="M243" i="5" a="1"/>
  <c r="M243" i="5" s="1"/>
  <c r="A243" i="5"/>
  <c r="B239" i="5"/>
  <c r="C239" i="5"/>
  <c r="K239" i="5"/>
  <c r="M239" i="5" a="1"/>
  <c r="M239" i="5" s="1"/>
  <c r="A239" i="5"/>
  <c r="B242" i="5"/>
  <c r="C242" i="5"/>
  <c r="K242" i="5"/>
  <c r="M242" i="5" a="1"/>
  <c r="M242" i="5" s="1"/>
  <c r="A242" i="5"/>
  <c r="B238" i="5"/>
  <c r="C238" i="5"/>
  <c r="K238" i="5"/>
  <c r="M238" i="5" a="1"/>
  <c r="M238" i="5" s="1"/>
  <c r="A238" i="5"/>
  <c r="B237" i="5"/>
  <c r="C237" i="5"/>
  <c r="K237" i="5"/>
  <c r="M237" i="5" a="1"/>
  <c r="M237" i="5" s="1"/>
  <c r="A237" i="5"/>
  <c r="B236" i="5"/>
  <c r="C236" i="5"/>
  <c r="K236" i="5"/>
  <c r="M236" i="5" a="1"/>
  <c r="M236" i="5" s="1"/>
  <c r="A236" i="5"/>
  <c r="B235" i="5"/>
  <c r="C235" i="5"/>
  <c r="K235" i="5"/>
  <c r="M235" i="5" a="1"/>
  <c r="M235" i="5" s="1"/>
  <c r="A235" i="5"/>
  <c r="B233" i="5"/>
  <c r="C233" i="5"/>
  <c r="K233" i="5"/>
  <c r="M233" i="5" a="1"/>
  <c r="M233" i="5" s="1"/>
  <c r="A233" i="5"/>
  <c r="B231" i="5"/>
  <c r="C231" i="5"/>
  <c r="K231" i="5"/>
  <c r="M231" i="5" a="1"/>
  <c r="M231" i="5" s="1"/>
  <c r="A231" i="5"/>
  <c r="B230" i="5"/>
  <c r="C230" i="5"/>
  <c r="K230" i="5"/>
  <c r="M230" i="5" a="1"/>
  <c r="M230" i="5" s="1"/>
  <c r="A230" i="5"/>
  <c r="B229" i="5"/>
  <c r="C229" i="5"/>
  <c r="K229" i="5"/>
  <c r="M229" i="5" a="1"/>
  <c r="M229" i="5" s="1"/>
  <c r="A229" i="5"/>
  <c r="A228" i="5"/>
  <c r="B228" i="5"/>
  <c r="C228" i="5"/>
  <c r="K228" i="5"/>
  <c r="M228" i="5" a="1"/>
  <c r="M228" i="5" s="1"/>
  <c r="B227" i="5"/>
  <c r="C227" i="5"/>
  <c r="K227" i="5"/>
  <c r="M227" i="5" a="1"/>
  <c r="M227" i="5" s="1"/>
  <c r="A227" i="5"/>
  <c r="B247" i="5"/>
  <c r="C247" i="5"/>
  <c r="K247" i="5"/>
  <c r="M247" i="5" a="1"/>
  <c r="M247" i="5" s="1"/>
  <c r="A247" i="5"/>
  <c r="B241" i="5"/>
  <c r="C241" i="5"/>
  <c r="K241" i="5"/>
  <c r="M241" i="5" a="1"/>
  <c r="M241" i="5" s="1"/>
  <c r="A241" i="5"/>
  <c r="A250" i="5"/>
  <c r="B250" i="5"/>
  <c r="C250" i="5"/>
  <c r="K250" i="5"/>
  <c r="M250" i="5" a="1"/>
  <c r="M250" i="5" s="1"/>
  <c r="A255" i="5"/>
  <c r="B255" i="5"/>
  <c r="C255" i="5"/>
  <c r="K255" i="5"/>
  <c r="M255" i="5" a="1"/>
  <c r="M255" i="5" s="1"/>
  <c r="A248" i="5"/>
  <c r="B248" i="5"/>
  <c r="C248" i="5"/>
  <c r="K248" i="5"/>
  <c r="M248" i="5" a="1"/>
  <c r="M248" i="5" s="1"/>
  <c r="B253" i="5"/>
  <c r="C253" i="5"/>
  <c r="K253" i="5"/>
  <c r="M253" i="5" a="1"/>
  <c r="M253" i="5" s="1"/>
  <c r="A253" i="5"/>
  <c r="B254" i="5"/>
  <c r="C254" i="5"/>
  <c r="K254" i="5"/>
  <c r="M254" i="5" a="1"/>
  <c r="M254" i="5" s="1"/>
  <c r="A254" i="5"/>
  <c r="B249" i="5"/>
  <c r="C249" i="5"/>
  <c r="K249" i="5"/>
  <c r="M249" i="5" a="1"/>
  <c r="M249" i="5" s="1"/>
  <c r="A249" i="5"/>
  <c r="B240" i="5"/>
  <c r="C240" i="5"/>
  <c r="K240" i="5"/>
  <c r="M240" i="5" a="1"/>
  <c r="M240" i="5" s="1"/>
  <c r="A240" i="5"/>
  <c r="B232" i="5"/>
  <c r="C232" i="5"/>
  <c r="K232" i="5"/>
  <c r="M232" i="5" a="1"/>
  <c r="M232" i="5" s="1"/>
  <c r="A232" i="5"/>
  <c r="B256" i="5"/>
  <c r="C256" i="5"/>
  <c r="K256" i="5"/>
  <c r="M256" i="5" a="1"/>
  <c r="M256" i="5" s="1"/>
  <c r="A256" i="5"/>
  <c r="B234" i="5"/>
  <c r="C234" i="5"/>
  <c r="K234" i="5"/>
  <c r="M234" i="5" a="1"/>
  <c r="M234" i="5" s="1"/>
  <c r="A234" i="5"/>
  <c r="B252" i="5"/>
  <c r="C252" i="5"/>
  <c r="K252" i="5"/>
  <c r="M252" i="5" a="1"/>
  <c r="M252" i="5" s="1"/>
  <c r="A252" i="5"/>
  <c r="B246" i="5"/>
  <c r="C246" i="5"/>
  <c r="K246" i="5"/>
  <c r="M246" i="5" a="1"/>
  <c r="M246" i="5" s="1"/>
  <c r="A246" i="5"/>
  <c r="B245" i="5"/>
  <c r="C245" i="5"/>
  <c r="K245" i="5"/>
  <c r="M245" i="5" a="1"/>
  <c r="M245" i="5" s="1"/>
  <c r="A245" i="5"/>
  <c r="B225" i="5"/>
  <c r="C225" i="5"/>
  <c r="K225" i="5"/>
  <c r="M225" i="5" a="1"/>
  <c r="M225" i="5" s="1"/>
  <c r="A225" i="5"/>
  <c r="B226" i="5"/>
  <c r="C226" i="5"/>
  <c r="K226" i="5"/>
  <c r="M226" i="5" a="1"/>
  <c r="M226" i="5" s="1"/>
  <c r="A226" i="5"/>
  <c r="B251" i="5"/>
  <c r="C251" i="5"/>
  <c r="K251" i="5"/>
  <c r="M251" i="5" a="1"/>
  <c r="M251" i="5" s="1"/>
  <c r="A251" i="5"/>
  <c r="B224" i="5"/>
  <c r="C224" i="5"/>
  <c r="K224" i="5"/>
  <c r="M224" i="5" a="1"/>
  <c r="M224" i="5" s="1"/>
  <c r="A224" i="5"/>
  <c r="B223" i="5"/>
  <c r="C223" i="5"/>
  <c r="K223" i="5"/>
  <c r="M223" i="5" a="1"/>
  <c r="M223" i="5" s="1"/>
  <c r="A223" i="5"/>
  <c r="B212" i="5"/>
  <c r="C212" i="5"/>
  <c r="K212" i="5"/>
  <c r="M212" i="5" a="1"/>
  <c r="M212" i="5" s="1"/>
  <c r="A212" i="5"/>
  <c r="B222" i="5"/>
  <c r="C222" i="5"/>
  <c r="K222" i="5"/>
  <c r="M222" i="5" a="1"/>
  <c r="M222" i="5" s="1"/>
  <c r="A222" i="5"/>
  <c r="A211" i="5"/>
  <c r="B211" i="5"/>
  <c r="C211" i="5"/>
  <c r="K211" i="5"/>
  <c r="M211" i="5" a="1"/>
  <c r="M211" i="5" s="1"/>
  <c r="A221" i="5"/>
  <c r="B221" i="5"/>
  <c r="C221" i="5"/>
  <c r="K221" i="5"/>
  <c r="M221" i="5" a="1"/>
  <c r="M221" i="5" s="1"/>
  <c r="A220" i="5"/>
  <c r="B220" i="5"/>
  <c r="C220" i="5"/>
  <c r="K220" i="5"/>
  <c r="M220" i="5" a="1"/>
  <c r="M220" i="5" s="1"/>
  <c r="A219" i="5"/>
  <c r="B219" i="5"/>
  <c r="C219" i="5"/>
  <c r="K219" i="5"/>
  <c r="M219" i="5" a="1"/>
  <c r="M219" i="5" s="1"/>
  <c r="A216" i="5"/>
  <c r="B216" i="5"/>
  <c r="C216" i="5"/>
  <c r="K216" i="5"/>
  <c r="M216" i="5" a="1"/>
  <c r="M216" i="5" s="1"/>
  <c r="A210" i="5"/>
  <c r="B210" i="5"/>
  <c r="C210" i="5"/>
  <c r="K210" i="5"/>
  <c r="M210" i="5" a="1"/>
  <c r="M210" i="5" s="1"/>
  <c r="A218" i="5"/>
  <c r="B218" i="5"/>
  <c r="C218" i="5"/>
  <c r="K218" i="5"/>
  <c r="M218" i="5" a="1"/>
  <c r="M218" i="5" s="1"/>
  <c r="A209" i="5"/>
  <c r="B209" i="5"/>
  <c r="K209" i="5"/>
  <c r="M209" i="5" a="1"/>
  <c r="M209" i="5" s="1"/>
  <c r="C209" i="5"/>
  <c r="A215" i="5"/>
  <c r="B215" i="5"/>
  <c r="C215" i="5"/>
  <c r="K215" i="5"/>
  <c r="M215" i="5" a="1"/>
  <c r="M215" i="5" s="1"/>
  <c r="A214" i="5"/>
  <c r="B214" i="5"/>
  <c r="C214" i="5"/>
  <c r="K214" i="5"/>
  <c r="M214" i="5" a="1"/>
  <c r="M214" i="5" s="1"/>
  <c r="A217" i="5"/>
  <c r="B217" i="5"/>
  <c r="C217" i="5"/>
  <c r="K217" i="5"/>
  <c r="M217" i="5" a="1"/>
  <c r="M217" i="5" s="1"/>
  <c r="A213" i="5"/>
  <c r="B213" i="5"/>
  <c r="C213" i="5"/>
  <c r="K213" i="5"/>
  <c r="M213" i="5" a="1"/>
  <c r="M213" i="5" s="1"/>
  <c r="A208" i="5"/>
  <c r="B208" i="5"/>
  <c r="C208" i="5"/>
  <c r="K208" i="5"/>
  <c r="M208" i="5" a="1"/>
  <c r="M208" i="5" s="1"/>
  <c r="A207" i="5"/>
  <c r="B207" i="5"/>
  <c r="C207" i="5"/>
  <c r="K207" i="5"/>
  <c r="M207" i="5" a="1"/>
  <c r="M207" i="5" s="1"/>
  <c r="A206" i="5"/>
  <c r="B206" i="5"/>
  <c r="C206" i="5"/>
  <c r="K206" i="5"/>
  <c r="M206" i="5" a="1"/>
  <c r="M206" i="5" s="1"/>
  <c r="A201" i="5"/>
  <c r="B201" i="5"/>
  <c r="C201" i="5"/>
  <c r="K201" i="5"/>
  <c r="M201" i="5" a="1"/>
  <c r="M201" i="5" s="1"/>
  <c r="A194" i="5"/>
  <c r="B194" i="5"/>
  <c r="C194" i="5"/>
  <c r="K194" i="5"/>
  <c r="M194" i="5" a="1"/>
  <c r="M194" i="5" s="1"/>
  <c r="C193" i="5"/>
  <c r="A193" i="5"/>
  <c r="B193" i="5"/>
  <c r="K193" i="5"/>
  <c r="M193" i="5" a="1"/>
  <c r="M193" i="5" s="1"/>
  <c r="A200" i="5"/>
  <c r="B200" i="5"/>
  <c r="C200" i="5"/>
  <c r="K200" i="5"/>
  <c r="M200" i="5" a="1"/>
  <c r="M200" i="5" s="1"/>
  <c r="A50" i="5"/>
  <c r="B50" i="5"/>
  <c r="C50" i="5"/>
  <c r="K50" i="5"/>
  <c r="M50" i="5" a="1"/>
  <c r="M50" i="5" s="1"/>
  <c r="A173" i="5"/>
  <c r="B173" i="5"/>
  <c r="C173" i="5"/>
  <c r="K173" i="5"/>
  <c r="M173" i="5" a="1"/>
  <c r="M173" i="5" s="1"/>
  <c r="A190" i="5"/>
  <c r="B190" i="5"/>
  <c r="C190" i="5"/>
  <c r="K190" i="5"/>
  <c r="M190" i="5" a="1"/>
  <c r="M190" i="5" s="1"/>
  <c r="A199" i="5"/>
  <c r="B199" i="5"/>
  <c r="C199" i="5"/>
  <c r="K199" i="5"/>
  <c r="M199" i="5" a="1"/>
  <c r="M199" i="5" s="1"/>
  <c r="A198" i="5"/>
  <c r="B198" i="5"/>
  <c r="C198" i="5"/>
  <c r="K198" i="5"/>
  <c r="M198" i="5" a="1"/>
  <c r="M198" i="5" s="1"/>
  <c r="A189" i="5"/>
  <c r="B189" i="5"/>
  <c r="C189" i="5"/>
  <c r="K189" i="5"/>
  <c r="M189" i="5" a="1"/>
  <c r="M189" i="5" s="1"/>
  <c r="A175" i="5"/>
  <c r="B175" i="5"/>
  <c r="C175" i="5"/>
  <c r="K175" i="5"/>
  <c r="M175" i="5" a="1"/>
  <c r="M175" i="5" s="1"/>
  <c r="A197" i="5"/>
  <c r="B197" i="5"/>
  <c r="C197" i="5"/>
  <c r="K197" i="5"/>
  <c r="M197" i="5" a="1"/>
  <c r="M197" i="5" s="1"/>
  <c r="A203" i="5"/>
  <c r="B203" i="5"/>
  <c r="C203" i="5"/>
  <c r="K203" i="5"/>
  <c r="M203" i="5" a="1"/>
  <c r="M203" i="5" s="1"/>
  <c r="A188" i="5"/>
  <c r="B188" i="5"/>
  <c r="C188" i="5"/>
  <c r="K188" i="5"/>
  <c r="M188" i="5" a="1"/>
  <c r="M188" i="5" s="1"/>
  <c r="A187" i="5"/>
  <c r="B187" i="5"/>
  <c r="C187" i="5"/>
  <c r="K187" i="5"/>
  <c r="M187" i="5" a="1"/>
  <c r="M187" i="5" s="1"/>
  <c r="A186" i="5"/>
  <c r="B186" i="5"/>
  <c r="C186" i="5"/>
  <c r="K186" i="5"/>
  <c r="M186" i="5" a="1"/>
  <c r="M186" i="5" s="1"/>
  <c r="A205" i="5"/>
  <c r="B205" i="5"/>
  <c r="C205" i="5"/>
  <c r="K205" i="5"/>
  <c r="M205" i="5" a="1"/>
  <c r="M205" i="5" s="1"/>
  <c r="A172" i="5"/>
  <c r="B172" i="5"/>
  <c r="C172" i="5"/>
  <c r="K172" i="5"/>
  <c r="M172" i="5" a="1"/>
  <c r="M172" i="5" s="1"/>
  <c r="A204" i="5"/>
  <c r="B204" i="5"/>
  <c r="C204" i="5"/>
  <c r="K204" i="5"/>
  <c r="M204" i="5" a="1"/>
  <c r="M204" i="5" s="1"/>
  <c r="A171" i="5"/>
  <c r="B171" i="5"/>
  <c r="C171" i="5"/>
  <c r="K171" i="5"/>
  <c r="M171" i="5" a="1"/>
  <c r="M171" i="5" s="1"/>
  <c r="A196" i="5"/>
  <c r="B196" i="5"/>
  <c r="C196" i="5"/>
  <c r="K196" i="5"/>
  <c r="M196" i="5" a="1"/>
  <c r="M196" i="5" s="1"/>
  <c r="A174" i="5"/>
  <c r="B174" i="5"/>
  <c r="C174" i="5"/>
  <c r="K174" i="5"/>
  <c r="M174" i="5" a="1"/>
  <c r="M174" i="5" s="1"/>
  <c r="A202" i="5"/>
  <c r="B202" i="5"/>
  <c r="C202" i="5"/>
  <c r="K202" i="5"/>
  <c r="M202" i="5" a="1"/>
  <c r="M202" i="5" s="1"/>
  <c r="A195" i="5"/>
  <c r="B195" i="5"/>
  <c r="C195" i="5"/>
  <c r="K195" i="5"/>
  <c r="M195" i="5" a="1"/>
  <c r="M195" i="5" s="1"/>
  <c r="A170" i="5"/>
  <c r="B170" i="5"/>
  <c r="C170" i="5"/>
  <c r="K170" i="5"/>
  <c r="M170" i="5" a="1"/>
  <c r="M170" i="5" s="1"/>
  <c r="A169" i="5"/>
  <c r="B169" i="5"/>
  <c r="C169" i="5"/>
  <c r="K169" i="5"/>
  <c r="M169" i="5" a="1"/>
  <c r="M169" i="5" s="1"/>
  <c r="A191" i="5"/>
  <c r="B191" i="5"/>
  <c r="C191" i="5"/>
  <c r="K191" i="5"/>
  <c r="M191" i="5" a="1"/>
  <c r="M191" i="5" s="1"/>
  <c r="A192" i="5"/>
  <c r="B192" i="5"/>
  <c r="C192" i="5"/>
  <c r="K192" i="5"/>
  <c r="M192" i="5" a="1"/>
  <c r="M192" i="5" s="1"/>
  <c r="A185" i="5"/>
  <c r="B185" i="5"/>
  <c r="C185" i="5"/>
  <c r="K185" i="5"/>
  <c r="M185" i="5" a="1"/>
  <c r="M185" i="5" s="1"/>
  <c r="A168" i="5"/>
  <c r="B168" i="5"/>
  <c r="C168" i="5"/>
  <c r="K168" i="5"/>
  <c r="M168" i="5" a="1"/>
  <c r="M168" i="5" s="1"/>
  <c r="A184" i="5"/>
  <c r="B184" i="5"/>
  <c r="C184" i="5"/>
  <c r="K184" i="5"/>
  <c r="M184" i="5" a="1"/>
  <c r="M184" i="5" s="1"/>
  <c r="A157" i="5"/>
  <c r="B157" i="5"/>
  <c r="C157" i="5"/>
  <c r="K157" i="5"/>
  <c r="M157" i="5" a="1"/>
  <c r="M157" i="5" s="1"/>
  <c r="A182" i="5"/>
  <c r="B182" i="5"/>
  <c r="C182" i="5"/>
  <c r="K182" i="5"/>
  <c r="M182" i="5" a="1"/>
  <c r="M182" i="5" s="1"/>
  <c r="A181" i="5"/>
  <c r="B181" i="5"/>
  <c r="C181" i="5"/>
  <c r="K181" i="5"/>
  <c r="M181" i="5" a="1"/>
  <c r="M181" i="5" s="1"/>
  <c r="A183" i="5"/>
  <c r="B183" i="5"/>
  <c r="C183" i="5"/>
  <c r="K183" i="5"/>
  <c r="M183" i="5" a="1"/>
  <c r="M183" i="5" s="1"/>
  <c r="A160" i="5"/>
  <c r="B160" i="5"/>
  <c r="C160" i="5"/>
  <c r="K160" i="5"/>
  <c r="M160" i="5" a="1"/>
  <c r="M160" i="5" s="1"/>
  <c r="A159" i="5"/>
  <c r="B159" i="5"/>
  <c r="C159" i="5"/>
  <c r="K159" i="5"/>
  <c r="M159" i="5" a="1"/>
  <c r="M159" i="5" s="1"/>
  <c r="A180" i="5"/>
  <c r="B180" i="5"/>
  <c r="C180" i="5"/>
  <c r="K180" i="5"/>
  <c r="M180" i="5" a="1"/>
  <c r="M180" i="5" s="1"/>
  <c r="A179" i="5"/>
  <c r="B179" i="5"/>
  <c r="C179" i="5"/>
  <c r="K179" i="5"/>
  <c r="M179" i="5" a="1"/>
  <c r="M179" i="5" s="1"/>
  <c r="A178" i="5"/>
  <c r="B178" i="5"/>
  <c r="C178" i="5"/>
  <c r="K178" i="5"/>
  <c r="M178" i="5" a="1"/>
  <c r="M178" i="5" s="1"/>
  <c r="A177" i="5"/>
  <c r="B177" i="5"/>
  <c r="C177" i="5"/>
  <c r="K177" i="5"/>
  <c r="M177" i="5" a="1"/>
  <c r="M177" i="5" s="1"/>
  <c r="A166" i="5"/>
  <c r="B166" i="5"/>
  <c r="C166" i="5"/>
  <c r="K166" i="5"/>
  <c r="M166" i="5" a="1"/>
  <c r="M166" i="5" s="1"/>
  <c r="M156" i="5" a="1"/>
  <c r="M156" i="5" s="1"/>
  <c r="K156" i="5"/>
  <c r="L156" i="5" s="1"/>
  <c r="C156" i="5"/>
  <c r="B156" i="5"/>
  <c r="A156" i="5"/>
  <c r="A176" i="5"/>
  <c r="B176" i="5"/>
  <c r="C176" i="5"/>
  <c r="K176" i="5"/>
  <c r="M176" i="5" a="1"/>
  <c r="M176" i="5" s="1"/>
  <c r="A167" i="5"/>
  <c r="B167" i="5"/>
  <c r="C167" i="5"/>
  <c r="K167" i="5"/>
  <c r="M167" i="5" a="1"/>
  <c r="M167" i="5" s="1"/>
  <c r="A165" i="5"/>
  <c r="B165" i="5"/>
  <c r="C165" i="5"/>
  <c r="K165" i="5"/>
  <c r="M165" i="5" a="1"/>
  <c r="M165" i="5" s="1"/>
  <c r="A164" i="5"/>
  <c r="B164" i="5"/>
  <c r="C164" i="5"/>
  <c r="K164" i="5"/>
  <c r="M164" i="5" a="1"/>
  <c r="M164" i="5" s="1"/>
  <c r="A163" i="5"/>
  <c r="B163" i="5"/>
  <c r="C163" i="5"/>
  <c r="K163" i="5"/>
  <c r="M163" i="5" a="1"/>
  <c r="M163" i="5" s="1"/>
  <c r="A162" i="5"/>
  <c r="B162" i="5"/>
  <c r="C162" i="5"/>
  <c r="K162" i="5"/>
  <c r="M162" i="5" a="1"/>
  <c r="M162" i="5" s="1"/>
  <c r="A161" i="5"/>
  <c r="B161" i="5"/>
  <c r="C161" i="5"/>
  <c r="K161" i="5"/>
  <c r="M161" i="5" a="1"/>
  <c r="M161" i="5" s="1"/>
  <c r="A158" i="5"/>
  <c r="B158" i="5"/>
  <c r="C158" i="5"/>
  <c r="K158" i="5"/>
  <c r="M158" i="5" a="1"/>
  <c r="M158" i="5" s="1"/>
  <c r="A126" i="5"/>
  <c r="B126" i="5"/>
  <c r="C126" i="5"/>
  <c r="K126" i="5"/>
  <c r="M126" i="5" a="1"/>
  <c r="M126" i="5" s="1"/>
  <c r="A136" i="5"/>
  <c r="B136" i="5"/>
  <c r="C136" i="5"/>
  <c r="K136" i="5"/>
  <c r="M136" i="5" a="1"/>
  <c r="M136" i="5" s="1"/>
  <c r="A153" i="5"/>
  <c r="B153" i="5"/>
  <c r="C153" i="5"/>
  <c r="K153" i="5"/>
  <c r="M153" i="5" a="1"/>
  <c r="M153" i="5" s="1"/>
  <c r="A125" i="5"/>
  <c r="B125" i="5"/>
  <c r="C125" i="5"/>
  <c r="K125" i="5"/>
  <c r="M125" i="5" a="1"/>
  <c r="M125" i="5" s="1"/>
  <c r="A124" i="5"/>
  <c r="B124" i="5"/>
  <c r="C124" i="5"/>
  <c r="K124" i="5"/>
  <c r="M124" i="5" a="1"/>
  <c r="M124" i="5" s="1"/>
  <c r="A152" i="5"/>
  <c r="B152" i="5"/>
  <c r="C152" i="5"/>
  <c r="K152" i="5"/>
  <c r="M152" i="5" a="1"/>
  <c r="M152" i="5" s="1"/>
  <c r="A92" i="5"/>
  <c r="B92" i="5"/>
  <c r="C92" i="5"/>
  <c r="K92" i="5"/>
  <c r="M92" i="5" a="1"/>
  <c r="M92" i="5" s="1"/>
  <c r="A115" i="5"/>
  <c r="B115" i="5"/>
  <c r="C115" i="5"/>
  <c r="K115" i="5"/>
  <c r="M115" i="5" a="1"/>
  <c r="M115" i="5" s="1"/>
  <c r="A119" i="5"/>
  <c r="B119" i="5"/>
  <c r="C119" i="5"/>
  <c r="K119" i="5"/>
  <c r="M119" i="5" a="1"/>
  <c r="M119" i="5" s="1"/>
  <c r="A154" i="5"/>
  <c r="B154" i="5"/>
  <c r="C154" i="5"/>
  <c r="K154" i="5"/>
  <c r="M154" i="5" a="1"/>
  <c r="M154" i="5" s="1"/>
  <c r="A114" i="5"/>
  <c r="B114" i="5"/>
  <c r="C114" i="5"/>
  <c r="K114" i="5"/>
  <c r="M114" i="5" a="1"/>
  <c r="M114" i="5" s="1"/>
  <c r="A150" i="5"/>
  <c r="B150" i="5"/>
  <c r="C150" i="5"/>
  <c r="K150" i="5"/>
  <c r="M150" i="5" a="1"/>
  <c r="M150" i="5" s="1"/>
  <c r="A49" i="5"/>
  <c r="B49" i="5"/>
  <c r="C49" i="5"/>
  <c r="K49" i="5"/>
  <c r="M49" i="5" a="1"/>
  <c r="M49" i="5" s="1"/>
  <c r="A137" i="5"/>
  <c r="B137" i="5"/>
  <c r="C137" i="5"/>
  <c r="K137" i="5"/>
  <c r="M137" i="5" a="1"/>
  <c r="M137" i="5" s="1"/>
  <c r="A148" i="5"/>
  <c r="B148" i="5"/>
  <c r="C148" i="5"/>
  <c r="K148" i="5"/>
  <c r="M148" i="5" a="1"/>
  <c r="M148" i="5" s="1"/>
  <c r="A135" i="5"/>
  <c r="B135" i="5"/>
  <c r="C135" i="5"/>
  <c r="K135" i="5"/>
  <c r="M135" i="5" a="1"/>
  <c r="M135" i="5" s="1"/>
  <c r="A149" i="5"/>
  <c r="B149" i="5"/>
  <c r="C149" i="5"/>
  <c r="K149" i="5"/>
  <c r="M149" i="5" a="1"/>
  <c r="M149" i="5" s="1"/>
  <c r="A91" i="5"/>
  <c r="B91" i="5"/>
  <c r="C91" i="5"/>
  <c r="K91" i="5"/>
  <c r="M91" i="5" a="1"/>
  <c r="M91" i="5" s="1"/>
  <c r="A45" i="5"/>
  <c r="B45" i="5"/>
  <c r="C45" i="5"/>
  <c r="K45" i="5"/>
  <c r="M45" i="5" a="1"/>
  <c r="M45" i="5" s="1"/>
  <c r="A85" i="5"/>
  <c r="B85" i="5"/>
  <c r="C85" i="5"/>
  <c r="K85" i="5"/>
  <c r="M85" i="5" a="1"/>
  <c r="M85" i="5" s="1"/>
  <c r="A44" i="5"/>
  <c r="B44" i="5"/>
  <c r="C44" i="5"/>
  <c r="K44" i="5"/>
  <c r="M44" i="5" a="1"/>
  <c r="M44" i="5" s="1"/>
  <c r="B147" i="5"/>
  <c r="C147" i="5"/>
  <c r="K147" i="5"/>
  <c r="M147" i="5" a="1"/>
  <c r="M147" i="5" s="1"/>
  <c r="A147" i="5"/>
  <c r="A43" i="5"/>
  <c r="B43" i="5"/>
  <c r="C43" i="5"/>
  <c r="K43" i="5"/>
  <c r="M43" i="5" a="1"/>
  <c r="M43" i="5" s="1"/>
  <c r="A42" i="5"/>
  <c r="B42" i="5"/>
  <c r="C42" i="5"/>
  <c r="K42" i="5"/>
  <c r="M42" i="5" a="1"/>
  <c r="M42" i="5" s="1"/>
  <c r="A48" i="5"/>
  <c r="B48" i="5"/>
  <c r="C48" i="5"/>
  <c r="K48" i="5"/>
  <c r="M48" i="5" a="1"/>
  <c r="M48" i="5" s="1"/>
  <c r="A47" i="5"/>
  <c r="B47" i="5"/>
  <c r="C47" i="5"/>
  <c r="K47" i="5"/>
  <c r="M47" i="5" a="1"/>
  <c r="M47" i="5" s="1"/>
  <c r="A134" i="5"/>
  <c r="B134" i="5"/>
  <c r="C134" i="5"/>
  <c r="K134" i="5"/>
  <c r="M134" i="5" a="1"/>
  <c r="M134" i="5" s="1"/>
  <c r="B90" i="5"/>
  <c r="C90" i="5"/>
  <c r="K90" i="5"/>
  <c r="M90" i="5" a="1"/>
  <c r="M90" i="5" s="1"/>
  <c r="A90" i="5"/>
  <c r="A88" i="5"/>
  <c r="B88" i="5"/>
  <c r="C88" i="5"/>
  <c r="K88" i="5"/>
  <c r="M88" i="5" a="1"/>
  <c r="M88" i="5" s="1"/>
  <c r="A87" i="5"/>
  <c r="B87" i="5"/>
  <c r="C87" i="5"/>
  <c r="K87" i="5"/>
  <c r="M87" i="5" a="1"/>
  <c r="M87" i="5" s="1"/>
  <c r="A86" i="5"/>
  <c r="B86" i="5"/>
  <c r="C86" i="5"/>
  <c r="K86" i="5"/>
  <c r="M86" i="5" a="1"/>
  <c r="M86" i="5" s="1"/>
  <c r="H21" i="23"/>
  <c r="A143" i="5"/>
  <c r="B143" i="5"/>
  <c r="C143" i="5"/>
  <c r="K143" i="5"/>
  <c r="M143" i="5" a="1"/>
  <c r="M143" i="5" s="1"/>
  <c r="A144" i="5"/>
  <c r="B144" i="5"/>
  <c r="C144" i="5"/>
  <c r="K144" i="5"/>
  <c r="M144" i="5" a="1"/>
  <c r="M144" i="5" s="1"/>
  <c r="A145" i="5"/>
  <c r="B145" i="5"/>
  <c r="C145" i="5"/>
  <c r="K145" i="5"/>
  <c r="M145" i="5" a="1"/>
  <c r="M145" i="5" s="1"/>
  <c r="A118" i="5"/>
  <c r="B118" i="5"/>
  <c r="C118" i="5"/>
  <c r="K118" i="5"/>
  <c r="M118" i="5" a="1"/>
  <c r="M118" i="5" s="1"/>
  <c r="A151" i="5"/>
  <c r="B151" i="5"/>
  <c r="C151" i="5"/>
  <c r="K151" i="5"/>
  <c r="M151" i="5" a="1"/>
  <c r="M151" i="5" s="1"/>
  <c r="A89" i="5"/>
  <c r="B89" i="5"/>
  <c r="C89" i="5"/>
  <c r="K89" i="5"/>
  <c r="M89" i="5" a="1"/>
  <c r="M89" i="5" s="1"/>
  <c r="A41" i="5"/>
  <c r="B41" i="5"/>
  <c r="C41" i="5"/>
  <c r="K41" i="5"/>
  <c r="M41" i="5" a="1"/>
  <c r="M41" i="5" s="1"/>
  <c r="A127" i="5"/>
  <c r="B127" i="5"/>
  <c r="C127" i="5"/>
  <c r="K127" i="5"/>
  <c r="M127" i="5" a="1"/>
  <c r="M127" i="5" s="1"/>
  <c r="B146" i="5"/>
  <c r="C146" i="5"/>
  <c r="K146" i="5"/>
  <c r="M146" i="5" a="1"/>
  <c r="M146" i="5" s="1"/>
  <c r="A146" i="5"/>
  <c r="A83" i="5"/>
  <c r="B83" i="5"/>
  <c r="C83" i="5"/>
  <c r="K83" i="5"/>
  <c r="M83" i="5" a="1"/>
  <c r="M83" i="5" s="1"/>
  <c r="A82" i="5"/>
  <c r="B82" i="5"/>
  <c r="C82" i="5"/>
  <c r="K82" i="5"/>
  <c r="M82" i="5" a="1"/>
  <c r="M82" i="5" s="1"/>
  <c r="A36" i="5"/>
  <c r="B36" i="5"/>
  <c r="C36" i="5"/>
  <c r="K36" i="5"/>
  <c r="M36" i="5" a="1"/>
  <c r="M36" i="5" s="1"/>
  <c r="A81" i="5"/>
  <c r="A139" i="5"/>
  <c r="B81" i="5"/>
  <c r="B139" i="5"/>
  <c r="C81" i="5"/>
  <c r="C139" i="5"/>
  <c r="K81" i="5"/>
  <c r="K139" i="5"/>
  <c r="M81" i="5" a="1"/>
  <c r="M81" i="5" s="1"/>
  <c r="M139" i="5" a="1"/>
  <c r="M139" i="5" s="1"/>
  <c r="A122" i="5"/>
  <c r="B122" i="5"/>
  <c r="C122" i="5"/>
  <c r="K122" i="5"/>
  <c r="M122" i="5" a="1"/>
  <c r="M122" i="5" s="1"/>
  <c r="A35" i="5"/>
  <c r="B35" i="5"/>
  <c r="C35" i="5"/>
  <c r="K35" i="5"/>
  <c r="M35" i="5" a="1"/>
  <c r="M35" i="5" s="1"/>
  <c r="A116" i="5"/>
  <c r="B116" i="5"/>
  <c r="C116" i="5"/>
  <c r="K116" i="5"/>
  <c r="M116" i="5" a="1"/>
  <c r="M116" i="5" s="1"/>
  <c r="A34" i="5"/>
  <c r="B34" i="5"/>
  <c r="C34" i="5"/>
  <c r="K34" i="5"/>
  <c r="M34" i="5" a="1"/>
  <c r="M34" i="5" s="1"/>
  <c r="A140" i="5"/>
  <c r="B140" i="5"/>
  <c r="C140" i="5"/>
  <c r="K140" i="5"/>
  <c r="M140" i="5" a="1"/>
  <c r="M140" i="5" s="1"/>
  <c r="A39" i="5"/>
  <c r="B39" i="5"/>
  <c r="C39" i="5"/>
  <c r="K39" i="5"/>
  <c r="M39" i="5" a="1"/>
  <c r="M39" i="5" s="1"/>
  <c r="A117" i="5"/>
  <c r="B117" i="5"/>
  <c r="C117" i="5"/>
  <c r="K117" i="5"/>
  <c r="M117" i="5" a="1"/>
  <c r="M117" i="5" s="1"/>
  <c r="B37" i="5"/>
  <c r="C37" i="5"/>
  <c r="K37" i="5"/>
  <c r="M37" i="5" a="1"/>
  <c r="M37" i="5" s="1"/>
  <c r="A37" i="5"/>
  <c r="A80" i="5"/>
  <c r="B80" i="5"/>
  <c r="C80" i="5"/>
  <c r="K80" i="5"/>
  <c r="M80" i="5" a="1"/>
  <c r="M80" i="5" s="1"/>
  <c r="A40" i="5"/>
  <c r="B40" i="5"/>
  <c r="C40" i="5"/>
  <c r="K40" i="5"/>
  <c r="M40" i="5" a="1"/>
  <c r="M40" i="5" s="1"/>
  <c r="A141" i="5"/>
  <c r="B141" i="5"/>
  <c r="C141" i="5"/>
  <c r="K141" i="5"/>
  <c r="M141" i="5" a="1"/>
  <c r="M141" i="5" s="1"/>
  <c r="A31" i="5"/>
  <c r="B31" i="5"/>
  <c r="C31" i="5"/>
  <c r="K31" i="5"/>
  <c r="M31" i="5" a="1"/>
  <c r="M31" i="5" s="1"/>
  <c r="A47" i="2"/>
  <c r="A121" i="5"/>
  <c r="B121" i="5"/>
  <c r="C121" i="5"/>
  <c r="K121" i="5"/>
  <c r="M121" i="5" a="1"/>
  <c r="M121" i="5" s="1"/>
  <c r="A138" i="5"/>
  <c r="B138" i="5"/>
  <c r="C138" i="5"/>
  <c r="K138" i="5"/>
  <c r="M138" i="5" a="1"/>
  <c r="M138" i="5" s="1"/>
  <c r="A33" i="5"/>
  <c r="B33" i="5"/>
  <c r="C33" i="5"/>
  <c r="K33" i="5"/>
  <c r="M33" i="5" a="1"/>
  <c r="M33" i="5" s="1"/>
  <c r="A120" i="5"/>
  <c r="B120" i="5"/>
  <c r="C120" i="5"/>
  <c r="K120" i="5"/>
  <c r="M120" i="5" a="1"/>
  <c r="M120" i="5" s="1"/>
  <c r="A77" i="5"/>
  <c r="B77" i="5"/>
  <c r="C77" i="5"/>
  <c r="K77" i="5"/>
  <c r="M77" i="5" a="1"/>
  <c r="M77" i="5" s="1"/>
  <c r="A123" i="5"/>
  <c r="B123" i="5"/>
  <c r="C123" i="5"/>
  <c r="K123" i="5"/>
  <c r="M123" i="5" a="1"/>
  <c r="M123" i="5" s="1"/>
  <c r="A78" i="5"/>
  <c r="B78" i="5"/>
  <c r="C78" i="5"/>
  <c r="K78" i="5"/>
  <c r="M78" i="5" a="1"/>
  <c r="M78" i="5" s="1"/>
  <c r="A38" i="5"/>
  <c r="B38" i="5"/>
  <c r="C38" i="5"/>
  <c r="K38" i="5"/>
  <c r="M38" i="5" a="1"/>
  <c r="M38" i="5" s="1"/>
  <c r="A142" i="5"/>
  <c r="B142" i="5"/>
  <c r="C142" i="5"/>
  <c r="K142" i="5"/>
  <c r="M142" i="5" a="1"/>
  <c r="M142" i="5" s="1"/>
  <c r="A32" i="5"/>
  <c r="B32" i="5"/>
  <c r="C32" i="5"/>
  <c r="K32" i="5"/>
  <c r="M32" i="5" a="1"/>
  <c r="M32" i="5" s="1"/>
  <c r="A76" i="5"/>
  <c r="B76" i="5"/>
  <c r="C76" i="5"/>
  <c r="K76" i="5"/>
  <c r="M76" i="5" a="1"/>
  <c r="M76" i="5" s="1"/>
  <c r="A79" i="5"/>
  <c r="B79" i="5"/>
  <c r="C79" i="5"/>
  <c r="K79" i="5"/>
  <c r="M79" i="5" a="1"/>
  <c r="M79" i="5" s="1"/>
  <c r="A93" i="5"/>
  <c r="B93" i="5"/>
  <c r="C93" i="5"/>
  <c r="K93" i="5"/>
  <c r="M93" i="5" a="1"/>
  <c r="M93" i="5" s="1"/>
  <c r="A74" i="5"/>
  <c r="B74" i="5"/>
  <c r="C74" i="5"/>
  <c r="K74" i="5"/>
  <c r="M74" i="5" a="1"/>
  <c r="M74" i="5" s="1"/>
  <c r="A132" i="5"/>
  <c r="B132" i="5"/>
  <c r="C132" i="5"/>
  <c r="K132" i="5"/>
  <c r="M132" i="5" a="1"/>
  <c r="M132" i="5" s="1"/>
  <c r="A73" i="5"/>
  <c r="B73" i="5"/>
  <c r="C73" i="5"/>
  <c r="K73" i="5"/>
  <c r="M73" i="5" a="1"/>
  <c r="M73" i="5" s="1"/>
  <c r="B71" i="5"/>
  <c r="C71" i="5"/>
  <c r="K71" i="5"/>
  <c r="M71" i="5" a="1"/>
  <c r="M71" i="5" s="1"/>
  <c r="A71" i="5"/>
  <c r="A101" i="5"/>
  <c r="B101" i="5"/>
  <c r="C101" i="5"/>
  <c r="K101" i="5"/>
  <c r="M101" i="5" a="1"/>
  <c r="M101" i="5" s="1"/>
  <c r="A69" i="5"/>
  <c r="B69" i="5"/>
  <c r="C69" i="5"/>
  <c r="K69" i="5"/>
  <c r="M69" i="5" a="1"/>
  <c r="M69" i="5" s="1"/>
  <c r="A68" i="5"/>
  <c r="B68" i="5"/>
  <c r="C68" i="5"/>
  <c r="K68" i="5"/>
  <c r="M68" i="5" a="1"/>
  <c r="M68" i="5" s="1"/>
  <c r="B67" i="5"/>
  <c r="A67" i="5"/>
  <c r="C67" i="5"/>
  <c r="K67" i="5"/>
  <c r="M67" i="5" a="1"/>
  <c r="M67" i="5" s="1"/>
  <c r="A66" i="5"/>
  <c r="B66" i="5"/>
  <c r="C66" i="5"/>
  <c r="K66" i="5"/>
  <c r="M66" i="5" a="1"/>
  <c r="M66" i="5" s="1"/>
  <c r="A133" i="5"/>
  <c r="B133" i="5"/>
  <c r="C133" i="5"/>
  <c r="K133" i="5"/>
  <c r="M133" i="5" a="1"/>
  <c r="M133" i="5" s="1"/>
  <c r="A84" i="5"/>
  <c r="B84" i="5"/>
  <c r="C84" i="5"/>
  <c r="K84" i="5"/>
  <c r="M84" i="5" a="1"/>
  <c r="M84" i="5" s="1"/>
  <c r="A70" i="5"/>
  <c r="B70" i="5"/>
  <c r="C70" i="5"/>
  <c r="K70" i="5"/>
  <c r="M70" i="5" a="1"/>
  <c r="M70" i="5" s="1"/>
  <c r="A131" i="5"/>
  <c r="B131" i="5"/>
  <c r="C131" i="5"/>
  <c r="K131" i="5"/>
  <c r="M131" i="5" a="1"/>
  <c r="M131" i="5" s="1"/>
  <c r="A130" i="5"/>
  <c r="B130" i="5"/>
  <c r="C130" i="5"/>
  <c r="K130" i="5"/>
  <c r="M130" i="5" a="1"/>
  <c r="M130" i="5" s="1"/>
  <c r="A129" i="5"/>
  <c r="B129" i="5"/>
  <c r="C129" i="5"/>
  <c r="K129" i="5"/>
  <c r="M129" i="5" a="1"/>
  <c r="M129" i="5" s="1"/>
  <c r="A128" i="5"/>
  <c r="B128" i="5"/>
  <c r="C128" i="5"/>
  <c r="K128" i="5"/>
  <c r="M128" i="5" a="1"/>
  <c r="M128" i="5" s="1"/>
  <c r="A99" i="5"/>
  <c r="B99" i="5"/>
  <c r="C99" i="5"/>
  <c r="K99" i="5"/>
  <c r="M99" i="5" a="1"/>
  <c r="M99" i="5" s="1"/>
  <c r="A100" i="5"/>
  <c r="B100" i="5"/>
  <c r="C100" i="5"/>
  <c r="K100" i="5"/>
  <c r="M100" i="5" a="1"/>
  <c r="M100" i="5" s="1"/>
  <c r="A29" i="5"/>
  <c r="B29" i="5"/>
  <c r="C29" i="5"/>
  <c r="K29" i="5"/>
  <c r="M29" i="5" a="1"/>
  <c r="M29" i="5" s="1"/>
  <c r="A28" i="5"/>
  <c r="B28" i="5"/>
  <c r="C28" i="5"/>
  <c r="K28" i="5"/>
  <c r="M28" i="5" a="1"/>
  <c r="M28" i="5" s="1"/>
  <c r="A27" i="5"/>
  <c r="A113" i="5"/>
  <c r="B27" i="5"/>
  <c r="C27" i="5"/>
  <c r="K27" i="5"/>
  <c r="M27" i="5" a="1"/>
  <c r="M27" i="5" s="1"/>
  <c r="B112" i="5"/>
  <c r="C112" i="5"/>
  <c r="K112" i="5"/>
  <c r="M112" i="5" a="1"/>
  <c r="M112" i="5" s="1"/>
  <c r="A112" i="5"/>
  <c r="B65" i="5"/>
  <c r="C65" i="5"/>
  <c r="K65" i="5"/>
  <c r="M65" i="5" a="1"/>
  <c r="M65" i="5" s="1"/>
  <c r="A65" i="5"/>
  <c r="A23" i="5"/>
  <c r="B23" i="5"/>
  <c r="C23" i="5"/>
  <c r="K23" i="5"/>
  <c r="M23" i="5" a="1"/>
  <c r="M23" i="5" s="1"/>
  <c r="A26" i="5"/>
  <c r="B26" i="5"/>
  <c r="C26" i="5"/>
  <c r="K26" i="5"/>
  <c r="M26" i="5" a="1"/>
  <c r="M26" i="5" s="1"/>
  <c r="A22" i="5"/>
  <c r="B22" i="5"/>
  <c r="C22" i="5"/>
  <c r="K22" i="5"/>
  <c r="M22" i="5" a="1"/>
  <c r="M22" i="5" s="1"/>
  <c r="A20" i="5"/>
  <c r="B20" i="5"/>
  <c r="C20" i="5"/>
  <c r="K20" i="5"/>
  <c r="M20" i="5" a="1"/>
  <c r="M20" i="5" s="1"/>
  <c r="B25" i="5"/>
  <c r="C25" i="5"/>
  <c r="K25" i="5"/>
  <c r="M25" i="5" a="1"/>
  <c r="M25" i="5" s="1"/>
  <c r="A25" i="5"/>
  <c r="B64" i="5"/>
  <c r="C64" i="5"/>
  <c r="K64" i="5"/>
  <c r="M64" i="5" a="1"/>
  <c r="M64" i="5" s="1"/>
  <c r="A64" i="5"/>
  <c r="B110" i="5"/>
  <c r="C110" i="5"/>
  <c r="K110" i="5"/>
  <c r="M110" i="5" a="1"/>
  <c r="M110" i="5" s="1"/>
  <c r="A110" i="5"/>
  <c r="B63" i="5"/>
  <c r="C63" i="5"/>
  <c r="K63" i="5"/>
  <c r="M63" i="5" a="1"/>
  <c r="M63" i="5" s="1"/>
  <c r="A63" i="5"/>
  <c r="B62" i="5"/>
  <c r="C62" i="5"/>
  <c r="K62" i="5"/>
  <c r="M62" i="5" a="1"/>
  <c r="M62" i="5" s="1"/>
  <c r="A62" i="5"/>
  <c r="B98" i="5"/>
  <c r="C98" i="5"/>
  <c r="K98" i="5"/>
  <c r="M98" i="5" a="1"/>
  <c r="M98" i="5" s="1"/>
  <c r="A98" i="5"/>
  <c r="A14" i="2"/>
  <c r="A15" i="2"/>
  <c r="A16" i="2"/>
  <c r="A17" i="2"/>
  <c r="A18" i="2"/>
  <c r="A19" i="2"/>
  <c r="A20" i="2"/>
  <c r="A21" i="2"/>
  <c r="A22" i="2"/>
  <c r="A23" i="2"/>
  <c r="A24" i="2"/>
  <c r="A25" i="2"/>
  <c r="A26" i="2"/>
  <c r="A27" i="2"/>
  <c r="A30" i="2"/>
  <c r="A31" i="2"/>
  <c r="A32" i="2"/>
  <c r="A33" i="2"/>
  <c r="A34" i="2"/>
  <c r="A35" i="2"/>
  <c r="A36" i="2"/>
  <c r="A37" i="2"/>
  <c r="A38" i="2"/>
  <c r="A39" i="2"/>
  <c r="A40" i="2"/>
  <c r="A41" i="2"/>
  <c r="A42" i="2"/>
  <c r="A43" i="2"/>
  <c r="A44" i="2"/>
  <c r="A45" i="2"/>
  <c r="A46" i="2"/>
  <c r="B97" i="5"/>
  <c r="C97" i="5"/>
  <c r="K97" i="5"/>
  <c r="M97" i="5" a="1"/>
  <c r="M97" i="5" s="1"/>
  <c r="A97" i="5"/>
  <c r="B72" i="5"/>
  <c r="C72" i="5"/>
  <c r="K72" i="5"/>
  <c r="M72" i="5" a="1"/>
  <c r="M72" i="5" s="1"/>
  <c r="A72" i="5"/>
  <c r="B109" i="5"/>
  <c r="C109" i="5"/>
  <c r="K109" i="5"/>
  <c r="M109" i="5" a="1"/>
  <c r="M109" i="5" s="1"/>
  <c r="A109" i="5"/>
  <c r="B24" i="5"/>
  <c r="C24" i="5"/>
  <c r="K24" i="5"/>
  <c r="M24" i="5" a="1"/>
  <c r="M24" i="5" s="1"/>
  <c r="A24" i="5"/>
  <c r="B17" i="5"/>
  <c r="C17" i="5"/>
  <c r="K17" i="5"/>
  <c r="M17" i="5" a="1"/>
  <c r="M17" i="5" s="1"/>
  <c r="A17" i="5"/>
  <c r="B57" i="5"/>
  <c r="C57" i="5"/>
  <c r="K57" i="5"/>
  <c r="M57" i="5" a="1"/>
  <c r="M57" i="5" s="1"/>
  <c r="A57" i="5"/>
  <c r="B56" i="5"/>
  <c r="C56" i="5"/>
  <c r="K56" i="5"/>
  <c r="M56" i="5" a="1"/>
  <c r="M56" i="5" s="1"/>
  <c r="A56" i="5"/>
  <c r="B21" i="5"/>
  <c r="C21" i="5"/>
  <c r="K21" i="5"/>
  <c r="M21" i="5" a="1"/>
  <c r="M21" i="5" s="1"/>
  <c r="A21" i="5"/>
  <c r="M59" i="5" a="1"/>
  <c r="M59" i="5" s="1"/>
  <c r="K59" i="5"/>
  <c r="C59" i="5"/>
  <c r="B59" i="5"/>
  <c r="A59" i="5"/>
  <c r="E14" i="23"/>
  <c r="E13" i="23"/>
  <c r="E11" i="23"/>
  <c r="E10" i="23"/>
  <c r="B95" i="5"/>
  <c r="C95" i="5"/>
  <c r="K95" i="5"/>
  <c r="M95" i="5" a="1"/>
  <c r="M95" i="5" s="1"/>
  <c r="A95" i="5"/>
  <c r="B16" i="5"/>
  <c r="C16" i="5"/>
  <c r="K16" i="5"/>
  <c r="M16" i="5" a="1"/>
  <c r="M16" i="5" s="1"/>
  <c r="A16" i="5"/>
  <c r="A54" i="5"/>
  <c r="C54" i="5"/>
  <c r="K54" i="5"/>
  <c r="M54" i="5" a="1"/>
  <c r="M54" i="5" s="1"/>
  <c r="B54" i="5"/>
  <c r="H10" i="23"/>
  <c r="A107" i="5"/>
  <c r="C107" i="5"/>
  <c r="K107" i="5"/>
  <c r="M107" i="5" a="1"/>
  <c r="M107" i="5" s="1"/>
  <c r="B107" i="5"/>
  <c r="A18" i="5"/>
  <c r="C18" i="5"/>
  <c r="K18" i="5"/>
  <c r="M18" i="5" a="1"/>
  <c r="M18" i="5" s="1"/>
  <c r="B18" i="5"/>
  <c r="O3" i="5"/>
  <c r="B106" i="5"/>
  <c r="C106" i="5"/>
  <c r="K106" i="5"/>
  <c r="M106" i="5" a="1"/>
  <c r="M106" i="5" s="1"/>
  <c r="A106" i="5"/>
  <c r="B14" i="5"/>
  <c r="C14" i="5"/>
  <c r="K14" i="5"/>
  <c r="M14" i="5" a="1"/>
  <c r="M14" i="5" s="1"/>
  <c r="A14" i="5"/>
  <c r="B15" i="5"/>
  <c r="C15" i="5"/>
  <c r="K15" i="5"/>
  <c r="M15" i="5" a="1"/>
  <c r="M15" i="5" s="1"/>
  <c r="A15" i="5"/>
  <c r="B105" i="5"/>
  <c r="C105" i="5"/>
  <c r="K105" i="5"/>
  <c r="M105" i="5" a="1"/>
  <c r="M105" i="5" s="1"/>
  <c r="A105" i="5"/>
  <c r="B96" i="5"/>
  <c r="C96" i="5"/>
  <c r="K96" i="5"/>
  <c r="M96" i="5" a="1"/>
  <c r="M96" i="5" s="1"/>
  <c r="A96" i="5"/>
  <c r="B61" i="5"/>
  <c r="C61" i="5"/>
  <c r="K61" i="5"/>
  <c r="M61" i="5" a="1"/>
  <c r="M61" i="5" s="1"/>
  <c r="A61" i="5"/>
  <c r="B58" i="5"/>
  <c r="C58" i="5"/>
  <c r="K58" i="5"/>
  <c r="M58" i="5" a="1"/>
  <c r="M58" i="5" s="1"/>
  <c r="A58" i="5"/>
  <c r="B30" i="5"/>
  <c r="C30" i="5"/>
  <c r="K30" i="5"/>
  <c r="M30" i="5" a="1"/>
  <c r="M30" i="5" s="1"/>
  <c r="A30" i="5"/>
  <c r="H20" i="23"/>
  <c r="H19" i="23"/>
  <c r="H18" i="23"/>
  <c r="H17" i="23"/>
  <c r="H16" i="23"/>
  <c r="H15" i="23"/>
  <c r="H14" i="23"/>
  <c r="H13" i="23"/>
  <c r="H12" i="23"/>
  <c r="H11" i="23"/>
  <c r="B13" i="5"/>
  <c r="C13" i="5"/>
  <c r="K13" i="5"/>
  <c r="M13" i="5" a="1"/>
  <c r="M13" i="5" s="1"/>
  <c r="A13" i="5"/>
  <c r="B103" i="5"/>
  <c r="C103" i="5"/>
  <c r="K103" i="5"/>
  <c r="M103" i="5" a="1"/>
  <c r="M103" i="5" s="1"/>
  <c r="A103" i="5"/>
  <c r="B111" i="5"/>
  <c r="C111" i="5"/>
  <c r="K111" i="5"/>
  <c r="M111" i="5" a="1"/>
  <c r="M111" i="5" s="1"/>
  <c r="A111" i="5"/>
  <c r="B55" i="5"/>
  <c r="C55" i="5"/>
  <c r="K55" i="5"/>
  <c r="M55" i="5" a="1"/>
  <c r="M55" i="5" s="1"/>
  <c r="A55" i="5"/>
  <c r="B104" i="5"/>
  <c r="C104" i="5"/>
  <c r="K104" i="5"/>
  <c r="M104" i="5" a="1"/>
  <c r="M104" i="5" s="1"/>
  <c r="A104" i="5"/>
  <c r="A52" i="5"/>
  <c r="A75" i="5"/>
  <c r="B52" i="5"/>
  <c r="C52" i="5"/>
  <c r="K52" i="5"/>
  <c r="M52" i="5" a="1"/>
  <c r="M52" i="5" s="1"/>
  <c r="B75" i="5"/>
  <c r="C75" i="5"/>
  <c r="K75" i="5"/>
  <c r="M75" i="5" a="1"/>
  <c r="M75" i="5" s="1"/>
  <c r="B113" i="5"/>
  <c r="C113" i="5"/>
  <c r="K113" i="5"/>
  <c r="M113" i="5" a="1"/>
  <c r="M113" i="5" s="1"/>
  <c r="A51" i="5"/>
  <c r="B51" i="5"/>
  <c r="C51" i="5"/>
  <c r="K51" i="5"/>
  <c r="M51" i="5" a="1"/>
  <c r="M51" i="5" s="1"/>
  <c r="A155" i="5"/>
  <c r="B155" i="5"/>
  <c r="C155" i="5"/>
  <c r="K155" i="5"/>
  <c r="M155" i="5" a="1"/>
  <c r="M155" i="5" s="1"/>
  <c r="A46" i="5"/>
  <c r="B46" i="5"/>
  <c r="C46" i="5"/>
  <c r="K46" i="5"/>
  <c r="M46" i="5" a="1"/>
  <c r="M46" i="5" s="1"/>
  <c r="A102" i="5"/>
  <c r="B102" i="5"/>
  <c r="C102" i="5"/>
  <c r="K102" i="5"/>
  <c r="M102" i="5" a="1"/>
  <c r="M102" i="5" s="1"/>
  <c r="A60" i="5"/>
  <c r="B60" i="5"/>
  <c r="C60" i="5"/>
  <c r="K60" i="5"/>
  <c r="M60" i="5" a="1"/>
  <c r="M60" i="5" s="1"/>
  <c r="A108" i="5"/>
  <c r="B108" i="5"/>
  <c r="C108" i="5"/>
  <c r="K108" i="5"/>
  <c r="M108" i="5" a="1"/>
  <c r="M108" i="5" s="1"/>
  <c r="A94" i="5"/>
  <c r="B94" i="5"/>
  <c r="C94" i="5"/>
  <c r="K94" i="5"/>
  <c r="M94" i="5" a="1"/>
  <c r="M94" i="5" s="1"/>
  <c r="K47" i="11" a="1"/>
  <c r="K47" i="11" s="1"/>
  <c r="E15" i="23"/>
  <c r="E12" i="23"/>
  <c r="A53" i="5"/>
  <c r="B53" i="5"/>
  <c r="C53" i="5"/>
  <c r="K53" i="5"/>
  <c r="M53" i="5" a="1"/>
  <c r="M53" i="5" s="1"/>
  <c r="N10" i="5"/>
  <c r="N11" i="5" s="1"/>
  <c r="C19" i="5"/>
  <c r="A19" i="5"/>
  <c r="B19" i="5"/>
  <c r="K19" i="5"/>
  <c r="M19" i="5" a="1"/>
  <c r="M19" i="5" s="1"/>
  <c r="N13" i="13"/>
  <c r="N6" i="13"/>
  <c r="N7" i="13"/>
  <c r="N8" i="13"/>
  <c r="N9" i="13"/>
  <c r="N10" i="13"/>
  <c r="N11" i="13"/>
  <c r="N12" i="13"/>
  <c r="M13" i="13"/>
  <c r="M12" i="13"/>
  <c r="M11" i="13"/>
  <c r="M10" i="13"/>
  <c r="M8" i="13"/>
  <c r="M7" i="13"/>
  <c r="M6" i="13"/>
  <c r="N5" i="13"/>
  <c r="M5" i="13"/>
  <c r="N13" i="10"/>
  <c r="M13" i="10"/>
  <c r="P13" i="10" s="1" a="1"/>
  <c r="P13" i="10" s="1"/>
  <c r="N5" i="10"/>
  <c r="N12" i="10"/>
  <c r="M12" i="10"/>
  <c r="M11" i="10"/>
  <c r="M10" i="10"/>
  <c r="M9" i="10"/>
  <c r="M6" i="10"/>
  <c r="M5" i="10"/>
  <c r="BA3" i="10"/>
  <c r="P13" i="13" l="1" a="1"/>
  <c r="P13" i="13" s="1"/>
  <c r="E16" i="23"/>
  <c r="A13" i="2" l="1"/>
  <c r="A12" i="2"/>
  <c r="M9" i="13" l="1"/>
  <c r="P5" i="13" s="1" a="1"/>
  <c r="P5" i="13" s="1"/>
  <c r="N6" i="10"/>
  <c r="M7" i="10"/>
  <c r="N7" i="10"/>
  <c r="M8" i="10"/>
  <c r="N8" i="10"/>
  <c r="N9" i="10"/>
  <c r="N10" i="10"/>
  <c r="N11" i="10"/>
  <c r="BA5" i="13"/>
  <c r="BA5" i="10"/>
  <c r="P5" i="10" l="1" a="1"/>
  <c r="P5" i="10" s="1"/>
  <c r="N9" i="5"/>
  <c r="A5" i="2"/>
  <c r="A6" i="2"/>
  <c r="A7" i="2"/>
  <c r="A8" i="2"/>
  <c r="A9" i="2"/>
  <c r="A10" i="2"/>
  <c r="A11" i="2"/>
  <c r="O47" i="14" a="1"/>
  <c r="O47" i="14" s="1"/>
  <c r="K47" i="14" a="1"/>
  <c r="K47" i="14" s="1"/>
  <c r="O47" i="11" a="1"/>
  <c r="O47" i="11" s="1"/>
  <c r="BA4" i="10"/>
  <c r="BA3" i="13"/>
  <c r="BA4" i="13"/>
  <c r="BB4" i="13" l="1"/>
  <c r="BB5" i="13"/>
  <c r="BB5" i="10"/>
  <c r="BB4" i="10"/>
  <c r="F11" i="5" l="1"/>
  <c r="O10" i="5"/>
  <c r="K2" i="5"/>
  <c r="H2" i="5"/>
  <c r="L674" i="5" l="1"/>
  <c r="L673" i="5"/>
  <c r="L657" i="5"/>
  <c r="L677" i="5"/>
  <c r="L666" i="5"/>
  <c r="L656" i="5"/>
  <c r="L652" i="5"/>
  <c r="L653" i="5"/>
  <c r="L660" i="5"/>
  <c r="L671" i="5"/>
  <c r="L651" i="5"/>
  <c r="L661" i="5"/>
  <c r="L676" i="5"/>
  <c r="L665" i="5"/>
  <c r="L672" i="5"/>
  <c r="L675" i="5"/>
  <c r="L649" i="5"/>
  <c r="L668" i="5"/>
  <c r="L654" i="5"/>
  <c r="L648" i="5"/>
  <c r="L670" i="5"/>
  <c r="L663" i="5"/>
  <c r="L669" i="5"/>
  <c r="L662" i="5"/>
  <c r="L659" i="5"/>
  <c r="L667" i="5"/>
  <c r="L647" i="5"/>
  <c r="L658" i="5"/>
  <c r="L634" i="5"/>
  <c r="L635" i="5"/>
  <c r="L631" i="5"/>
  <c r="L632" i="5"/>
  <c r="L640" i="5"/>
  <c r="L645" i="5"/>
  <c r="L646" i="5"/>
  <c r="L629" i="5"/>
  <c r="L623" i="5"/>
  <c r="L626" i="5"/>
  <c r="L622" i="5"/>
  <c r="L624" i="5"/>
  <c r="L618" i="5"/>
  <c r="L621" i="5"/>
  <c r="L617" i="5"/>
  <c r="L620" i="5"/>
  <c r="L619" i="5"/>
  <c r="L627" i="5"/>
  <c r="L650" i="5"/>
  <c r="L615" i="5"/>
  <c r="L641" i="5"/>
  <c r="L637" i="5"/>
  <c r="L638" i="5"/>
  <c r="L639" i="5"/>
  <c r="L633" i="5"/>
  <c r="L664" i="5"/>
  <c r="L644" i="5"/>
  <c r="L643" i="5"/>
  <c r="L628" i="5"/>
  <c r="L630" i="5"/>
  <c r="L614" i="5"/>
  <c r="L612" i="5"/>
  <c r="L678" i="5"/>
  <c r="L642" i="5"/>
  <c r="L625" i="5"/>
  <c r="L636" i="5"/>
  <c r="L611" i="5"/>
  <c r="L613" i="5"/>
  <c r="L600" i="5"/>
  <c r="L591" i="5"/>
  <c r="L609" i="5"/>
  <c r="L610" i="5"/>
  <c r="L602" i="5"/>
  <c r="L590" i="5"/>
  <c r="L605" i="5"/>
  <c r="L599" i="5"/>
  <c r="L589" i="5"/>
  <c r="L608" i="5"/>
  <c r="L595" i="5"/>
  <c r="L598" i="5"/>
  <c r="L607" i="5"/>
  <c r="L606" i="5"/>
  <c r="L604" i="5"/>
  <c r="L597" i="5"/>
  <c r="L655" i="5"/>
  <c r="L601" i="5"/>
  <c r="L579" i="5"/>
  <c r="L586" i="5"/>
  <c r="L581" i="5"/>
  <c r="L580" i="5"/>
  <c r="L616" i="5"/>
  <c r="L578" i="5"/>
  <c r="L603" i="5"/>
  <c r="L592" i="5"/>
  <c r="L587" i="5"/>
  <c r="L594" i="5"/>
  <c r="L585" i="5"/>
  <c r="L565" i="5"/>
  <c r="L584" i="5"/>
  <c r="L563" i="5"/>
  <c r="L583" i="5"/>
  <c r="L575" i="5"/>
  <c r="L569" i="5"/>
  <c r="L571" i="5"/>
  <c r="L574" i="5"/>
  <c r="L570" i="5"/>
  <c r="L576" i="5"/>
  <c r="L573" i="5"/>
  <c r="L582" i="5"/>
  <c r="L564" i="5"/>
  <c r="L560" i="5"/>
  <c r="L588" i="5"/>
  <c r="L572" i="5"/>
  <c r="L577" i="5"/>
  <c r="L566" i="5"/>
  <c r="L540" i="5"/>
  <c r="L558" i="5"/>
  <c r="L561" i="5"/>
  <c r="L541" i="5"/>
  <c r="L567" i="5"/>
  <c r="L568" i="5"/>
  <c r="L556" i="5"/>
  <c r="L557" i="5"/>
  <c r="L554" i="5"/>
  <c r="L555" i="5"/>
  <c r="L552" i="5"/>
  <c r="L553" i="5"/>
  <c r="L550" i="5"/>
  <c r="L551" i="5"/>
  <c r="L547" i="5"/>
  <c r="L548" i="5"/>
  <c r="L535" i="5"/>
  <c r="L549" i="5"/>
  <c r="L542" i="5"/>
  <c r="L543" i="5"/>
  <c r="L559" i="5"/>
  <c r="L546" i="5"/>
  <c r="L562" i="5"/>
  <c r="L544" i="5"/>
  <c r="L545" i="5"/>
  <c r="L539" i="5"/>
  <c r="L537" i="5"/>
  <c r="L538" i="5"/>
  <c r="L534" i="5"/>
  <c r="L536" i="5"/>
  <c r="L510" i="5"/>
  <c r="L533" i="5"/>
  <c r="L508" i="5"/>
  <c r="L509" i="5"/>
  <c r="L498" i="5"/>
  <c r="L521" i="5"/>
  <c r="L531" i="5"/>
  <c r="L532" i="5"/>
  <c r="L529" i="5"/>
  <c r="L530" i="5"/>
  <c r="L528" i="5"/>
  <c r="L593" i="5"/>
  <c r="L496" i="5"/>
  <c r="L497" i="5"/>
  <c r="L494" i="5"/>
  <c r="L516" i="5"/>
  <c r="L527" i="5"/>
  <c r="L518" i="5"/>
  <c r="L525" i="5"/>
  <c r="L526" i="5"/>
  <c r="L523" i="5"/>
  <c r="L524" i="5"/>
  <c r="L517" i="5"/>
  <c r="L520" i="5"/>
  <c r="L522" i="5"/>
  <c r="L519" i="5"/>
  <c r="L495" i="5"/>
  <c r="L515" i="5"/>
  <c r="L512" i="5"/>
  <c r="L511" i="5"/>
  <c r="L513" i="5"/>
  <c r="L514" i="5"/>
  <c r="L471" i="5"/>
  <c r="L472" i="5"/>
  <c r="L507" i="5"/>
  <c r="L470" i="5"/>
  <c r="L504" i="5"/>
  <c r="L506" i="5"/>
  <c r="L479" i="5"/>
  <c r="L492" i="5"/>
  <c r="L481" i="5"/>
  <c r="L467" i="5"/>
  <c r="L596" i="5"/>
  <c r="L485" i="5"/>
  <c r="L501" i="5"/>
  <c r="L484" i="5"/>
  <c r="L482" i="5"/>
  <c r="L502" i="5"/>
  <c r="L505" i="5"/>
  <c r="L449" i="5"/>
  <c r="L466" i="5"/>
  <c r="L350" i="5"/>
  <c r="L351" i="5"/>
  <c r="L347" i="5"/>
  <c r="L349" i="5"/>
  <c r="L491" i="5"/>
  <c r="L346" i="5"/>
  <c r="L503" i="5"/>
  <c r="L468" i="5"/>
  <c r="L344" i="5"/>
  <c r="L345" i="5"/>
  <c r="L342" i="5"/>
  <c r="L343" i="5"/>
  <c r="L340" i="5"/>
  <c r="L341" i="5"/>
  <c r="L460" i="5"/>
  <c r="L461" i="5"/>
  <c r="L457" i="5"/>
  <c r="L459" i="5"/>
  <c r="L455" i="5"/>
  <c r="L456" i="5"/>
  <c r="L469" i="5"/>
  <c r="L486" i="5"/>
  <c r="L480" i="5"/>
  <c r="L483" i="5"/>
  <c r="L465" i="5"/>
  <c r="L478" i="5"/>
  <c r="L499" i="5"/>
  <c r="L500" i="5"/>
  <c r="L490" i="5"/>
  <c r="L493" i="5"/>
  <c r="L488" i="5"/>
  <c r="L489" i="5"/>
  <c r="L444" i="5"/>
  <c r="L487" i="5"/>
  <c r="L450" i="5"/>
  <c r="L451" i="5"/>
  <c r="L446" i="5"/>
  <c r="L447" i="5"/>
  <c r="L445" i="5"/>
  <c r="L443" i="5"/>
  <c r="L441" i="5"/>
  <c r="L442" i="5"/>
  <c r="L439" i="5"/>
  <c r="L440" i="5"/>
  <c r="L453" i="5"/>
  <c r="L454" i="5"/>
  <c r="L452" i="5"/>
  <c r="L348" i="5"/>
  <c r="L438" i="5"/>
  <c r="L404" i="5"/>
  <c r="L405" i="5"/>
  <c r="L430" i="5"/>
  <c r="L385" i="5"/>
  <c r="L432" i="5"/>
  <c r="L431" i="5"/>
  <c r="L477" i="5"/>
  <c r="L474" i="5"/>
  <c r="L437" i="5"/>
  <c r="L475" i="5"/>
  <c r="L448" i="5"/>
  <c r="L434" i="5"/>
  <c r="L435" i="5"/>
  <c r="L458" i="5"/>
  <c r="L476" i="5"/>
  <c r="L433" i="5"/>
  <c r="L473" i="5"/>
  <c r="L436" i="5"/>
  <c r="L429" i="5"/>
  <c r="L417" i="5"/>
  <c r="L418" i="5"/>
  <c r="L415" i="5"/>
  <c r="L416" i="5"/>
  <c r="L413" i="5"/>
  <c r="L414" i="5"/>
  <c r="L411" i="5"/>
  <c r="L412" i="5"/>
  <c r="L409" i="5"/>
  <c r="L410" i="5"/>
  <c r="L407" i="5"/>
  <c r="L408" i="5"/>
  <c r="L428" i="5"/>
  <c r="L406" i="5"/>
  <c r="L424" i="5"/>
  <c r="L425" i="5"/>
  <c r="L422" i="5"/>
  <c r="L423" i="5"/>
  <c r="L420" i="5"/>
  <c r="L421" i="5"/>
  <c r="L464" i="5"/>
  <c r="L419" i="5"/>
  <c r="L462" i="5"/>
  <c r="L463" i="5"/>
  <c r="L426" i="5"/>
  <c r="L427" i="5"/>
  <c r="L402" i="5"/>
  <c r="L403" i="5"/>
  <c r="L400" i="5"/>
  <c r="L401" i="5"/>
  <c r="L398" i="5"/>
  <c r="L399" i="5"/>
  <c r="L396" i="5"/>
  <c r="L397" i="5"/>
  <c r="L394" i="5"/>
  <c r="L395" i="5"/>
  <c r="L392" i="5"/>
  <c r="L393" i="5"/>
  <c r="L390" i="5"/>
  <c r="L391" i="5"/>
  <c r="L388" i="5"/>
  <c r="L389" i="5"/>
  <c r="L386" i="5"/>
  <c r="L387" i="5"/>
  <c r="L383" i="5"/>
  <c r="L384" i="5"/>
  <c r="L381" i="5"/>
  <c r="L382" i="5"/>
  <c r="L379" i="5"/>
  <c r="L380" i="5"/>
  <c r="L377" i="5"/>
  <c r="L378" i="5"/>
  <c r="L375" i="5"/>
  <c r="L376" i="5"/>
  <c r="L373" i="5"/>
  <c r="L374" i="5"/>
  <c r="L371" i="5"/>
  <c r="L372" i="5"/>
  <c r="L369" i="5"/>
  <c r="L370" i="5"/>
  <c r="L359" i="5"/>
  <c r="L360" i="5"/>
  <c r="L367" i="5"/>
  <c r="L368" i="5"/>
  <c r="L357" i="5"/>
  <c r="L358" i="5"/>
  <c r="L355" i="5"/>
  <c r="L356" i="5"/>
  <c r="L353" i="5"/>
  <c r="L354" i="5"/>
  <c r="L338" i="5"/>
  <c r="L339" i="5"/>
  <c r="L334" i="5"/>
  <c r="L337" i="5"/>
  <c r="L332" i="5"/>
  <c r="L333" i="5"/>
  <c r="L362" i="5"/>
  <c r="L366" i="5"/>
  <c r="L365" i="5"/>
  <c r="L364" i="5"/>
  <c r="L327" i="5"/>
  <c r="L326" i="5"/>
  <c r="L324" i="5"/>
  <c r="L325" i="5"/>
  <c r="L352" i="5"/>
  <c r="L361" i="5"/>
  <c r="L335" i="5"/>
  <c r="L336" i="5"/>
  <c r="L331" i="5"/>
  <c r="L329" i="5"/>
  <c r="L363" i="5"/>
  <c r="L328" i="5"/>
  <c r="L330" i="5"/>
  <c r="L323" i="5"/>
  <c r="L307" i="5"/>
  <c r="L314" i="5"/>
  <c r="L321" i="5"/>
  <c r="L322" i="5"/>
  <c r="L313" i="5"/>
  <c r="L312" i="5"/>
  <c r="L319" i="5"/>
  <c r="L310" i="5"/>
  <c r="L311" i="5"/>
  <c r="L306" i="5"/>
  <c r="L318" i="5"/>
  <c r="L304" i="5"/>
  <c r="L305" i="5"/>
  <c r="L302" i="5"/>
  <c r="L303" i="5"/>
  <c r="L285" i="5"/>
  <c r="L301" i="5"/>
  <c r="L283" i="5"/>
  <c r="L277" i="5"/>
  <c r="L281" i="5"/>
  <c r="L320" i="5"/>
  <c r="L278" i="5"/>
  <c r="L317" i="5"/>
  <c r="L308" i="5"/>
  <c r="L315" i="5"/>
  <c r="L316" i="5"/>
  <c r="L300" i="5"/>
  <c r="L309" i="5"/>
  <c r="L269" i="5"/>
  <c r="L282" i="5"/>
  <c r="L291" i="5"/>
  <c r="L297" i="5"/>
  <c r="L279" i="5"/>
  <c r="L295" i="5"/>
  <c r="L290" i="5"/>
  <c r="L294" i="5"/>
  <c r="L267" i="5"/>
  <c r="L274" i="5"/>
  <c r="L268" i="5"/>
  <c r="L288" i="5"/>
  <c r="L275" i="5"/>
  <c r="L289" i="5"/>
  <c r="L276" i="5"/>
  <c r="L293" i="5"/>
  <c r="L271" i="5"/>
  <c r="L280" i="5"/>
  <c r="L287" i="5"/>
  <c r="L299" i="5"/>
  <c r="L296" i="5"/>
  <c r="L298" i="5"/>
  <c r="L286" i="5"/>
  <c r="L292" i="5"/>
  <c r="L273" i="5"/>
  <c r="L266" i="5"/>
  <c r="L272" i="5"/>
  <c r="L265" i="5"/>
  <c r="L270" i="5"/>
  <c r="L263" i="5"/>
  <c r="L264" i="5"/>
  <c r="L261" i="5"/>
  <c r="L262" i="5"/>
  <c r="L259" i="5"/>
  <c r="L260" i="5"/>
  <c r="L257" i="5"/>
  <c r="L258" i="5"/>
  <c r="L243" i="5"/>
  <c r="L244" i="5"/>
  <c r="L242" i="5"/>
  <c r="L239" i="5"/>
  <c r="L237" i="5"/>
  <c r="L238" i="5"/>
  <c r="L235" i="5"/>
  <c r="L236" i="5"/>
  <c r="L231" i="5"/>
  <c r="L233" i="5"/>
  <c r="L229" i="5"/>
  <c r="L230" i="5"/>
  <c r="L227" i="5"/>
  <c r="L228" i="5"/>
  <c r="L241" i="5"/>
  <c r="L247" i="5"/>
  <c r="L255" i="5"/>
  <c r="L250" i="5"/>
  <c r="L253" i="5"/>
  <c r="L248" i="5"/>
  <c r="L249" i="5"/>
  <c r="L254" i="5"/>
  <c r="L232" i="5"/>
  <c r="L240" i="5"/>
  <c r="L234" i="5"/>
  <c r="L256" i="5"/>
  <c r="L246" i="5"/>
  <c r="L252" i="5"/>
  <c r="L225" i="5"/>
  <c r="L245" i="5"/>
  <c r="L251" i="5"/>
  <c r="L226" i="5"/>
  <c r="L223" i="5"/>
  <c r="L224" i="5"/>
  <c r="L222" i="5"/>
  <c r="L212" i="5"/>
  <c r="L211" i="5"/>
  <c r="L221" i="5"/>
  <c r="L219" i="5"/>
  <c r="L220" i="5"/>
  <c r="L216" i="5"/>
  <c r="L218" i="5"/>
  <c r="L210" i="5"/>
  <c r="L209" i="5"/>
  <c r="L214" i="5"/>
  <c r="L215" i="5"/>
  <c r="L213" i="5"/>
  <c r="L217" i="5"/>
  <c r="L207" i="5"/>
  <c r="L208" i="5"/>
  <c r="L206" i="5"/>
  <c r="L194" i="5"/>
  <c r="L201" i="5"/>
  <c r="L200" i="5"/>
  <c r="L193" i="5"/>
  <c r="L50" i="5"/>
  <c r="L190" i="5"/>
  <c r="L173" i="5"/>
  <c r="L198" i="5"/>
  <c r="L199" i="5"/>
  <c r="L175" i="5"/>
  <c r="L189" i="5"/>
  <c r="L203" i="5"/>
  <c r="L197" i="5"/>
  <c r="L187" i="5"/>
  <c r="L188" i="5"/>
  <c r="L205" i="5"/>
  <c r="L186" i="5"/>
  <c r="L204" i="5"/>
  <c r="L172" i="5"/>
  <c r="L196" i="5"/>
  <c r="L171" i="5"/>
  <c r="L202" i="5"/>
  <c r="L174" i="5"/>
  <c r="L195" i="5"/>
  <c r="L169" i="5"/>
  <c r="L170" i="5"/>
  <c r="L192" i="5"/>
  <c r="L191" i="5"/>
  <c r="L168" i="5"/>
  <c r="L185" i="5"/>
  <c r="L157" i="5"/>
  <c r="L184" i="5"/>
  <c r="L181" i="5"/>
  <c r="L182" i="5"/>
  <c r="L160" i="5"/>
  <c r="L183" i="5"/>
  <c r="L180" i="5"/>
  <c r="L159" i="5"/>
  <c r="L178" i="5"/>
  <c r="L179" i="5"/>
  <c r="L166" i="5"/>
  <c r="L177" i="5"/>
  <c r="L167" i="5"/>
  <c r="L176" i="5"/>
  <c r="L164" i="5"/>
  <c r="L165" i="5"/>
  <c r="L162" i="5"/>
  <c r="L163" i="5"/>
  <c r="L158" i="5"/>
  <c r="L161" i="5"/>
  <c r="L136" i="5"/>
  <c r="L126" i="5"/>
  <c r="L125" i="5"/>
  <c r="L153" i="5"/>
  <c r="L152" i="5"/>
  <c r="L124" i="5"/>
  <c r="L115" i="5"/>
  <c r="L92" i="5"/>
  <c r="L154" i="5"/>
  <c r="L119" i="5"/>
  <c r="L150" i="5"/>
  <c r="L114" i="5"/>
  <c r="L49" i="5"/>
  <c r="L148" i="5"/>
  <c r="L137" i="5"/>
  <c r="L149" i="5"/>
  <c r="L135" i="5"/>
  <c r="L45" i="5"/>
  <c r="L91" i="5"/>
  <c r="L44" i="5"/>
  <c r="L85" i="5"/>
  <c r="L43" i="5"/>
  <c r="L147" i="5"/>
  <c r="L42" i="5"/>
  <c r="L47" i="5"/>
  <c r="L48" i="5"/>
  <c r="L90" i="5"/>
  <c r="L134" i="5"/>
  <c r="L87" i="5"/>
  <c r="L88" i="5"/>
  <c r="L143" i="5"/>
  <c r="L86" i="5"/>
  <c r="L144" i="5"/>
  <c r="L118" i="5"/>
  <c r="L145" i="5"/>
  <c r="L151" i="5"/>
  <c r="L41" i="5"/>
  <c r="L89" i="5"/>
  <c r="L146" i="5"/>
  <c r="L127" i="5"/>
  <c r="L83" i="5"/>
  <c r="L36" i="5"/>
  <c r="L82" i="5"/>
  <c r="L122" i="5"/>
  <c r="L81" i="5"/>
  <c r="L139" i="5"/>
  <c r="L116" i="5"/>
  <c r="L35" i="5"/>
  <c r="L140" i="5"/>
  <c r="L34" i="5"/>
  <c r="L117" i="5"/>
  <c r="L39" i="5"/>
  <c r="L37" i="5"/>
  <c r="L40" i="5"/>
  <c r="L80" i="5"/>
  <c r="L141" i="5"/>
  <c r="L121" i="5"/>
  <c r="L31" i="5"/>
  <c r="L138" i="5"/>
  <c r="L120" i="5"/>
  <c r="L33" i="5"/>
  <c r="L123" i="5"/>
  <c r="L77" i="5"/>
  <c r="L38" i="5"/>
  <c r="L78" i="5"/>
  <c r="L32" i="5"/>
  <c r="L142" i="5"/>
  <c r="L76" i="5"/>
  <c r="L93" i="5"/>
  <c r="L79" i="5"/>
  <c r="L132" i="5"/>
  <c r="L74" i="5"/>
  <c r="L73" i="5"/>
  <c r="L101" i="5"/>
  <c r="L71" i="5"/>
  <c r="L68" i="5"/>
  <c r="L69" i="5"/>
  <c r="L66" i="5"/>
  <c r="L67" i="5"/>
  <c r="L133" i="5"/>
  <c r="L70" i="5"/>
  <c r="L84" i="5"/>
  <c r="L130" i="5"/>
  <c r="L131" i="5"/>
  <c r="L128" i="5"/>
  <c r="L129" i="5"/>
  <c r="L100" i="5"/>
  <c r="L99" i="5"/>
  <c r="L28" i="5"/>
  <c r="L29" i="5"/>
  <c r="L112" i="5"/>
  <c r="L27" i="5"/>
  <c r="L65" i="5"/>
  <c r="L26" i="5"/>
  <c r="L23" i="5"/>
  <c r="L20" i="5"/>
  <c r="L22" i="5"/>
  <c r="L64" i="5"/>
  <c r="L25" i="5"/>
  <c r="L110" i="5"/>
  <c r="L62" i="5"/>
  <c r="L63" i="5"/>
  <c r="L97" i="5"/>
  <c r="L98" i="5"/>
  <c r="L109" i="5"/>
  <c r="L72" i="5"/>
  <c r="L17" i="5"/>
  <c r="L24" i="5"/>
  <c r="L57" i="5"/>
  <c r="L21" i="5"/>
  <c r="L56" i="5"/>
  <c r="L13" i="5"/>
  <c r="L59" i="5"/>
  <c r="L16" i="5"/>
  <c r="L95" i="5"/>
  <c r="L54" i="5"/>
  <c r="L107" i="5"/>
  <c r="L18" i="5"/>
  <c r="L14" i="5"/>
  <c r="L106" i="5"/>
  <c r="L105" i="5"/>
  <c r="L15" i="5"/>
  <c r="L96" i="5"/>
  <c r="L61" i="5"/>
  <c r="L58" i="5"/>
  <c r="L30" i="5"/>
  <c r="L111" i="5"/>
  <c r="L103" i="5"/>
  <c r="L104" i="5"/>
  <c r="L55" i="5"/>
  <c r="L75" i="5"/>
  <c r="L52" i="5"/>
  <c r="L51" i="5"/>
  <c r="L113" i="5"/>
  <c r="L46" i="5"/>
  <c r="L155" i="5"/>
  <c r="L60" i="5"/>
  <c r="L102" i="5"/>
  <c r="L94" i="5"/>
  <c r="L108" i="5"/>
  <c r="L53" i="5"/>
  <c r="L19" i="5"/>
  <c r="F9" i="5"/>
  <c r="G10" i="5"/>
  <c r="G5" i="5"/>
  <c r="F6" i="5"/>
  <c r="G6" i="5"/>
  <c r="F7" i="5"/>
  <c r="G7" i="5"/>
  <c r="F8" i="5"/>
  <c r="G8" i="5"/>
  <c r="G9" i="5"/>
  <c r="G4" i="5"/>
  <c r="F4" i="5"/>
  <c r="F5" i="5"/>
  <c r="F10" i="5"/>
  <c r="O11" i="5"/>
  <c r="P10" i="5"/>
  <c r="N8" i="5" s="1"/>
  <c r="P11" i="5" l="1"/>
  <c r="Q10" i="5"/>
  <c r="Q11" i="5" l="1"/>
  <c r="R10" i="5"/>
  <c r="R11" i="5" l="1"/>
  <c r="S10" i="5"/>
  <c r="S11" i="5" l="1"/>
  <c r="T10" i="5"/>
  <c r="U10" i="5" s="1"/>
  <c r="T11" i="5" l="1"/>
  <c r="U9" i="5"/>
  <c r="U11" i="5" l="1"/>
  <c r="V10" i="5"/>
  <c r="V11" i="5" l="1"/>
  <c r="W10" i="5"/>
  <c r="U8" i="5" s="1"/>
  <c r="W11" i="5" l="1"/>
  <c r="X10" i="5"/>
  <c r="X11" i="5" l="1"/>
  <c r="Y10" i="5"/>
  <c r="Y11" i="5" l="1"/>
  <c r="Z10" i="5"/>
  <c r="Z11" i="5" l="1"/>
  <c r="AA10" i="5"/>
  <c r="AA11" i="5" l="1"/>
  <c r="AB10" i="5"/>
  <c r="AB9" i="5" s="1"/>
  <c r="AB11" i="5" l="1"/>
  <c r="AC10" i="5"/>
  <c r="AC11" i="5" l="1"/>
  <c r="AD10" i="5"/>
  <c r="AB8" i="5" s="1"/>
  <c r="AD11" i="5" l="1"/>
  <c r="AE10" i="5"/>
  <c r="AE11" i="5" l="1"/>
  <c r="AF10" i="5"/>
  <c r="AF11" i="5" l="1"/>
  <c r="AG10" i="5"/>
  <c r="AG11" i="5" l="1"/>
  <c r="AH10" i="5"/>
  <c r="AH11" i="5" l="1"/>
  <c r="AI10" i="5"/>
  <c r="AI9" i="5" s="1"/>
  <c r="AI11" i="5" l="1"/>
  <c r="AJ10" i="5"/>
  <c r="AJ11" i="5" l="1"/>
  <c r="AK10" i="5"/>
  <c r="AI8" i="5" s="1"/>
  <c r="AK11" i="5" l="1"/>
  <c r="AL10" i="5"/>
  <c r="AL11" i="5" l="1"/>
  <c r="AM10" i="5"/>
  <c r="AM11" i="5" l="1"/>
  <c r="AN10" i="5"/>
  <c r="AN11" i="5" l="1"/>
  <c r="AO10" i="5"/>
  <c r="AO11" i="5"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<sst xmlns="http://schemas.openxmlformats.org/spreadsheetml/2006/main" count="3209" uniqueCount="775">
  <si>
    <t>Other Task List</t>
  </si>
  <si>
    <t>Overdue List</t>
  </si>
  <si>
    <t>TASK</t>
  </si>
  <si>
    <t>Qty</t>
  </si>
  <si>
    <t>WW</t>
  </si>
  <si>
    <t>Type</t>
  </si>
  <si>
    <t>PRODUCT</t>
  </si>
  <si>
    <t>Target Date</t>
  </si>
  <si>
    <t>้</t>
  </si>
  <si>
    <t>t</t>
  </si>
  <si>
    <t xml:space="preserve"> </t>
  </si>
  <si>
    <t xml:space="preserve">NPI INTEGRATION FRONTED TASK  SCHEDULE </t>
  </si>
  <si>
    <t>% Type</t>
  </si>
  <si>
    <t>% Closed</t>
  </si>
  <si>
    <t>DFM Mold</t>
  </si>
  <si>
    <t>Start Gantt Week:</t>
  </si>
  <si>
    <t>OTHER</t>
  </si>
  <si>
    <t>NPI</t>
  </si>
  <si>
    <t>Edit the week number to update the display</t>
  </si>
  <si>
    <t>Part DFM</t>
  </si>
  <si>
    <t>MEETING</t>
  </si>
  <si>
    <t>RFQ</t>
  </si>
  <si>
    <t>PROJECT</t>
  </si>
  <si>
    <t>Packing</t>
  </si>
  <si>
    <t>Month</t>
  </si>
  <si>
    <t>PRODUCT/Description</t>
  </si>
  <si>
    <t>CUSTOMER</t>
  </si>
  <si>
    <t>PIC</t>
  </si>
  <si>
    <t>Start Date</t>
  </si>
  <si>
    <t>Finish Date</t>
  </si>
  <si>
    <t>Status</t>
  </si>
  <si>
    <t>OverDue Aleart</t>
  </si>
  <si>
    <t>Performace
status</t>
  </si>
  <si>
    <t>Column1</t>
  </si>
  <si>
    <t>Column12</t>
  </si>
  <si>
    <t>Column13</t>
  </si>
  <si>
    <t>Column14</t>
  </si>
  <si>
    <t>Column15</t>
  </si>
  <si>
    <t>Column16</t>
  </si>
  <si>
    <t>Column17</t>
  </si>
  <si>
    <t>Column18</t>
  </si>
  <si>
    <t>Column19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</si>
  <si>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</si>
  <si>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</si>
  <si>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</si>
  <si>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</si>
  <si>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</si>
  <si>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</si>
  <si>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</si>
  <si>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</si>
  <si>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</si>
  <si>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</si>
  <si>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</si>
  <si>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</si>
  <si>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</si>
  <si>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</si>
  <si>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</si>
  <si>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</si>
  <si>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</si>
  <si>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</si>
  <si>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</si>
  <si>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NPI Technical support</t>
  </si>
  <si>
    <t>AMW 03457 Follow  up customer comment about dimension outspec or not of part screen protection</t>
  </si>
  <si>
    <t>Numworks</t>
  </si>
  <si>
    <t>Thiti</t>
  </si>
  <si>
    <t xml:space="preserve">Confirm drawing to SRC about area texture on logo of part BOX of JRI model </t>
  </si>
  <si>
    <t>JRI</t>
  </si>
  <si>
    <t>thiti</t>
  </si>
  <si>
    <t>Support made 2D drawing printing detial of Numworks school Property project</t>
  </si>
  <si>
    <t>AMW 03457 Support SRC review cost laser engraving JIG</t>
  </si>
  <si>
    <t>Review JIG concept</t>
  </si>
  <si>
    <t>AMW 03457 Review concept jig design for attached foam screen</t>
  </si>
  <si>
    <t>Meeting</t>
  </si>
  <si>
    <t>AMW 03457 N0102 Numworks weekly progress</t>
  </si>
  <si>
    <t xml:space="preserve">Confirm handmafe sample modify idea of Jointpile </t>
  </si>
  <si>
    <t>Study overmold concept for new JRI project</t>
  </si>
  <si>
    <t>Visit new supplier Tontec</t>
  </si>
  <si>
    <t>Review modify cost for Laser Engraving base jig JRI</t>
  </si>
  <si>
    <t>AMW 03457 Review inspection report of NW ( 6 parts ) and judgement for using in assembly</t>
  </si>
  <si>
    <t>JRI weekly meeting</t>
  </si>
  <si>
    <t>Confirm handmafe sample modify idea of Jointpile rev2</t>
  </si>
  <si>
    <t xml:space="preserve">Review internal DFM </t>
  </si>
  <si>
    <t>AMW 03667 Review New JRI Digital Sensor mode</t>
  </si>
  <si>
    <t>AMW 03668 Review New JRI Digital Sensor mode</t>
  </si>
  <si>
    <t>AMW 03669 Review New JRI Digital Sensor model</t>
  </si>
  <si>
    <t>AMW 036670 Review New JRI Digital Sensor model</t>
  </si>
  <si>
    <t>Sample assembly Support</t>
  </si>
  <si>
    <t>AMW 03457 Numworks final sample assembly 12 pcs. (PCBA Assy with Plastic T2)</t>
  </si>
  <si>
    <t>JRI Prepare modification report of JRI-Trapp</t>
  </si>
  <si>
    <t>JRI Weekly progress</t>
  </si>
  <si>
    <t>JRI GDS Review update drawing from customer and R&amp;D</t>
  </si>
  <si>
    <t>Review DFM Part Drawing and feed back</t>
  </si>
  <si>
    <t>AMW 03577 Review DFM part</t>
  </si>
  <si>
    <t>FONROCHE</t>
  </si>
  <si>
    <t>AMW 03211 Rubber Button no click, 
Follow measurement shore result and solution to increase shore</t>
  </si>
  <si>
    <t>Enersys</t>
  </si>
  <si>
    <t>AMW 03210,03211 Support eng. trial part ring for fine solution to improve ring not lock.</t>
  </si>
  <si>
    <t>JRI waiting customer confirm modification report of JRI-Trapp</t>
  </si>
  <si>
    <t>Numworks weekly meeting</t>
  </si>
  <si>
    <t>Review DFM MOLD and feed back</t>
  </si>
  <si>
    <t xml:space="preserve">AMW 03577 DFM mold  meeting </t>
  </si>
  <si>
    <t>JRI Request supplier addition sheet protect for ultrasonic weldding, follow up result.</t>
  </si>
  <si>
    <t>Go to supplier to discuss idea improve foam screen packing standard for MP</t>
  </si>
  <si>
    <t>JRI, Support SRC review modify cost of trape</t>
  </si>
  <si>
    <t>Create standard document</t>
  </si>
  <si>
    <t>Make New part control sheet document for viper 6 bay</t>
  </si>
  <si>
    <t>Numworks pilot build plan meeting</t>
  </si>
  <si>
    <t>JRI, Clear concept modify trappe</t>
  </si>
  <si>
    <t>Training</t>
  </si>
  <si>
    <t>Training Solidworks: Assembly modeling</t>
  </si>
  <si>
    <t>AMW 03457 confirm foam screen new sample</t>
  </si>
  <si>
    <t>AMW 03210,03211 Trial Main door improve gap problem</t>
  </si>
  <si>
    <t>Design New Packaging</t>
  </si>
  <si>
    <t>Request SCN update part packing in process_IES 50kw</t>
  </si>
  <si>
    <t>IES</t>
  </si>
  <si>
    <t>Kamonchanok</t>
  </si>
  <si>
    <t>Training Solidworks: Surface modeling</t>
  </si>
  <si>
    <t>Training Solidworks: Drawing</t>
  </si>
  <si>
    <t>Pilot assembly Support</t>
  </si>
  <si>
    <t>AMW QUO866 _project 4020 SIREM</t>
  </si>
  <si>
    <t>Support packing</t>
  </si>
  <si>
    <t>AMW 03314 Support customer audit: Packing part</t>
  </si>
  <si>
    <t>LEACH</t>
  </si>
  <si>
    <t>RFQ Packing</t>
  </si>
  <si>
    <t>AMW-QUO874 RFQ Packing</t>
  </si>
  <si>
    <t>AMW 03513 Support packing &gt;&gt; 4 Pcs</t>
  </si>
  <si>
    <t>AMW 03512 Support packing &gt;&gt; 2 Pcs</t>
  </si>
  <si>
    <t xml:space="preserve">Request supplier join AMW to improve Cabinet box new design with actual cabinet
</t>
  </si>
  <si>
    <t>AMW 03189 Support customer audit: Packing part</t>
  </si>
  <si>
    <t>Training Solidworks: Essentials</t>
  </si>
  <si>
    <t>AMW QUO878 RFQ Pacaking (PCBA)</t>
  </si>
  <si>
    <t>Says electric</t>
  </si>
  <si>
    <t>Support MP BESS packing process 1 pcs</t>
  </si>
  <si>
    <t>AMW QUO818 Rev 3 Packaging RFQ</t>
  </si>
  <si>
    <t>Gutor</t>
  </si>
  <si>
    <t>AMW 03211 support packing pre series show current concept to Director of development division</t>
  </si>
  <si>
    <t>AMW 03211 Support Packing PanelUnit send to Customer</t>
  </si>
  <si>
    <t>AMW 03501 Packaging design</t>
  </si>
  <si>
    <t>Maatel</t>
  </si>
  <si>
    <t>AMW 03502 Packaging design</t>
  </si>
  <si>
    <t>AMW 03503 Packaging design</t>
  </si>
  <si>
    <t>AMW 03396 Packaging design</t>
  </si>
  <si>
    <t>AMW 03210,03211 Review box for cabinet after supplier improve</t>
  </si>
  <si>
    <t>AMW 03210,03211 Support packing stand to customer</t>
  </si>
  <si>
    <t>AMW QUO882 Viper StandAlone PCBA Packing RFQ
(3 PCBA)</t>
  </si>
  <si>
    <t>AMW 03210,03211 Support packing stand to customer (USA)</t>
  </si>
  <si>
    <t>AMW 03210,03211 Feed back to customer about Arrow printing on foam for protect Screen of Cabinet</t>
  </si>
  <si>
    <t>Confirm packing</t>
  </si>
  <si>
    <t xml:space="preserve">AMW 02715 Confirm packing part </t>
  </si>
  <si>
    <t>AEG</t>
  </si>
  <si>
    <t>AMW 03520, 03521 support packing</t>
  </si>
  <si>
    <t>AMW QUO890 RFQ packing</t>
  </si>
  <si>
    <t>confirm date to Fagerdala support pilot assembly shirnk wrap fix plan</t>
  </si>
  <si>
    <t>AMW 03457 Numworks support packing final sample</t>
  </si>
  <si>
    <t>AMW 03132 support packing 3 unit</t>
  </si>
  <si>
    <t>AMW 03275 Support packing</t>
  </si>
  <si>
    <t>AMW QUO889 RFQ Packing</t>
  </si>
  <si>
    <t>Share packing concept AEG:BUSBAR 100A - Packing items of AMW 03132 &amp; AMW 03134</t>
  </si>
  <si>
    <t>AMW 03520 support packing 22 pcs</t>
  </si>
  <si>
    <t>AMW 03521 support packing 14 pcs</t>
  </si>
  <si>
    <t>PCBA PFC MIP 3kW support packing</t>
  </si>
  <si>
    <t>AMW QUO902 RFQ packing</t>
  </si>
  <si>
    <t>Statron</t>
  </si>
  <si>
    <t xml:space="preserve">AMW 03286-B7.1 support packing </t>
  </si>
  <si>
    <t>AMW QUO905 RFQ paCking</t>
  </si>
  <si>
    <t>STIWA</t>
  </si>
  <si>
    <t>AMW 03685 Design packing concept</t>
  </si>
  <si>
    <t>AMW QUO895 RFQ packing</t>
  </si>
  <si>
    <t>Chloride</t>
  </si>
  <si>
    <t>Kumpon</t>
  </si>
  <si>
    <t>MP BESS prepare torque spec</t>
  </si>
  <si>
    <t xml:space="preserve">Support MP BESS training and assembly </t>
  </si>
  <si>
    <t>Create drawing</t>
  </si>
  <si>
    <t>Crate Drawing of Bracket BCU (Revise to use PEM)</t>
  </si>
  <si>
    <t>AMW 03545 Review 3D data (OBC)</t>
  </si>
  <si>
    <t>AMW 03210,03211 support assembly and trial new sampl hinge to reduce gap assembly of product</t>
  </si>
  <si>
    <t>Traco Tib Review DFM Mold of part 24100162-R00
(HeatSink sub)</t>
  </si>
  <si>
    <t>Traco</t>
  </si>
  <si>
    <t xml:space="preserve">DFA Feedback to Customer and waiting customer review </t>
  </si>
  <si>
    <t>AMW 03545 Review assembly from customer sample (OBC)</t>
  </si>
  <si>
    <t>Training Solidworks: weldment</t>
  </si>
  <si>
    <t>MP BESS update status</t>
  </si>
  <si>
    <t>Bunnarak</t>
  </si>
  <si>
    <t>Quality Issue Analysis</t>
  </si>
  <si>
    <t>AMW 03314 Product dimension out spec, Confirm measurement data and Jig assembly</t>
  </si>
  <si>
    <t xml:space="preserve">AMW 03314 Follow up Base plate progress to close OPL MP trouble </t>
  </si>
  <si>
    <t>AMW QUO874 support make 3D saperate part for SRC</t>
  </si>
  <si>
    <t xml:space="preserve">AMW 03457 Confirm measure point for IQC </t>
  </si>
  <si>
    <t>AMW-QUO874 NPI Q'ty requirment</t>
  </si>
  <si>
    <t>Discuss abour assembly concept with LPI for RFQ AMW QUO818 Rev 3</t>
  </si>
  <si>
    <t>7 habit</t>
  </si>
  <si>
    <t>All</t>
  </si>
  <si>
    <t>Review new foam top for reduce cost</t>
  </si>
  <si>
    <t>Trial color box at supplier</t>
  </si>
  <si>
    <t>AMW 03577 Support packing 80 pcs.</t>
  </si>
  <si>
    <t xml:space="preserve">AMW 03519 support packing </t>
  </si>
  <si>
    <t xml:space="preserve">AMW 03457 Pilot packing </t>
  </si>
  <si>
    <t xml:space="preserve">AMW QUO907 RFQ Packing </t>
  </si>
  <si>
    <t>MG Development</t>
  </si>
  <si>
    <t>Review OPL</t>
  </si>
  <si>
    <t>OPL Meeting</t>
  </si>
  <si>
    <t>Support register document</t>
  </si>
  <si>
    <t>Adjust CAD layout of coating room</t>
  </si>
  <si>
    <t>AMW 03210, Rubber Button difficult to click,
Support print 3D follow execute team design</t>
  </si>
  <si>
    <t>MP BESS support assembly and test water proof</t>
  </si>
  <si>
    <t xml:space="preserve">AMW QUO906 RFQ packing </t>
  </si>
  <si>
    <t>Stiwa</t>
  </si>
  <si>
    <t>AMW QUO906 RFQ NPI requirment</t>
  </si>
  <si>
    <t>AMW QUO910 RFQ packing</t>
  </si>
  <si>
    <t>AMW 03667 DFA New JRI Digital Sensor model</t>
  </si>
  <si>
    <t>AMW 03668 DFA New JRI Digital Sensor model</t>
  </si>
  <si>
    <t>AMW 03669 DFA New JRI Digital Sensor model</t>
  </si>
  <si>
    <t>AMW 03670 DFA New JRI Digital Sensor model</t>
  </si>
  <si>
    <t>JRI confirm air leak test for hanmade part trapper for use this result to modfiy tooling</t>
  </si>
  <si>
    <t>AMW 03457 Numworks weekly meeting</t>
  </si>
  <si>
    <t>GO to Aurum to improve grile viper warp problem</t>
  </si>
  <si>
    <t>Review internal DFA</t>
  </si>
  <si>
    <t>Viper 6Bays DFA review</t>
  </si>
  <si>
    <t>AMW 03457 support preparation line</t>
  </si>
  <si>
    <t>AMW 03210,03211 LightGuide rattle noise.
Fine the glue for use to fix lightguide</t>
  </si>
  <si>
    <t>AMW 03577 Review DFA</t>
  </si>
  <si>
    <t>AMW 03577 check DFM mold document confirmation</t>
  </si>
  <si>
    <t>AMW 03210,03211 LightGuide rattle noise.
Follow up part modify status(LightGuide)</t>
  </si>
  <si>
    <t>Review update 3D data from RND model  A14 camelet</t>
  </si>
  <si>
    <t>Review Revised Data and Final DFM Mold Approval</t>
  </si>
  <si>
    <t>Confirm revised DFM Mold of A14 camelet</t>
  </si>
  <si>
    <t>Viper assembly drawing review and feedback</t>
  </si>
  <si>
    <t>DFM Feedback to Customer and waiting customer review</t>
  </si>
  <si>
    <t>Pre-DFM part viper 6-Bay</t>
  </si>
  <si>
    <t>Trianing conflict management</t>
  </si>
  <si>
    <t>Support engineer confirm tolerance indication condition</t>
  </si>
  <si>
    <t>Share DFM  6 bay to ENG.</t>
  </si>
  <si>
    <t>AMW 03457 Pilot assembly</t>
  </si>
  <si>
    <t>AMW 03210,03211 Support eng simulation strength for lifting project</t>
  </si>
  <si>
    <t xml:space="preserve">JRI Liberty box support PRG confirm texture detail </t>
  </si>
  <si>
    <t>AMW QUO907 NPI Requirment</t>
  </si>
  <si>
    <t>JRI BOM overmold/ MOM as of 19/Feb 26 (Wk08)</t>
  </si>
  <si>
    <t>Trial new insert PEM JIG at TS molymer</t>
  </si>
  <si>
    <t>Support techincal meeting with Aurum</t>
  </si>
  <si>
    <t>Support Eng. assembly Cabinet door for check gap</t>
  </si>
  <si>
    <t>AMW QUO911 RFQ Packing</t>
  </si>
  <si>
    <t>ENSISO</t>
  </si>
  <si>
    <t>Updated Text on outer Label_Viper cabinet</t>
  </si>
  <si>
    <t xml:space="preserve"> Add ESD Tray for PCB &amp; Top cover AMW 03457 in  process</t>
  </si>
  <si>
    <t xml:space="preserve">Fonroche A14 - AMW 03577 - Packaging </t>
  </si>
  <si>
    <t>AMW QUO914 RFQ Packing</t>
  </si>
  <si>
    <t>ML Optic</t>
  </si>
  <si>
    <t>Packing internal process_IES 50 KW</t>
  </si>
  <si>
    <t>updated Text on outer Label_Viper cabinet Rev2</t>
  </si>
  <si>
    <t>Design new box for stand viper</t>
  </si>
  <si>
    <t>AMW 03457 document registration Parameter setting of Shrink warp machine</t>
  </si>
  <si>
    <t>AMW 03211, 03210 follow up comment new box for stand viper</t>
  </si>
  <si>
    <t>AMW03457 Add ESD Tray for PCB &amp; Top cover AMW 03457 in  process</t>
  </si>
  <si>
    <t>AMW QUO918 RFQ Packing</t>
  </si>
  <si>
    <t>Bernina</t>
  </si>
  <si>
    <t>follow up TRACO TIB project - packaging, Large Packing Box (L) and   Small Packing Box (S)</t>
  </si>
  <si>
    <t>AMW QUO921 RFQ Packing</t>
  </si>
  <si>
    <t>updated Text on outer Label_Viper cabinet Rev2 - waiting sample</t>
  </si>
  <si>
    <t>Review DFM of IM70/IM65 of MAATEL</t>
  </si>
  <si>
    <t>Meeting with Supplier and MAATEL for IM70/IM65</t>
  </si>
  <si>
    <t>Observe Pre-audit of Numworks</t>
  </si>
  <si>
    <t>Discuss with Sour about Rubber 70A</t>
  </si>
  <si>
    <t>5S meeting</t>
  </si>
  <si>
    <t>5S Meeting</t>
  </si>
  <si>
    <t>Initial review custmer data for DFA</t>
  </si>
  <si>
    <t>Study component material for overmolding</t>
  </si>
  <si>
    <t>Meeting with Mold maker for overmolding</t>
  </si>
  <si>
    <t>Support Eng. Trial injection of GL0016722-Case Viper for short mold and Gap between both part</t>
  </si>
  <si>
    <t>Review PackingSTD of Face JRI</t>
  </si>
  <si>
    <t>Review technical data of MAATEL</t>
  </si>
  <si>
    <t>Confirm part Face of JRI with SQE about Texture</t>
  </si>
  <si>
    <t>AMW 03457 Techinical meeting for Battery Adhesive New Design and Foam Screen Protection</t>
  </si>
  <si>
    <t>AMW 03457 Techinical meeting for new project charging dock</t>
  </si>
  <si>
    <t>AMW 03457 Follow up supplier about improve dust on protection film</t>
  </si>
  <si>
    <t>PreSerise  assembly Support</t>
  </si>
  <si>
    <t>AMW 03457 Support Numworks pre series audit 24-25-Feb</t>
  </si>
  <si>
    <t xml:space="preserve">Conference call YPC-AMW-NUMWORK </t>
  </si>
  <si>
    <t>(VIPER) Engineering Study for VIPER Power Button Actuation Issue</t>
  </si>
  <si>
    <t>Support SRC help to review overmold quotation</t>
  </si>
  <si>
    <t>Support Quality simulation White key for checking idea reduce rib for improve button cutting</t>
  </si>
  <si>
    <t>AMW 03457 Support numworks pre series wrap process</t>
  </si>
  <si>
    <t>Fine spec 3D prinitng machine for integration team</t>
  </si>
  <si>
    <t>AMW 03457 Print 3D base support assembly for line production</t>
  </si>
  <si>
    <t xml:space="preserve">AMW 03577 Delete  ESD TRAY </t>
  </si>
  <si>
    <t>AMW QUO915 RFQ Packing</t>
  </si>
  <si>
    <t xml:space="preserve">AMW-QUO925 NEW VIPER STAND GL0025010-0000 </t>
  </si>
  <si>
    <t>AMW-QUO920 Rev01.01_project 1650W power supply for Fulham</t>
  </si>
  <si>
    <t>Fulham</t>
  </si>
  <si>
    <t>Training sollidworks</t>
  </si>
  <si>
    <t>AMW 03534 PCBA Supoport sample packing 10 pcs.</t>
  </si>
  <si>
    <t>AMW QUO925 packaging RFQ</t>
  </si>
  <si>
    <t>compair 3D Assemble AMW 03517 REV 11.5 with EN-GL0015879-00 R0</t>
  </si>
  <si>
    <t>kumpon</t>
  </si>
  <si>
    <t>Compair spec 3D prinitng machine for integration team</t>
  </si>
  <si>
    <t>Design concept assemble anti slip number</t>
  </si>
  <si>
    <t>Confirm price information of filament fir printing support GL0016810</t>
  </si>
  <si>
    <t xml:space="preserve">Discuss about the custumer issue with the anti-slip pad </t>
  </si>
  <si>
    <t>Numwork weekly progress</t>
  </si>
  <si>
    <t>Interview candidate new member</t>
  </si>
  <si>
    <t>Interview for the position of NPI</t>
  </si>
  <si>
    <t>List mandatory for manufacturing and rfq</t>
  </si>
  <si>
    <t>Follow up with SRC about button power (rubber)</t>
  </si>
  <si>
    <t>Support technical discuss with supplier Harvard about JRI part</t>
  </si>
  <si>
    <t>JRI weekly progress</t>
  </si>
  <si>
    <t>Confirm JIG attached New Material NW-Foam Screen</t>
  </si>
  <si>
    <t>Trial assembly New material of NW-Foam Screen</t>
  </si>
  <si>
    <t>Follow up assembly of Viper-Case for confirm gap</t>
  </si>
  <si>
    <t>Review customer process for attach new NW-Batt Adhesive</t>
  </si>
  <si>
    <t>Numwoks</t>
  </si>
  <si>
    <t>Discuss with tooling team about New jig NW-Batt-Adhesive</t>
  </si>
  <si>
    <t>Finding dot gauge for Quality department</t>
  </si>
  <si>
    <t xml:space="preserve">Found defect(dot) after visual inspection </t>
  </si>
  <si>
    <t>Confirm NW-Slip pad after improvement</t>
  </si>
  <si>
    <t>Trial attached new NW-Batt Adhesive</t>
  </si>
  <si>
    <t>meeting</t>
  </si>
  <si>
    <t>Meeting discussion about New jig of NW-Foam Screen</t>
  </si>
  <si>
    <t>Confirm dust of NW model with Dot gauge</t>
  </si>
  <si>
    <t>Discussion about NW-Slip pad</t>
  </si>
  <si>
    <t>Modify label template by remove AMW text on label and 2D barcode</t>
  </si>
  <si>
    <t>AMW QUO929 RFQ packing</t>
  </si>
  <si>
    <t>Pro Glove</t>
  </si>
  <si>
    <t>Pack box Cabinet and foam final design sent to customer</t>
  </si>
  <si>
    <t>Request quotation part ESD BOX snd Oink foam AMW 03512/03513</t>
  </si>
  <si>
    <t>AMW QUO917 VIPER 6 BAY CABINET</t>
  </si>
  <si>
    <t>Std packing in IBM: AMW 03577 &amp; AMW 03577 FOAM</t>
  </si>
  <si>
    <t>Visit Exhibition</t>
  </si>
  <si>
    <t>Join simulation exhibitor at AppliCAD Innovation Center</t>
  </si>
  <si>
    <t>Support IND team simulation strength for Cutting key jig</t>
  </si>
  <si>
    <t>Fairland water pump progress meeting</t>
  </si>
  <si>
    <t>Fairland</t>
  </si>
  <si>
    <t>AMW QUO929 RFQ integration requirement</t>
  </si>
  <si>
    <t xml:space="preserve">Support OBC model </t>
  </si>
  <si>
    <t>Update detail for Fairland water pump progress</t>
  </si>
  <si>
    <t>Join to visit new supplier SINGLE  POINT ENGINEERING COMPANY with Qua and SRC</t>
  </si>
  <si>
    <t>Follow progress defect of Numworks preseries</t>
  </si>
  <si>
    <t>AMW 03368 (packing AEG)</t>
  </si>
  <si>
    <t>AMW 03519 (packing + label)</t>
  </si>
  <si>
    <t>AMW 03495 (packing)</t>
  </si>
  <si>
    <t>AMW 03457 (LABEL)</t>
  </si>
  <si>
    <t>AMW 03511 (review packing support customer )</t>
  </si>
  <si>
    <t>Test sample packing Traco TIB 80 120 240 480</t>
  </si>
  <si>
    <t>Review Numworks PreSeries reworks process</t>
  </si>
  <si>
    <t xml:space="preserve">Fine hot glue for attached Lightguide with PCBA </t>
  </si>
  <si>
    <t>DFM part Metal for BouchonCopletNanoSPY</t>
  </si>
  <si>
    <t>Drawing new factory layout</t>
  </si>
  <si>
    <t>Training SolidWorks Simulation</t>
  </si>
  <si>
    <t>Discuss with tesa for new material of battery adhesive</t>
  </si>
  <si>
    <t>Assembly confirm light guide with PCBA by double side tape</t>
  </si>
  <si>
    <t>DFM part plastic for BouchonCopletNanoSPY</t>
  </si>
  <si>
    <t>Discuss pre-mold DFM with HARVARD</t>
  </si>
  <si>
    <t>Measure NW-defect about step between SC protection and TopCover</t>
  </si>
  <si>
    <t>Review new Foam Screen jig concep</t>
  </si>
  <si>
    <t>Foam Screen Jig Discussion</t>
  </si>
  <si>
    <t>Numworks weekly progress</t>
  </si>
  <si>
    <t>Review measurement method with Quality team and adjust measurement program
due to method is not proper</t>
  </si>
  <si>
    <t>Discuss with supplier anti slip pad about appearance comment</t>
  </si>
  <si>
    <t>Support NW-Shrink warp for drop test 60 pcs</t>
  </si>
  <si>
    <t>Technical Meeting with Foamtec about NW-Slip pad how to imrprove</t>
  </si>
  <si>
    <t>Support assembly NW with Top Cover after improved</t>
  </si>
  <si>
    <t>Support SRC review technical term of overmold quotation</t>
  </si>
  <si>
    <t>DFA for BouchonCopletNanoSPY</t>
  </si>
  <si>
    <t>Request PRG confirm about soft mold made for BonChon</t>
  </si>
  <si>
    <t xml:space="preserve">AMW-QUO931(PCBA)  RFQ packing </t>
  </si>
  <si>
    <t>Satys Electronic</t>
  </si>
  <si>
    <t xml:space="preserve">AMW 03457 Technical support for drop test </t>
  </si>
  <si>
    <t>New Fonroche projects - Packing concepts</t>
  </si>
  <si>
    <t>Fonroche</t>
  </si>
  <si>
    <t>New Fonroche projects - Packing concepts AMW 03520 and AMW 03521</t>
  </si>
  <si>
    <t>AMW-QUO932(M-Part) RFQ packing</t>
  </si>
  <si>
    <t>Radio Energig</t>
  </si>
  <si>
    <t>Support packing Numworks for drop test, 60 box</t>
  </si>
  <si>
    <t>AMW-QUO933_x000B_(BoxBuild) RFQ packing</t>
  </si>
  <si>
    <t>Butronik</t>
  </si>
  <si>
    <t xml:space="preserve">AMW-QUO934(PCBA) RFQ packing
</t>
  </si>
  <si>
    <t>Synus power</t>
  </si>
  <si>
    <t>Follow up Numworks master carton difficult to close</t>
  </si>
  <si>
    <t>AMW-QUO935 RFQ packing</t>
  </si>
  <si>
    <t>AMW 03513,03512 SMT, update part packing in process_IES 50kw</t>
  </si>
  <si>
    <t>New Fonroche projects - Packing concepts, AMW 03519/03520/03521/03518/03579</t>
  </si>
  <si>
    <t>Request sample FOAM SUPPORT STAND USA</t>
  </si>
  <si>
    <t>New Fonroche projects - Packing concepts, AMW 03577</t>
  </si>
  <si>
    <t>Updated packing proposals of the Fonroche, with the sticker DO NOT STACK on pallet
AMW 03518/03519/03520/03521/03579/03577</t>
  </si>
  <si>
    <t>Join to support Quality about master carton drop test</t>
  </si>
  <si>
    <t>Pre DFM mold meeting for overmold project supplier PowerMold</t>
  </si>
  <si>
    <t>Feedback about DFM mold engineering perspective</t>
  </si>
  <si>
    <t xml:space="preserve">define the critical dimension for our assy of all raw material Numworks </t>
  </si>
  <si>
    <t>Mold Maker for Over Molding JRI Green Digital Sensor the NPI technical assessment below</t>
  </si>
  <si>
    <t>Finding the root cause and preventive action about problem the Screen protection value over spec</t>
  </si>
  <si>
    <t>Support with eng validate packbox with new foam support for new short stand cabinet viper</t>
  </si>
  <si>
    <t>Follow up anti slip pad after improve appearance surface</t>
  </si>
  <si>
    <t xml:space="preserve"> Foam Screen Jig Trial assembly </t>
  </si>
  <si>
    <t>Packaging job transfer</t>
  </si>
  <si>
    <t>AMW QUO820 rev03 RFQ packing</t>
  </si>
  <si>
    <t>AMW 03457 provide usage for pallet 100*120</t>
  </si>
  <si>
    <t>AMW QUO936 RFQ packing</t>
  </si>
  <si>
    <t>AMW 03577 create packing proposal send to tech-Eng for request customer</t>
  </si>
  <si>
    <t xml:space="preserve">AMW  03577 customer support audit </t>
  </si>
  <si>
    <t xml:space="preserve">Support JRI liberty box pre series </t>
  </si>
  <si>
    <t>AMW 03457 MP monitoring</t>
  </si>
  <si>
    <t>Numwork Confrim sample drop test with QA</t>
  </si>
  <si>
    <t>Design packing and finding part for AMW-03579</t>
  </si>
  <si>
    <t>Air leak test after get JRI-Trapp modification</t>
  </si>
  <si>
    <t>COnfirm part trap after modify</t>
  </si>
  <si>
    <t>Design packing and finding part for AMW-03256-R.BD</t>
  </si>
  <si>
    <t>Confirm NEW foam-C with density 22</t>
  </si>
  <si>
    <t>Confirm NW-Anti Slip pad with new color</t>
  </si>
  <si>
    <t>AMW-QUO947 Rev01.01 - project T411 part 2 for LEACH RFQZ Packing</t>
  </si>
  <si>
    <t>Leach</t>
  </si>
  <si>
    <t>RFQ for Tray ESD TRAY AMW 03721 confirmation tray plug nano</t>
  </si>
  <si>
    <t>AMW-QUO951 Rev01.01 RFQ packing</t>
  </si>
  <si>
    <t>Confirm Internal packaging  for PCBA external packaging for Module and Cabinet for viper 600v.</t>
  </si>
  <si>
    <t>AMW-QUO507 Rev.06.01 for Numworks  RFQ packing</t>
  </si>
  <si>
    <t>BAT - Numworks low voltage meeting</t>
  </si>
  <si>
    <t xml:space="preserve">Design Packing concept of AMW 03716 &amp; 03718 </t>
  </si>
  <si>
    <t>Design Packing concept of AMW 03520 &amp; 03521</t>
  </si>
  <si>
    <t xml:space="preserve">NW-FOAM SCN-S propose to relax the tolerance </t>
  </si>
  <si>
    <t>Packing of AMW 03716 MAATEL</t>
  </si>
  <si>
    <t>Packing of AMW 03718 MAATEL</t>
  </si>
  <si>
    <t>Packing of AMW 03545 OBC</t>
  </si>
  <si>
    <t>ณฎฆ</t>
  </si>
  <si>
    <t>AMW 03530 SP support sample packing 5 pcs. (shipment)
MO: 17125319</t>
  </si>
  <si>
    <t>TRACO</t>
  </si>
  <si>
    <t>Design NM-Foam to extend dimension to cover coner of carton</t>
  </si>
  <si>
    <t>AMW-03256-R.BD support packing for shipment</t>
  </si>
  <si>
    <t>Kick-Off RFQ project of AMW-QUO944</t>
  </si>
  <si>
    <t>List up product to shiment within this week</t>
  </si>
  <si>
    <t>MP Quality issue and improvement action for AMW 03457</t>
  </si>
  <si>
    <t>JRI support packing to shipment</t>
  </si>
  <si>
    <t>AMW 03710 support sample packing 25 pcs. (shipment)
MO. 29555101</t>
  </si>
  <si>
    <t>ENSTO</t>
  </si>
  <si>
    <t>AMW 03676 support sample packing  (400 pcs)</t>
  </si>
  <si>
    <t>AMW 03577 Create Label for support attached master carton</t>
  </si>
  <si>
    <t>AMW QUO907 confirmation posibility  to change Poco pin - Connector to poco pin - Soldering</t>
  </si>
  <si>
    <t xml:space="preserve">MG </t>
  </si>
  <si>
    <t xml:space="preserve">Follow up src wood crate box model 3.5kW to use screw </t>
  </si>
  <si>
    <t>Support cutting pattition for AMW  03577 MP</t>
  </si>
  <si>
    <t>Nattachai</t>
  </si>
  <si>
    <t>Support packing AMW 03710</t>
  </si>
  <si>
    <t>Trianing Solidworks</t>
  </si>
  <si>
    <t>AMW QUO949 RFQ Packing</t>
  </si>
  <si>
    <t>Chutiporn</t>
  </si>
  <si>
    <t>AMW QUO949 NPI integration requirement</t>
  </si>
  <si>
    <t>AMW QUO944 RFQ Packing</t>
  </si>
  <si>
    <t>AMW QUO944 NPI integration requirement</t>
  </si>
  <si>
    <t>AMW QUO879 RFQ Packing</t>
  </si>
  <si>
    <t>Actia</t>
  </si>
  <si>
    <t>AMW QUO879 NPI integration requirement</t>
  </si>
  <si>
    <t>Initial review custmer data for DFM</t>
  </si>
  <si>
    <t>DFM feedback for JRI Nano plug</t>
  </si>
  <si>
    <t xml:space="preserve">Support adjust shirkwarp machine </t>
  </si>
  <si>
    <t>Numworks monitoring production packing with new foam-C (5+3 mm)</t>
  </si>
  <si>
    <t>Kick-off Meeting_Hapticore4 PROTOTYPE_PO# 2613-0554  (per Quotation: AMW-QUO906 Rev02)</t>
  </si>
  <si>
    <t>Design External packaging for AMW 03317</t>
  </si>
  <si>
    <t>Design external packaging for AMW 03317</t>
  </si>
  <si>
    <t>Re Design External packaging for  AMW03454 OBC</t>
  </si>
  <si>
    <t>Review and suggest relax tolerance of NW-Foam Screen</t>
  </si>
  <si>
    <t>Packing of AMW 03189 Viper</t>
  </si>
  <si>
    <t>Packing of AMW 03614 Viper</t>
  </si>
  <si>
    <t>Design Packaging of AMW 03454 OBC</t>
  </si>
  <si>
    <t>Trial assembly NW-Batt Adhesive of Delson</t>
  </si>
  <si>
    <t>Take action solution of AMW 03676 LEACH about Packing Drop</t>
  </si>
  <si>
    <t>Packing of AMW 03454 OBC</t>
  </si>
  <si>
    <t>Confirm NM-Foam C with 10 mm and 5 mm for consume stock</t>
  </si>
  <si>
    <t>Packing of AMW 03369 AEG : 28-Apr</t>
  </si>
  <si>
    <t>Packing of AMW 03275 AEG : 28-Apr</t>
  </si>
  <si>
    <t>Support confirm ID box of master carton numworks</t>
  </si>
  <si>
    <t>AMW 03577 support cutting partition</t>
  </si>
  <si>
    <t>Design packing AMW 03189 Viper</t>
  </si>
  <si>
    <t>Design packing AMW 03614 Viper</t>
  </si>
  <si>
    <t>AMW 03551 - AMW-QUO733 rev06 RFQ Packing</t>
  </si>
  <si>
    <t>Atlantic</t>
  </si>
  <si>
    <t>Review Numwork Battery -- alternative source from ZD</t>
  </si>
  <si>
    <t>1st Standalone Internal DFM mold review</t>
  </si>
  <si>
    <t>1st Standalone DFM mold meeting</t>
  </si>
  <si>
    <t>2nd Standalone Internal DFM mold review</t>
  </si>
  <si>
    <t>2nd Standalone DFM mold review</t>
  </si>
  <si>
    <t>1st 6bays Internal DFM mold review</t>
  </si>
  <si>
    <t>1st 6Bays DFM mold review</t>
  </si>
  <si>
    <t>2nd 6Bays Internal DFM mold review</t>
  </si>
  <si>
    <t>Tae</t>
  </si>
  <si>
    <t>2nd Standalone DFM mold meeting</t>
  </si>
  <si>
    <t>1st 6bays  DFM mold meeting</t>
  </si>
  <si>
    <t>Review steel bar DFM part for localization</t>
  </si>
  <si>
    <t>Review Heatsink DFM part for localization</t>
  </si>
  <si>
    <t>2nd 6Bays Internal DFM mold meeting</t>
  </si>
  <si>
    <t>AMW QUO958 Rev01</t>
  </si>
  <si>
    <t xml:space="preserve"> AMW-QUO957 Rev01.01 RFQ Packing</t>
  </si>
  <si>
    <t xml:space="preserve">Digital Power Systems </t>
  </si>
  <si>
    <t>AMW 03545-OBC Elips720 for IES_Redesign of Packing Concept</t>
  </si>
  <si>
    <t xml:space="preserve">Support customer STIWA </t>
  </si>
  <si>
    <t xml:space="preserve">Review the new proposal of project updated and timeline for the stand alone project. </t>
  </si>
  <si>
    <t>AMW QUO961 EMERSON project alignment</t>
  </si>
  <si>
    <t>Emerson</t>
  </si>
  <si>
    <t xml:space="preserve">JRI weekly meeting </t>
  </si>
  <si>
    <t>Plastic for JRI Nano Plug QUO874</t>
  </si>
  <si>
    <t xml:space="preserve">Packaging Design of AMW 03207 BOARD VIPER </t>
  </si>
  <si>
    <t>Packaging Design of AMW 03661 AEG</t>
  </si>
  <si>
    <t>Packing of AMW 03520 FONROCHE ( Repacking )</t>
  </si>
  <si>
    <t>Packing of AMW 03521 FONROCHE ( Repacking )</t>
  </si>
  <si>
    <t xml:space="preserve">Packing of AMW 03207 BOARD VIPER </t>
  </si>
  <si>
    <t xml:space="preserve">Confirm NW-Reset Silicone with NEW grey color </t>
  </si>
  <si>
    <t>Packing of AMW 03685 AEG</t>
  </si>
  <si>
    <t>Packing of AMW 03661 AEG</t>
  </si>
  <si>
    <t>Packing of AMW 03371 AEG</t>
  </si>
  <si>
    <t>KAIZEN</t>
  </si>
  <si>
    <t>Kaizen JIG attached Foam screen NW</t>
  </si>
  <si>
    <t>Packing of AMW 03275 AEG</t>
  </si>
  <si>
    <t>Packing of AMW 03675 LEACH</t>
  </si>
  <si>
    <t>GUTOR Localization (Heat Sink)_x000B_Drawing comparison between _x000B_Readore and Customer</t>
  </si>
  <si>
    <t>Metal for JRI Nano plug</t>
  </si>
  <si>
    <t>GUTOR (Heat Sink)_x000B_Drawing comparison between _x000B_New Propose 16 FIN &amp; 851-9876 Rev.02</t>
  </si>
  <si>
    <t>Prepare customer label</t>
  </si>
  <si>
    <t>Prepare Label AMW 03739 AUX Board GL0023748-0000-3.2</t>
  </si>
  <si>
    <t>Prepare Label  AMW 03206-01-13.5 Backplane GL0014718-0001-13.5</t>
  </si>
  <si>
    <t>Prepare Label AMW 03209-01-13.5 EMC GL0016316-0001-13.5</t>
  </si>
  <si>
    <t>Prepare Label AMW 03156-00-13.8 Control Board GL0013339-0000-13.8</t>
  </si>
  <si>
    <t>Prepare Label AMW 03157-02-13.7 Power Board GL0013336-0002-13.7</t>
  </si>
  <si>
    <t>Prepare Label AMW 03208-00-8.4 GL0015848-0000 DISPLAY BOARD ENTRY</t>
  </si>
  <si>
    <t>Label AMW 03577</t>
  </si>
  <si>
    <t>Label AMW 03746</t>
  </si>
  <si>
    <t>Label AMW 03668</t>
  </si>
  <si>
    <t>Trial tooling</t>
  </si>
  <si>
    <t>Visit for technical confirmation</t>
  </si>
  <si>
    <t>Confirm Heat sink quotation_DONGGUAN READORE</t>
  </si>
  <si>
    <t>GUTOR Localization and Cost reduction timeline (Metal bar)</t>
  </si>
  <si>
    <t>Follow up DFM Viper Stand-alone &amp; 6 Bays</t>
  </si>
  <si>
    <t>DFM Mold metal part of standalond</t>
  </si>
  <si>
    <t>barTender print training</t>
  </si>
  <si>
    <t>Prepare label AMW 03156 (Revise digit follow customer request)</t>
  </si>
  <si>
    <t>Prepare label AMW 03209 (Revise digit follow customer request)</t>
  </si>
  <si>
    <t xml:space="preserve">Discuss OBC packing </t>
  </si>
  <si>
    <t xml:space="preserve">Technical support for confirm PaperPad subtitute for MP AMW 03100 </t>
  </si>
  <si>
    <t>AMW QUO889 Rev2.01 Packing RFQ</t>
  </si>
  <si>
    <t>[REQ] New Tray for Magnetic Parts (Stiwa)</t>
  </si>
  <si>
    <t>AMW 03617-01-02 design packing concept</t>
  </si>
  <si>
    <t xml:space="preserve">AMW QUO961 (5 Box Build/20 PCBA) RFQ Packing </t>
  </si>
  <si>
    <t>Emersob</t>
  </si>
  <si>
    <t>Visit for technical confirmation Fagerdala</t>
  </si>
  <si>
    <t>Support confirm est. net and gross weight of  Kit Option 3BAY - AMW 03617</t>
  </si>
  <si>
    <t>AMW-QUO969_x000B_(5 PCBA) RFQ Packing</t>
  </si>
  <si>
    <t xml:space="preserve">Staubli Hangzhou
</t>
  </si>
  <si>
    <t xml:space="preserve">Confirm tray plug nano </t>
  </si>
  <si>
    <t>AMW-QUO924_x000B_(1 PCBA) RFQ packing</t>
  </si>
  <si>
    <t xml:space="preserve">AMW-QUO967_x000B_(3 PCBA) </t>
  </si>
  <si>
    <t>EMSISO</t>
  </si>
  <si>
    <t>DFM Part of new project from traco (Not have RFQ)</t>
  </si>
  <si>
    <t>Packing of AMW 03530 TRACO</t>
  </si>
  <si>
    <t>Packing of AMW 03531 TRACO</t>
  </si>
  <si>
    <t>Packing of AMW 03533 TRACO</t>
  </si>
  <si>
    <t>Packing of AMW 03534 TRACO</t>
  </si>
  <si>
    <t>DFM meeting for overmold of JRI</t>
  </si>
  <si>
    <t xml:space="preserve">Packing of AMW 02517 SLAT </t>
  </si>
  <si>
    <t>SLAT</t>
  </si>
  <si>
    <t>Packing sample AMW 03667/JRI</t>
  </si>
  <si>
    <t>JRI GDS Project go to supplier for DFM mold and confirm assessory need for injection machine</t>
  </si>
  <si>
    <t>AMW 03457 SP/NUMWORK support packing</t>
  </si>
  <si>
    <t>AMW 03739 PCB/VIPER support packing</t>
  </si>
  <si>
    <t xml:space="preserve">Confirm DFM mold JRI overmold green digital </t>
  </si>
  <si>
    <t xml:space="preserve">Packing of AMW 03626 IES </t>
  </si>
  <si>
    <t>Packing of AMW 03724 SEFAM</t>
  </si>
  <si>
    <t>SEFAM</t>
  </si>
  <si>
    <t>Injection Machine ETA AMW wk22.</t>
  </si>
  <si>
    <t>Review technical data of NW SP10 individual box and ship boxwith Customer and supplier</t>
  </si>
  <si>
    <t>Confirm SP10 all box</t>
  </si>
  <si>
    <t>Analysis Viper problem about WIMA with team</t>
  </si>
  <si>
    <t>Withdraw the plastic bag from the stock without returning.</t>
  </si>
  <si>
    <t>request Box Compression Test of AMW Carton</t>
  </si>
  <si>
    <t>PARTITION_QUO733 Atlantic - Updated Drawing</t>
  </si>
  <si>
    <t>PARTITION_QUO924 - Updated Drawing</t>
  </si>
  <si>
    <t xml:space="preserve">COnfirm OBC sample box </t>
  </si>
  <si>
    <t>Packing Concept of AMW03540-44_SLAT - Updated</t>
  </si>
  <si>
    <t xml:space="preserve"> AMW-QUO606 Rev.06.02 : Update packaging assy confirm partition and inform problem to supplier</t>
  </si>
  <si>
    <t>AMW-QUO889 Rev01.01 confirm RFQ packing</t>
  </si>
  <si>
    <t>DFA viper standalone after customer update 3D part</t>
  </si>
  <si>
    <t xml:space="preserve">Viper standalone clearance check 
</t>
  </si>
  <si>
    <t xml:space="preserve">Confirm design Tray AMW 03675 </t>
  </si>
  <si>
    <t>Weigth packing sample of SP10</t>
  </si>
  <si>
    <t>Update packaging by remove ESD bag and Tie/AMW 03551 - AMW-QUO733</t>
  </si>
  <si>
    <t>ESD COVER_AMW QUO889 - Alternative Materials</t>
  </si>
  <si>
    <t>AMW-QUO972 Rev01.01 for Gutor RFQ packing</t>
  </si>
  <si>
    <t xml:space="preserve">GUTOR
</t>
  </si>
  <si>
    <t>AMW 03676 LEACH support packing</t>
  </si>
  <si>
    <t>AMW 03530 SP TRACO support packing</t>
  </si>
  <si>
    <t>AMW 03531 SP TRACO support packing</t>
  </si>
  <si>
    <t>AMW 03533 SP TRACO support packing</t>
  </si>
  <si>
    <t>AMW 03534 SP TRACO support packing</t>
  </si>
  <si>
    <t xml:space="preserve">Discuss about the measurement concept Straingauge with supplier
</t>
  </si>
  <si>
    <t>Discuss about the measurement concept Straingauge with supplier</t>
  </si>
  <si>
    <t>Support assy New NW-Batt Adhesive and pull test</t>
  </si>
  <si>
    <t>AMW 03511 update Label detail</t>
  </si>
  <si>
    <t>AMW 03545 update Label detail</t>
  </si>
  <si>
    <t>Training solidworks Assembly</t>
  </si>
  <si>
    <t>AMW-QUO957 Rev 02.01 - HDS20 Power Supply Unit for DPS</t>
  </si>
  <si>
    <t xml:space="preserve">COnfirm assembly Mastercarton box with foam 10 mm </t>
  </si>
  <si>
    <t>Support packing NW SP10 to drop test</t>
  </si>
  <si>
    <t>Review DFM Viper Standalone of Sirikomol</t>
  </si>
  <si>
    <t>(Tentative) Viper Standalone DFM meeting w/Sirikomol</t>
  </si>
  <si>
    <t>AMW QUO968 Enersys Cable charger GL0024410-0000</t>
  </si>
  <si>
    <t>Withdraw the plastic bag from the stock without returning</t>
  </si>
  <si>
    <t xml:space="preserve">GUTOR Localization  NPI Integration Metal part DFM
</t>
  </si>
  <si>
    <t>NPI Integration Metal part DFM Heatsink READORE</t>
  </si>
  <si>
    <t xml:space="preserve">DFM plastic parts of new product TRACO new model </t>
  </si>
  <si>
    <t>Update packaging Packing Concept of AMW 03743 for STIWA</t>
  </si>
  <si>
    <t>AMW03486 edit label template</t>
  </si>
  <si>
    <t xml:space="preserve">	FONROCHE</t>
  </si>
  <si>
    <t>AMW03100 edit label template</t>
  </si>
  <si>
    <t>MAATEL</t>
  </si>
  <si>
    <t>AMW03520-1 edit label template</t>
  </si>
  <si>
    <t>AMW 03521-1 edit label template</t>
  </si>
  <si>
    <t>Tape test label for JRI green digital sensor</t>
  </si>
  <si>
    <t>AMW-QUO957(BoxBuild+PCBA)
RFQ packing</t>
  </si>
  <si>
    <t xml:space="preserve">Digital power_x000B_systems
</t>
  </si>
  <si>
    <t>Confirm Retail foam c 5 mm for support stack 5 layer</t>
  </si>
  <si>
    <t>Make record document packing part  (N' After)</t>
  </si>
  <si>
    <t>AMW-QUO975_x000B_(BoxBuild+PCBA)
RFQ oacking</t>
  </si>
  <si>
    <t>my-PV</t>
  </si>
  <si>
    <t xml:space="preserve">Confirm Tray ESD TRAY AMW 03721 Plug nano </t>
  </si>
  <si>
    <t xml:space="preserve">Packing of AMW 02517 </t>
  </si>
  <si>
    <t>AMW 03617-00-01 Kick off meeting</t>
  </si>
  <si>
    <t>JRI Weekly meeting</t>
  </si>
  <si>
    <t>AMW03577 prepare label template</t>
  </si>
  <si>
    <t>AMW03519 prepare lable template</t>
  </si>
  <si>
    <t xml:space="preserve">Create drawing Sheet Metal / Plastics Quote </t>
  </si>
  <si>
    <t>Visit Manufacturing process exhibition</t>
  </si>
  <si>
    <t xml:space="preserve">Confirm Readore 3D drwing of heatsink </t>
  </si>
  <si>
    <t xml:space="preserve">Viper 6 bays clearance checking </t>
  </si>
  <si>
    <t>Technical support drop test information question from prg.</t>
  </si>
  <si>
    <t>Module GUTOR damaged meeting</t>
  </si>
  <si>
    <t>Make WI to training team for handmade JRI AMW 03668</t>
  </si>
  <si>
    <t>Make WI to training team for handmade JRI AMW 03669</t>
  </si>
  <si>
    <t>Clarify the correct product structure of JRI  AMW 03669, AMW 03670
and request revise Drawing and BOM</t>
  </si>
  <si>
    <t>Make Handmade part for JRI overmolding</t>
  </si>
  <si>
    <t>Follow up DFM Viper Stand-alone meeting with customer</t>
  </si>
  <si>
    <t>Traco Power new product DFM part</t>
  </si>
  <si>
    <t>Prepare KAIZEN report</t>
  </si>
  <si>
    <t>Artwork proof for individule box Retail and SchoolProperties Numworks</t>
  </si>
  <si>
    <t>AMW QUO976 RFQ packing design</t>
  </si>
  <si>
    <t>Kick-Off New Project AMW 03767</t>
  </si>
  <si>
    <t xml:space="preserve"> Kick-Off New Project AMW 03767</t>
  </si>
  <si>
    <t>AMW 03511 – Packing Design Issue / Container Loading</t>
  </si>
  <si>
    <t xml:space="preserve">Confirm tray for product AMW 03754, AMW 03755 </t>
  </si>
  <si>
    <t>AMW 03743 STIWA support packing</t>
  </si>
  <si>
    <t>JRI weekly project review</t>
  </si>
  <si>
    <t>Follow up  TRI-BESTECH: AMW - INJECTION MOLDING MACHINE</t>
  </si>
  <si>
    <t>Injection sample JRI green digital sensor at harvard (T0)</t>
  </si>
  <si>
    <t>Confirm DFA Powerboard of viper version 14.5</t>
  </si>
  <si>
    <t>Kick off MCON Project</t>
  </si>
  <si>
    <t>AMW QUO818 NPI Integrtaion requirement</t>
  </si>
  <si>
    <t>Basic Label Training by Brady</t>
  </si>
  <si>
    <t>EnerSys</t>
  </si>
  <si>
    <t xml:space="preserve">Confirm 5 push pins – S08FNT0F Rev. H and 4 push pins – S08FNT0D Rev. J </t>
  </si>
  <si>
    <t>Review Kick off MCON project</t>
  </si>
  <si>
    <t>AMW-QUO972 Rev02.01 RFQ Packing</t>
  </si>
  <si>
    <t>AMW 03486-WE prepare and share packing concept</t>
  </si>
  <si>
    <t>AMW 03734 prepare and share packing concept</t>
  </si>
  <si>
    <t>Mattel</t>
  </si>
  <si>
    <t>AMW 03743 STIWA prepare and share packing concept</t>
  </si>
  <si>
    <t>AMW QUO984 RFQ packing</t>
  </si>
  <si>
    <t>AMW 03502 prepare and share packing sample concept</t>
  </si>
  <si>
    <t>AMW-QUO776 Rev03.01 RFQ Packing</t>
  </si>
  <si>
    <t>Prepare and sharing packing concept sample AMW03533SP, AMW03534SP, 03535</t>
  </si>
  <si>
    <t>Update external pacckaging concept for mode AMW 03767</t>
  </si>
  <si>
    <t xml:space="preserve">Confirm TRACO TIP MasterCarton packing concept </t>
  </si>
  <si>
    <t>AMW 03719 prepare and sharing packing concept sample</t>
  </si>
  <si>
    <t xml:space="preserve">AMW 03617-00-01 Kit option packing standard </t>
  </si>
  <si>
    <t>Confirm customer quetion for AMW03743 Haoticore4</t>
  </si>
  <si>
    <t>Preapare Action report for AMW 03676 LEACH that found packaging damaged</t>
  </si>
  <si>
    <t>Review AMW 03668 overmolding's measurement data of HV and AMW</t>
  </si>
  <si>
    <t>Prepare improvement report for improvement Overmolding AMW 03668 to HV</t>
  </si>
  <si>
    <t>Confirm JRI digital sensor product</t>
  </si>
  <si>
    <t>Prepare cable spec for soldering of JRI AMW 03689</t>
  </si>
  <si>
    <t>Join meeting for ZWCAD software presentation</t>
  </si>
  <si>
    <t>Visit Satys for observe injection machine</t>
  </si>
  <si>
    <t>Check 3D update for JRI AMW 03669 and prepare report for confim with customer</t>
  </si>
  <si>
    <t>Confirm updated drawing of MAATEL AMW 03715</t>
  </si>
  <si>
    <t>Checking part trial</t>
  </si>
  <si>
    <t>Confirm plastic part plug nano T0</t>
  </si>
  <si>
    <t>Review DFM of MAATEL AMW 03715 after Cutomer feedback</t>
  </si>
  <si>
    <t>Prepare Jig concept for JRI AMW 03669&amp;AMW 03670</t>
  </si>
  <si>
    <t>Prepare label template for AMW 03767</t>
  </si>
  <si>
    <t>Initial review DFM MCON</t>
  </si>
  <si>
    <t>Initial review DFA MCON</t>
  </si>
  <si>
    <t>GUTOR</t>
  </si>
  <si>
    <t>Confirm customer feed back AMW 03746</t>
  </si>
  <si>
    <t>Confirm item to request Eng to request Customer for DFM/DFA MCON project</t>
  </si>
  <si>
    <t>Create packing concept of magnetic follow customer request</t>
  </si>
  <si>
    <t>Confirm tray plug nano AMW03721</t>
  </si>
  <si>
    <t>AMW 03542 prepare temp packing concept</t>
  </si>
  <si>
    <t>AMW 03685 prepare temp packing concept</t>
  </si>
  <si>
    <t>Confirm Packing standard for external send of AMW 03754, AMW03755</t>
  </si>
  <si>
    <t>Confirm tray plug nano AMW03721 Rev2</t>
  </si>
  <si>
    <t>Confirm tray of bernina AMW 03767</t>
  </si>
  <si>
    <t>AMW 03661 share temp pack concept</t>
  </si>
  <si>
    <t>AMW QUO981 RFQ packing</t>
  </si>
  <si>
    <t>AMW QUO818 rev 03.01 RFQ packaging</t>
  </si>
  <si>
    <t>AMW QUO997 RFQ Packing</t>
  </si>
  <si>
    <t>Molex</t>
  </si>
  <si>
    <t>Technical support trial individual box for numworks SP</t>
  </si>
  <si>
    <t>Update label template of AMW 03486-WE</t>
  </si>
  <si>
    <t>Part DFM MCON</t>
  </si>
  <si>
    <t>DFA MCON</t>
  </si>
  <si>
    <t>Weekly tooling progress follow up(AMW-YPC) Stand-alone project</t>
  </si>
  <si>
    <t>Update label template of Gutor IGBT ANW 03256-R.BD</t>
  </si>
  <si>
    <t>Confirm assembly plug nano T0 Metal with plastic part</t>
  </si>
  <si>
    <t>Review DFA for light guide and CoverPanel of Cabinet viper</t>
  </si>
  <si>
    <t>Confirm foam Estimate Quotation for Kaizen</t>
  </si>
  <si>
    <t>JRI Overmold project meeting</t>
  </si>
  <si>
    <t xml:space="preserve"> AMW-QUO770 Rev 01.01 _ Project IM65XI DFM Mold</t>
  </si>
  <si>
    <t>AMW 03669/AMW 03670 3D confirmation.</t>
  </si>
  <si>
    <t>Overmold project follow up specification and document with satys</t>
  </si>
  <si>
    <t>AMW QUO981 NPI integration requirement</t>
  </si>
  <si>
    <t>Check DFM/DFA MCON</t>
  </si>
  <si>
    <t>Create kaizen ducument</t>
  </si>
  <si>
    <t>Update pallet layout for Numworks</t>
  </si>
  <si>
    <t>Category</t>
  </si>
  <si>
    <t>Sort</t>
  </si>
  <si>
    <t>Task name</t>
  </si>
  <si>
    <t>Name List</t>
  </si>
  <si>
    <t>Niran</t>
  </si>
  <si>
    <t>Tanawit</t>
  </si>
  <si>
    <t>ข</t>
  </si>
  <si>
    <t>DFM</t>
  </si>
  <si>
    <t>Somchai</t>
  </si>
  <si>
    <t>Vanassanan</t>
  </si>
  <si>
    <t>Internal DFM</t>
  </si>
  <si>
    <t>DFA</t>
  </si>
  <si>
    <t>PACKING</t>
  </si>
  <si>
    <t xml:space="preserve">                </t>
  </si>
  <si>
    <t>Review Revised Data and Final internal DFM Approval</t>
  </si>
  <si>
    <t>Review Part and Assembly level</t>
  </si>
  <si>
    <t>Confirm Q'ty for assembly event and time to assembly</t>
  </si>
  <si>
    <t>Improve working process</t>
  </si>
  <si>
    <t>MP assembly support</t>
  </si>
  <si>
    <t>Process Improvement</t>
  </si>
  <si>
    <t>Planing</t>
  </si>
  <si>
    <t>Create assembly flow</t>
  </si>
  <si>
    <t>Review Revised Data and Final internal DFA Approval</t>
  </si>
  <si>
    <t>Support adjust CAD data</t>
  </si>
  <si>
    <t>Ratio</t>
  </si>
  <si>
    <t>Pending task</t>
  </si>
  <si>
    <t>Close vs open</t>
  </si>
  <si>
    <t>Overdue</t>
  </si>
  <si>
    <t>Close</t>
  </si>
  <si>
    <t>(หลายรายการ)</t>
  </si>
  <si>
    <t>ป้ายชื่อแถว</t>
  </si>
  <si>
    <t>Count of TASK</t>
  </si>
  <si>
    <t>Count of Status</t>
  </si>
  <si>
    <t>ป้ายชื่อคอลัมน์</t>
  </si>
  <si>
    <t>sort</t>
  </si>
  <si>
    <t>Count of OverDue Aleart</t>
  </si>
  <si>
    <t>Count of Performace
status</t>
  </si>
  <si>
    <t>total</t>
  </si>
  <si>
    <t>On process</t>
  </si>
  <si>
    <t>On Process</t>
  </si>
  <si>
    <t>(ว่าง)</t>
  </si>
  <si>
    <t>Closed</t>
  </si>
  <si>
    <t>On time</t>
  </si>
  <si>
    <t>On Time</t>
  </si>
  <si>
    <t>ผลรวมทั้งหมด</t>
  </si>
  <si>
    <t>ontime</t>
  </si>
  <si>
    <t>May</t>
  </si>
  <si>
    <t>delay</t>
  </si>
  <si>
    <t>Jun</t>
  </si>
  <si>
    <t>Jul</t>
  </si>
  <si>
    <t>Jan</t>
  </si>
  <si>
    <t>other task</t>
  </si>
  <si>
    <t>Weekly ratio</t>
  </si>
  <si>
    <t>Feb</t>
  </si>
  <si>
    <t>Mar</t>
  </si>
  <si>
    <t>Apr</t>
  </si>
  <si>
    <t>Task count</t>
  </si>
  <si>
    <t>Customer</t>
  </si>
  <si>
    <t>Cat Power Design</t>
  </si>
  <si>
    <t xml:space="preserve">Blue Wave Technologies </t>
  </si>
  <si>
    <t>Tea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</si>
</sst>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mm/dd/yy;@"/>
    <numFmt numFmtId="165" formatCode="d"/>
    <numFmt numFmtId="166" formatCode="[$-409]d\-mmm\-yyyy;@"/>
    <numFmt numFmtId="167" formatCode="dd\ mmmm\ yyyy"/>
    <numFmt numFmtId="168" formatCode="[$-409]d\-mmm\-yy;@"/>
    <numFmt numFmtId="169" formatCode="0.0%"/>
    <numFmt numFmtId="170" formatCode="dd/mm/yyyy"/>
  </numFmts>
  <fonts count="19">
    <font>
      <sz val="8"/>
      <color theme="1"/>
      <name val="Calibri"/>
      <family val="2"/>
      <scheme val="minor"/>
    </font>
    <font>
      <b/>
      <sz val="24"/>
      <color theme="1"/>
      <name val="Calibri"/>
      <family val="2"/>
      <scheme val="minor"/>
    </font>
    <font>
      <b/>
      <sz val="8"/>
      <color theme="1"/>
      <name val="Calibri"/>
      <family val="2"/>
      <scheme val="minor"/>
    </font>
    <font>
      <b/>
      <sz val="8"/>
      <color theme="0"/>
      <name val="Calibri"/>
      <family val="2"/>
      <scheme val="minor"/>
    </font>
    <font>
      <sz val="8"/>
      <name val="Calibri"/>
      <family val="2"/>
      <scheme val="minor"/>
    </font>
    <font>
      <b/>
      <sz val="8"/>
      <name val="Calibri"/>
      <family val="2"/>
      <scheme val="minor"/>
    </font>
    <font>
      <b/>
      <sz val="8"/>
      <color theme="0" tint="-0.249977111117893"/>
      <name val="Calibri"/>
      <family val="2"/>
      <scheme val="minor"/>
    </font>
    <font>
      <b/>
      <sz val="12"/>
      <color theme="1"/>
      <name val="Calibri"/>
      <family val="2"/>
      <scheme val="minor"/>
    </font>
    <font>
      <b/>
      <sz val="9"/>
      <color theme="1"/>
      <name val="Calibri"/>
      <family val="2"/>
      <scheme val="minor"/>
    </font>
    <font>
      <sz val="8"/>
      <color theme="1"/>
      <name val="Calibri"/>
      <family val="2"/>
      <scheme val="minor"/>
    </font>
    <font>
      <b/>
      <sz val="16"/>
      <color theme="1"/>
      <name val="Calibri"/>
      <family val="2"/>
      <scheme val="minor"/>
    </font>
    <font>
      <sz val="8"/>
      <color theme="0"/>
      <name val="Calibri"/>
      <family val="2"/>
      <scheme val="minor"/>
    </font>
    <font>
      <b/>
      <sz val="16"/>
      <color theme="0"/>
      <name val="Calibri"/>
      <family val="2"/>
      <scheme val="minor"/>
    </font>
    <font>
      <sz val="11"/>
      <color rgb="FF006100"/>
      <name val="Calibri"/>
      <family val="2"/>
      <scheme val="minor"/>
    </font>
    <font>
      <sz val="16"/>
      <color rgb="FF006100"/>
      <name val="Calibri"/>
      <family val="2"/>
      <scheme val="minor"/>
    </font>
    <font>
      <sz val="12"/>
      <color theme="1"/>
      <name val="Calibri"/>
      <family val="2"/>
      <scheme val="minor"/>
    </font>
    <font>
      <sz val="12"/>
      <name val="Calibri"/>
      <family val="2"/>
    </font>
    <font>
      <sz val="12"/>
      <name val="Calibri"/>
      <family val="2"/>
      <scheme val="minor"/>
    </font>
    <font>
      <sz val="14"/>
      <color theme="1"/>
      <name val="Calibri"/>
      <family val="2"/>
      <scheme val="minor"/>
    </font>
  </fonts>
  <fills count="16">
    <fill>
      <patternFill patternType="none"/>
    </fill>
    <fill>
      <patternFill patternType="gray125"/>
    </fill>
    <fill>
      <patternFill patternType="solid">
        <fgColor theme="4" tint="-0.249977111117893"/>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rgb="FFFFD966"/>
        <bgColor rgb="FF000000"/>
      </patternFill>
    </fill>
    <fill>
      <patternFill patternType="solid">
        <fgColor rgb="FF6699FF"/>
        <bgColor indexed="64"/>
      </patternFill>
    </fill>
    <fill>
      <patternFill patternType="solid">
        <fgColor rgb="FF99CCFF"/>
        <bgColor indexed="64"/>
      </patternFill>
    </fill>
    <fill>
      <patternFill patternType="solid">
        <fgColor rgb="FFCCECFF"/>
        <bgColor indexed="64"/>
      </patternFill>
    </fill>
    <fill>
      <patternFill patternType="solid">
        <fgColor rgb="FF66CCFF"/>
        <bgColor indexed="64"/>
      </patternFill>
    </fill>
    <fill>
      <patternFill patternType="solid">
        <fgColor theme="4" tint="0.79998168889431442"/>
        <bgColor theme="4" tint="0.79998168889431442"/>
      </patternFill>
    </fill>
    <fill>
      <patternFill patternType="solid">
        <fgColor rgb="FFC6EFCE"/>
      </patternFill>
    </fill>
    <fill>
      <patternFill patternType="solid">
        <fgColor theme="8" tint="0.79998168889431442"/>
        <bgColor indexed="64"/>
      </patternFill>
    </fill>
    <fill>
      <patternFill patternType="solid">
        <fgColor theme="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rgb="FF000000"/>
      </top>
      <bottom style="thin">
        <color rgb="FF000000"/>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style="thin">
        <color indexed="64"/>
      </left>
      <right style="thin">
        <color indexed="64"/>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right style="thin">
        <color theme="0" tint="-0.24994659260841701"/>
      </right>
      <top style="thin">
        <color theme="0" tint="-0.24994659260841701"/>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style="thin">
        <color indexed="64"/>
      </top>
      <bottom/>
      <diagonal/>
    </border>
    <border>
      <left/>
      <right/>
      <top/>
      <bottom style="thin">
        <color rgb="FF000000"/>
      </bottom>
      <diagonal/>
    </border>
    <border>
      <left style="thin">
        <color theme="0" tint="-0.24994659260841701"/>
      </left>
      <right/>
      <top style="thin">
        <color theme="0" tint="-0.24994659260841701"/>
      </top>
      <bottom/>
      <diagonal/>
    </border>
    <border>
      <left/>
      <right/>
      <top style="thin">
        <color theme="0" tint="-0.24994659260841701"/>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rgb="FF000000"/>
      </left>
      <right/>
      <top style="thin">
        <color indexed="64"/>
      </top>
      <bottom/>
      <diagonal/>
    </border>
    <border>
      <left style="thin">
        <color rgb="FF000000"/>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9" fontId="9" fillId="0" borderId="0" applyFont="0" applyFill="0" applyBorder="0" applyAlignment="0" applyProtection="0"/>
    <xf numFmtId="0" fontId="13" fillId="13" borderId="0" applyNumberFormat="0" applyBorder="0" applyAlignment="0" applyProtection="0"/>
  </cellStyleXfs>
  <cellXfs count="137">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1" xfId="0" applyBorder="1"/>
    <xf numFmtId="0" fontId="0" fillId="0" borderId="0" xfId="0" applyAlignment="1">
      <alignment horizontal="left" vertical="center" wrapText="1"/>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5" xfId="0" applyBorder="1"/>
    <xf numFmtId="0" fontId="0" fillId="0" borderId="6" xfId="0" applyBorder="1"/>
    <xf numFmtId="10" fontId="0" fillId="3" borderId="0" xfId="0" applyNumberFormat="1" applyFill="1" applyAlignment="1">
      <alignment horizontal="center" vertical="center" wrapText="1"/>
    </xf>
    <xf numFmtId="0" fontId="2" fillId="4" borderId="7" xfId="0" applyFont="1" applyFill="1" applyBorder="1" applyAlignment="1">
      <alignment horizont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164" fontId="0" fillId="0" borderId="0" xfId="0" applyNumberFormat="1" applyAlignment="1">
      <alignment horizontal="center" vertical="center"/>
    </xf>
    <xf numFmtId="164" fontId="2" fillId="0" borderId="0" xfId="0" applyNumberFormat="1" applyFont="1" applyAlignment="1">
      <alignment horizontal="center" vertical="center" wrapText="1"/>
    </xf>
    <xf numFmtId="164" fontId="0" fillId="0" borderId="0" xfId="0" applyNumberFormat="1"/>
    <xf numFmtId="14" fontId="0" fillId="0" borderId="0" xfId="0" applyNumberFormat="1" applyAlignment="1">
      <alignment horizontal="center" vertical="center"/>
    </xf>
    <xf numFmtId="14" fontId="2" fillId="0" borderId="0" xfId="0" applyNumberFormat="1" applyFont="1" applyAlignment="1">
      <alignment horizontal="center" vertical="center" wrapText="1"/>
    </xf>
    <xf numFmtId="14" fontId="3" fillId="2" borderId="3" xfId="0" applyNumberFormat="1" applyFont="1" applyFill="1" applyBorder="1" applyAlignment="1">
      <alignment horizontal="center" vertical="center"/>
    </xf>
    <xf numFmtId="14" fontId="0" fillId="0" borderId="0" xfId="0" applyNumberFormat="1"/>
    <xf numFmtId="14" fontId="0" fillId="0" borderId="0" xfId="0" applyNumberFormat="1" applyAlignment="1">
      <alignment horizontal="center"/>
    </xf>
    <xf numFmtId="165" fontId="2" fillId="0" borderId="0" xfId="0" applyNumberFormat="1" applyFont="1" applyAlignment="1">
      <alignment horizontal="center" vertical="center" wrapText="1"/>
    </xf>
    <xf numFmtId="0" fontId="0" fillId="0" borderId="1" xfId="0" pivotButton="1" applyBorder="1"/>
    <xf numFmtId="14" fontId="5" fillId="0" borderId="0" xfId="0" applyNumberFormat="1" applyFont="1" applyAlignment="1">
      <alignment horizontal="center" vertical="center" wrapText="1"/>
    </xf>
    <xf numFmtId="0" fontId="4" fillId="0" borderId="0" xfId="0" applyFont="1" applyAlignment="1">
      <alignment horizontal="center" vertical="center"/>
    </xf>
    <xf numFmtId="0" fontId="5" fillId="0" borderId="0" xfId="0" applyFont="1" applyAlignment="1">
      <alignment horizontal="center" vertical="center" wrapText="1"/>
    </xf>
    <xf numFmtId="0" fontId="5" fillId="0" borderId="9" xfId="0" applyFont="1" applyBorder="1" applyAlignment="1">
      <alignment horizontal="center" vertical="center"/>
    </xf>
    <xf numFmtId="0" fontId="4" fillId="0" borderId="1" xfId="0" applyFont="1" applyBorder="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3" fillId="2" borderId="2" xfId="0" applyFont="1" applyFill="1" applyBorder="1" applyAlignment="1">
      <alignment horizontal="center" vertical="center" wrapText="1"/>
    </xf>
    <xf numFmtId="0" fontId="6" fillId="6" borderId="14" xfId="0" applyFont="1" applyFill="1" applyBorder="1" applyAlignment="1">
      <alignment horizontal="center" vertical="center" wrapText="1"/>
    </xf>
    <xf numFmtId="0" fontId="6" fillId="6" borderId="13" xfId="0" applyFont="1" applyFill="1" applyBorder="1" applyAlignment="1">
      <alignment horizontal="center" vertical="center" wrapText="1"/>
    </xf>
    <xf numFmtId="0" fontId="3" fillId="2" borderId="10" xfId="0" applyFont="1" applyFill="1" applyBorder="1" applyAlignment="1">
      <alignment horizontal="center" vertical="center"/>
    </xf>
    <xf numFmtId="0" fontId="2" fillId="5" borderId="6" xfId="0" applyFont="1" applyFill="1" applyBorder="1" applyAlignment="1">
      <alignment horizontal="center"/>
    </xf>
    <xf numFmtId="0" fontId="4" fillId="0" borderId="0" xfId="0" applyFont="1" applyAlignment="1">
      <alignment horizontal="center" vertical="center" wrapText="1"/>
    </xf>
    <xf numFmtId="0" fontId="4" fillId="0" borderId="0" xfId="0" applyFont="1" applyAlignment="1">
      <alignment horizontal="center" vertical="center" indent="2"/>
    </xf>
    <xf numFmtId="165" fontId="0" fillId="0" borderId="0" xfId="0" applyNumberFormat="1" applyAlignment="1">
      <alignment horizontal="center" vertical="center"/>
    </xf>
    <xf numFmtId="165" fontId="0" fillId="0" borderId="0" xfId="0" applyNumberFormat="1" applyAlignment="1">
      <alignment horizontal="center" vertical="center" wrapText="1"/>
    </xf>
    <xf numFmtId="0" fontId="0" fillId="0" borderId="0" xfId="0" applyAlignment="1">
      <alignment horizontal="right" indent="2"/>
    </xf>
    <xf numFmtId="0" fontId="0" fillId="0" borderId="0" xfId="0" applyAlignment="1">
      <alignment horizontal="right" vertical="center" indent="2"/>
    </xf>
    <xf numFmtId="168" fontId="4" fillId="0" borderId="1" xfId="0" applyNumberFormat="1" applyFont="1" applyBorder="1" applyAlignment="1">
      <alignment horizontal="center" vertical="center"/>
    </xf>
    <xf numFmtId="0" fontId="8" fillId="0" borderId="0" xfId="0" applyFont="1" applyAlignment="1">
      <alignment horizontal="center" vertical="center" wrapText="1"/>
    </xf>
    <xf numFmtId="0" fontId="0" fillId="0" borderId="0" xfId="0" pivotButton="1"/>
    <xf numFmtId="0" fontId="0" fillId="0" borderId="18" xfId="0" applyBorder="1"/>
    <xf numFmtId="0" fontId="0" fillId="0" borderId="17" xfId="0" applyBorder="1"/>
    <xf numFmtId="0" fontId="0" fillId="0" borderId="19" xfId="0" applyBorder="1"/>
    <xf numFmtId="0" fontId="0" fillId="0" borderId="15" xfId="0" applyBorder="1"/>
    <xf numFmtId="0" fontId="0" fillId="0" borderId="20" xfId="0" applyBorder="1"/>
    <xf numFmtId="0" fontId="0" fillId="0" borderId="16" xfId="0" applyBorder="1"/>
    <xf numFmtId="0" fontId="0" fillId="0" borderId="4" xfId="0" applyBorder="1"/>
    <xf numFmtId="0" fontId="0" fillId="0" borderId="18" xfId="0" pivotButton="1" applyBorder="1"/>
    <xf numFmtId="0" fontId="0" fillId="0" borderId="10" xfId="0" applyBorder="1"/>
    <xf numFmtId="0" fontId="0" fillId="0" borderId="0" xfId="0" applyAlignment="1">
      <alignment horizontal="left"/>
    </xf>
    <xf numFmtId="0" fontId="0" fillId="0" borderId="15" xfId="0" pivotButton="1" applyBorder="1"/>
    <xf numFmtId="0" fontId="0" fillId="0" borderId="2" xfId="0" applyBorder="1"/>
    <xf numFmtId="0" fontId="0" fillId="0" borderId="3" xfId="0" applyBorder="1"/>
    <xf numFmtId="0" fontId="0" fillId="0" borderId="2" xfId="0" applyBorder="1" applyAlignment="1">
      <alignment horizontal="left"/>
    </xf>
    <xf numFmtId="0" fontId="0" fillId="0" borderId="10" xfId="0" applyBorder="1" applyAlignment="1">
      <alignment horizontal="left"/>
    </xf>
    <xf numFmtId="0" fontId="0" fillId="0" borderId="3" xfId="0" applyBorder="1" applyAlignment="1">
      <alignment horizontal="left"/>
    </xf>
    <xf numFmtId="0" fontId="0" fillId="0" borderId="17" xfId="0" pivotButton="1" applyBorder="1"/>
    <xf numFmtId="0" fontId="0" fillId="4" borderId="6" xfId="0" applyFill="1" applyBorder="1"/>
    <xf numFmtId="0" fontId="10" fillId="0" borderId="0" xfId="0" applyFont="1" applyAlignment="1">
      <alignment vertical="center"/>
    </xf>
    <xf numFmtId="14" fontId="2" fillId="4" borderId="7" xfId="0" applyNumberFormat="1" applyFont="1" applyFill="1" applyBorder="1" applyAlignment="1">
      <alignment horizontal="center"/>
    </xf>
    <xf numFmtId="169" fontId="0" fillId="0" borderId="0" xfId="1" applyNumberFormat="1" applyFont="1" applyBorder="1"/>
    <xf numFmtId="0" fontId="0" fillId="0" borderId="10" xfId="0" pivotButton="1" applyBorder="1"/>
    <xf numFmtId="0" fontId="0" fillId="0" borderId="0" xfId="0" applyAlignment="1">
      <alignment vertical="center"/>
    </xf>
    <xf numFmtId="0" fontId="3" fillId="0" borderId="0" xfId="0" applyFont="1" applyAlignment="1">
      <alignment vertical="center"/>
    </xf>
    <xf numFmtId="0" fontId="3" fillId="0" borderId="0" xfId="0" applyFont="1"/>
    <xf numFmtId="14" fontId="0" fillId="0" borderId="0" xfId="0" applyNumberFormat="1" applyAlignment="1">
      <alignment vertical="center"/>
    </xf>
    <xf numFmtId="165" fontId="2" fillId="10" borderId="8" xfId="0" applyNumberFormat="1" applyFont="1" applyFill="1" applyBorder="1" applyAlignment="1">
      <alignment horizontal="center" vertical="center"/>
    </xf>
    <xf numFmtId="166" fontId="7" fillId="0" borderId="0" xfId="0" applyNumberFormat="1" applyFont="1" applyAlignment="1">
      <alignment wrapText="1"/>
    </xf>
    <xf numFmtId="0" fontId="0" fillId="12" borderId="24" xfId="0" applyFill="1" applyBorder="1"/>
    <xf numFmtId="0" fontId="0" fillId="0" borderId="24" xfId="0" applyBorder="1"/>
    <xf numFmtId="0" fontId="0" fillId="4" borderId="0" xfId="0" applyFill="1"/>
    <xf numFmtId="0" fontId="16" fillId="7" borderId="1" xfId="0" applyFont="1" applyFill="1" applyBorder="1" applyAlignment="1">
      <alignment horizontal="center" vertical="center"/>
    </xf>
    <xf numFmtId="0" fontId="17" fillId="0" borderId="1" xfId="0" applyFont="1" applyBorder="1" applyAlignment="1">
      <alignment horizontal="center" vertical="center"/>
    </xf>
    <xf numFmtId="0" fontId="15" fillId="0" borderId="0" xfId="0" applyFont="1" applyAlignment="1">
      <alignment horizontal="center" vertical="center"/>
    </xf>
    <xf numFmtId="14" fontId="4" fillId="0" borderId="1" xfId="0" applyNumberFormat="1" applyFont="1" applyBorder="1"/>
    <xf numFmtId="14" fontId="4" fillId="0" borderId="1" xfId="0" applyNumberFormat="1" applyFont="1" applyBorder="1" applyAlignment="1">
      <alignment horizontal="left" vertical="center" wrapText="1"/>
    </xf>
    <xf numFmtId="14" fontId="4" fillId="0" borderId="1" xfId="0" applyNumberFormat="1" applyFont="1" applyBorder="1" applyAlignment="1">
      <alignment horizontal="center" vertical="center" wrapText="1"/>
    </xf>
    <xf numFmtId="14" fontId="4" fillId="0" borderId="1" xfId="0" applyNumberFormat="1"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xf numFmtId="0" fontId="4" fillId="0" borderId="2" xfId="0" applyFont="1" applyBorder="1" applyAlignment="1">
      <alignment horizontal="center" vertical="center"/>
    </xf>
    <xf numFmtId="14" fontId="4" fillId="0" borderId="2" xfId="0" applyNumberFormat="1" applyFont="1" applyBorder="1" applyAlignment="1">
      <alignment horizontal="left" vertical="center" wrapText="1"/>
    </xf>
    <xf numFmtId="0" fontId="4" fillId="0" borderId="2" xfId="0" applyFont="1" applyBorder="1" applyAlignment="1">
      <alignment horizontal="center" vertical="center" wrapText="1"/>
    </xf>
    <xf numFmtId="168" fontId="4" fillId="0" borderId="2" xfId="0" applyNumberFormat="1" applyFont="1" applyBorder="1" applyAlignment="1">
      <alignment horizontal="center" vertical="center"/>
    </xf>
    <xf numFmtId="14" fontId="4" fillId="0" borderId="2" xfId="0" applyNumberFormat="1" applyFont="1" applyBorder="1"/>
    <xf numFmtId="0" fontId="4" fillId="0" borderId="2" xfId="0" applyFont="1" applyBorder="1"/>
    <xf numFmtId="0" fontId="18" fillId="0" borderId="0" xfId="0" applyFont="1"/>
    <xf numFmtId="0" fontId="18" fillId="0" borderId="0" xfId="0" applyFont="1" applyAlignment="1">
      <alignment horizontal="center" vertical="center"/>
    </xf>
    <xf numFmtId="0" fontId="4" fillId="0" borderId="2" xfId="0" applyFont="1" applyBorder="1" applyAlignment="1">
      <alignment horizontal="left" vertical="center" wrapText="1"/>
    </xf>
    <xf numFmtId="0" fontId="4" fillId="0" borderId="1" xfId="0" applyFont="1" applyBorder="1" applyAlignment="1">
      <alignment horizontal="left" vertical="center" wrapText="1"/>
    </xf>
    <xf numFmtId="0" fontId="17" fillId="14" borderId="1" xfId="0" applyFont="1" applyFill="1" applyBorder="1" applyAlignment="1">
      <alignment horizontal="center" vertical="center"/>
    </xf>
    <xf numFmtId="14" fontId="4" fillId="15" borderId="1" xfId="0" applyNumberFormat="1" applyFont="1" applyFill="1" applyBorder="1" applyAlignment="1">
      <alignment horizontal="left" vertical="center" wrapText="1"/>
    </xf>
    <xf numFmtId="0" fontId="0" fillId="0" borderId="27" xfId="0" applyBorder="1"/>
    <xf numFmtId="0" fontId="0" fillId="0" borderId="17" xfId="0" applyBorder="1" applyAlignment="1">
      <alignment horizontal="left"/>
    </xf>
    <xf numFmtId="0" fontId="0" fillId="0" borderId="28" xfId="0" applyBorder="1"/>
    <xf numFmtId="0" fontId="0" fillId="0" borderId="18" xfId="0" applyBorder="1" applyAlignment="1">
      <alignment horizontal="left"/>
    </xf>
    <xf numFmtId="170" fontId="4" fillId="0" borderId="1" xfId="0" applyNumberFormat="1" applyFont="1" applyBorder="1" applyAlignment="1">
      <alignment horizontal="left" vertical="center" wrapText="1"/>
    </xf>
    <xf numFmtId="170" fontId="4" fillId="0" borderId="1" xfId="0" applyNumberFormat="1" applyFont="1" applyBorder="1"/>
    <xf numFmtId="170" fontId="4" fillId="0" borderId="2" xfId="0" applyNumberFormat="1" applyFont="1" applyBorder="1" applyAlignment="1">
      <alignment horizontal="left" vertical="center" wrapText="1"/>
    </xf>
    <xf numFmtId="0" fontId="0" fillId="0" borderId="20" xfId="0" pivotButton="1" applyBorder="1"/>
    <xf numFmtId="0" fontId="0" fillId="0" borderId="16" xfId="0" pivotButton="1" applyBorder="1"/>
    <xf numFmtId="0" fontId="14" fillId="13" borderId="0" xfId="2" applyFont="1" applyAlignment="1">
      <alignment horizontal="center" vertical="center" wrapText="1"/>
    </xf>
    <xf numFmtId="14" fontId="11" fillId="0" borderId="0" xfId="0" applyNumberFormat="1" applyFont="1" applyAlignment="1">
      <alignment horizontal="center"/>
    </xf>
    <xf numFmtId="14" fontId="8" fillId="8" borderId="11" xfId="0" applyNumberFormat="1" applyFont="1" applyFill="1" applyBorder="1" applyAlignment="1">
      <alignment horizontal="center"/>
    </xf>
    <xf numFmtId="14" fontId="8" fillId="8" borderId="12" xfId="0" applyNumberFormat="1" applyFont="1" applyFill="1" applyBorder="1" applyAlignment="1">
      <alignment horizontal="center"/>
    </xf>
    <xf numFmtId="167" fontId="10" fillId="11" borderId="0" xfId="0" applyNumberFormat="1" applyFont="1" applyFill="1" applyAlignment="1">
      <alignment horizontal="center" vertical="center" wrapText="1"/>
    </xf>
    <xf numFmtId="0" fontId="0" fillId="0" borderId="20" xfId="0" applyBorder="1" applyAlignment="1">
      <alignment horizontal="center" vertical="top"/>
    </xf>
    <xf numFmtId="166" fontId="10" fillId="11" borderId="0" xfId="0" applyNumberFormat="1" applyFont="1" applyFill="1" applyAlignment="1">
      <alignment horizontal="center" vertical="center" wrapText="1"/>
    </xf>
    <xf numFmtId="0" fontId="12" fillId="2" borderId="20" xfId="0" applyFont="1" applyFill="1" applyBorder="1" applyAlignment="1">
      <alignment horizontal="center" vertical="center"/>
    </xf>
    <xf numFmtId="0" fontId="12" fillId="2" borderId="5" xfId="0" applyFont="1" applyFill="1" applyBorder="1" applyAlignment="1">
      <alignment horizontal="center" vertical="center"/>
    </xf>
    <xf numFmtId="14" fontId="10" fillId="0" borderId="25" xfId="0" applyNumberFormat="1" applyFont="1" applyBorder="1" applyAlignment="1">
      <alignment horizontal="center" vertical="center"/>
    </xf>
    <xf numFmtId="14" fontId="10" fillId="0" borderId="20" xfId="0" applyNumberFormat="1" applyFont="1" applyBorder="1" applyAlignment="1">
      <alignment horizontal="center" vertical="center"/>
    </xf>
    <xf numFmtId="14" fontId="10" fillId="0" borderId="26" xfId="0" applyNumberFormat="1" applyFont="1" applyBorder="1" applyAlignment="1">
      <alignment horizontal="center" vertical="center"/>
    </xf>
    <xf numFmtId="14" fontId="10" fillId="0" borderId="5" xfId="0" applyNumberFormat="1" applyFont="1" applyBorder="1" applyAlignment="1">
      <alignment horizontal="center" vertical="center"/>
    </xf>
    <xf numFmtId="165" fontId="8" fillId="9" borderId="22" xfId="0" applyNumberFormat="1" applyFont="1" applyFill="1" applyBorder="1" applyAlignment="1">
      <alignment horizontal="center" vertical="center"/>
    </xf>
    <xf numFmtId="165" fontId="8" fillId="9" borderId="23" xfId="0" applyNumberFormat="1" applyFont="1" applyFill="1" applyBorder="1" applyAlignment="1">
      <alignment horizontal="center" vertical="center"/>
    </xf>
    <xf numFmtId="165" fontId="8" fillId="9" borderId="14" xfId="0" applyNumberFormat="1" applyFont="1" applyFill="1" applyBorder="1" applyAlignment="1">
      <alignment horizontal="center" vertical="center"/>
    </xf>
    <xf numFmtId="0" fontId="10" fillId="0" borderId="0" xfId="0" applyFont="1" applyAlignment="1">
      <alignment horizontal="center" vertical="center"/>
    </xf>
    <xf numFmtId="0" fontId="10" fillId="0" borderId="21" xfId="0" applyFont="1" applyBorder="1" applyAlignment="1">
      <alignment horizontal="center" vertical="center"/>
    </xf>
    <xf numFmtId="0" fontId="0" fillId="0" borderId="0" xfId="0" applyNumberFormat="1"/>
    <xf numFmtId="0" fontId="0" fillId="0" borderId="0" xfId="0" applyBorder="1"/>
    <xf numFmtId="0" fontId="0" fillId="0" borderId="0" xfId="0" pivotButton="1" applyBorder="1"/>
    <xf numFmtId="0" fontId="0" fillId="0" borderId="18" xfId="0" applyNumberFormat="1" applyBorder="1"/>
    <xf numFmtId="0" fontId="0" fillId="0" borderId="4" xfId="0" applyNumberFormat="1" applyBorder="1"/>
    <xf numFmtId="0" fontId="0" fillId="0" borderId="2" xfId="0" applyNumberFormat="1" applyBorder="1"/>
    <xf numFmtId="0" fontId="0" fillId="0" borderId="10" xfId="0" applyNumberFormat="1" applyBorder="1"/>
    <xf numFmtId="0" fontId="0" fillId="0" borderId="3" xfId="0" applyNumberFormat="1" applyBorder="1"/>
    <xf numFmtId="0" fontId="0" fillId="0" borderId="0" xfId="0" applyNumberFormat="1" applyBorder="1"/>
    <xf numFmtId="0" fontId="0" fillId="0" borderId="0" xfId="0" applyBorder="1" applyAlignment="1">
      <alignment horizontal="left"/>
    </xf>
    <xf numFmtId="0" fontId="0" fillId="0" borderId="17" xfId="0" applyNumberFormat="1" applyBorder="1"/>
    <xf numFmtId="0" fontId="0" fillId="0" borderId="16" xfId="0" applyNumberFormat="1" applyBorder="1"/>
    <xf numFmtId="0" fontId="0" fillId="0" borderId="15" xfId="0" applyNumberFormat="1" applyBorder="1"/>
    <xf numFmtId="0" fontId="0" fillId="0" borderId="19" xfId="0" applyNumberFormat="1" applyBorder="1"/>
  </cellXfs>
  <cellStyles count="3">
    <cellStyle name="เปอร์เซ็นต์" xfId="1" builtinId="5"/>
    <cellStyle name="ดี" xfId="2" builtinId="26"/>
    <cellStyle name="ปกติ" xfId="0" builtinId="0"/>
  </cellStyles>
  <dxfs count="410">
    <dxf>
      <fill>
        <patternFill>
          <bgColor rgb="FFFFFBAB"/>
        </patternFill>
      </fill>
    </dxf>
    <dxf>
      <fill>
        <patternFill>
          <bgColor theme="7" tint="0.39994506668294322"/>
        </patternFill>
      </fill>
    </dxf>
    <dxf>
      <fill>
        <patternFill>
          <bgColor theme="9" tint="0.59996337778862885"/>
        </patternFill>
      </fill>
    </dxf>
    <dxf>
      <fill>
        <patternFill>
          <bgColor rgb="FFFFCCFF"/>
        </patternFill>
      </fill>
    </dxf>
    <dxf>
      <fill>
        <patternFill>
          <bgColor theme="8" tint="0.39994506668294322"/>
        </patternFill>
      </fill>
    </dxf>
    <dxf>
      <font>
        <color theme="0"/>
      </font>
      <fill>
        <patternFill>
          <bgColor rgb="FF7030A0"/>
        </patternFill>
      </fill>
    </dxf>
    <dxf>
      <fill>
        <patternFill>
          <bgColor rgb="FF00CCFF"/>
        </patternFill>
      </fill>
    </dxf>
    <dxf>
      <fill>
        <patternFill>
          <bgColor rgb="FFFFFBAB"/>
        </patternFill>
      </fill>
    </dxf>
    <dxf>
      <fill>
        <patternFill>
          <bgColor theme="7" tint="0.39994506668294322"/>
        </patternFill>
      </fill>
    </dxf>
    <dxf>
      <fill>
        <patternFill>
          <bgColor theme="9" tint="0.59996337778862885"/>
        </patternFill>
      </fill>
    </dxf>
    <dxf>
      <fill>
        <patternFill>
          <bgColor rgb="FFFFCCFF"/>
        </patternFill>
      </fill>
    </dxf>
    <dxf>
      <fill>
        <patternFill>
          <bgColor theme="8" tint="0.39994506668294322"/>
        </patternFill>
      </fill>
    </dxf>
    <dxf>
      <font>
        <color theme="0"/>
      </font>
      <fill>
        <patternFill>
          <bgColor rgb="FF7030A0"/>
        </patternFill>
      </fill>
    </dxf>
    <dxf>
      <fill>
        <patternFill>
          <bgColor rgb="FF00CCFF"/>
        </patternFill>
      </fill>
    </dxf>
    <dxf>
      <font>
        <b val="0"/>
        <i val="0"/>
        <strike val="0"/>
        <condense val="0"/>
        <extend val="0"/>
        <outline val="0"/>
        <shadow val="0"/>
        <u val="none"/>
        <vertAlign val="baseline"/>
        <sz val="8"/>
        <color theme="1"/>
        <name val="Calibri"/>
        <family val="2"/>
        <scheme val="minor"/>
      </font>
      <fill>
        <patternFill patternType="none">
          <fgColor indexed="64"/>
          <bgColor indexed="65"/>
        </patternFill>
      </fill>
    </dxf>
    <dxf>
      <font>
        <b val="0"/>
        <i val="0"/>
        <strike val="0"/>
        <condense val="0"/>
        <extend val="0"/>
        <outline val="0"/>
        <shadow val="0"/>
        <u val="none"/>
        <vertAlign val="baseline"/>
        <sz val="8"/>
        <color theme="1"/>
        <name val="Calibri"/>
        <family val="2"/>
        <scheme val="minor"/>
      </font>
      <fill>
        <patternFill patternType="none">
          <fgColor indexed="64"/>
          <bgColor indexed="65"/>
        </patternFill>
      </fill>
    </dxf>
    <dxf>
      <numFmt numFmtId="0" formatCode="General"/>
    </dxf>
    <dxf>
      <font>
        <strike val="0"/>
        <outline val="0"/>
        <shadow val="0"/>
        <u val="none"/>
        <vertAlign val="baseline"/>
        <sz val="8"/>
        <color auto="1"/>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8"/>
        <color auto="1"/>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8"/>
        <color auto="1"/>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8"/>
        <color auto="1"/>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8"/>
        <color auto="1"/>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8"/>
        <color auto="1"/>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8"/>
        <color auto="1"/>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8"/>
        <color auto="1"/>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8"/>
        <color auto="1"/>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8"/>
        <color auto="1"/>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8"/>
        <color auto="1"/>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8"/>
        <color auto="1"/>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8"/>
        <color auto="1"/>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8"/>
        <color auto="1"/>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8"/>
        <color auto="1"/>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8"/>
        <color auto="1"/>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8"/>
        <color auto="1"/>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8"/>
        <color auto="1"/>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8"/>
        <color auto="1"/>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8"/>
        <color auto="1"/>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8"/>
        <color auto="1"/>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8"/>
        <color auto="1"/>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8"/>
        <color auto="1"/>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8"/>
        <color auto="1"/>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8"/>
        <color auto="1"/>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8"/>
        <color auto="1"/>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8"/>
        <color auto="1"/>
      </font>
      <numFmt numFmtId="170" formatCode="dd/mm/yyyy"/>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numFmt numFmtId="170" formatCode="dd/mm/yyyy"/>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8"/>
        <color auto="1"/>
      </font>
      <numFmt numFmtId="170" formatCode="dd/mm/yyyy"/>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numFmt numFmtId="170" formatCode="dd/mm/yyyy"/>
      <fill>
        <patternFill patternType="none">
          <fgColor indexed="64"/>
          <bgColor indexed="65"/>
        </patternFill>
      </fill>
      <border diagonalUp="0" diagonalDown="0" outline="0">
        <left style="thin">
          <color indexed="64"/>
        </left>
        <right style="thin">
          <color indexed="64"/>
        </right>
        <top style="thin">
          <color indexed="64"/>
        </top>
        <bottom/>
      </border>
    </dxf>
    <dxf>
      <font>
        <strike val="0"/>
        <outline val="0"/>
        <shadow val="0"/>
        <u val="none"/>
        <vertAlign val="baseline"/>
        <sz val="8"/>
        <color auto="1"/>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8"/>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8"/>
        <color auto="1"/>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8"/>
        <color auto="1"/>
      </font>
      <numFmt numFmtId="168" formatCode="[$-409]d\-mmm\-yy;@"/>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Calibri"/>
        <family val="2"/>
        <scheme val="minor"/>
      </font>
      <numFmt numFmtId="168" formatCode="[$-409]d\-mmm\-yy;@"/>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auto="1"/>
      </font>
      <numFmt numFmtId="168" formatCode="[$-409]d\-mmm\-yy;@"/>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Calibri"/>
        <family val="2"/>
        <scheme val="minor"/>
      </font>
      <numFmt numFmtId="168" formatCode="[$-409]d\-mmm\-yy;@"/>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auto="1"/>
      </font>
      <numFmt numFmtId="168" formatCode="[$-409]d\-mmm\-yy;@"/>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Calibri"/>
        <family val="2"/>
        <scheme val="minor"/>
      </font>
      <numFmt numFmtId="168" formatCode="[$-409]d\-mmm\-yy;@"/>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auto="1"/>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auto="1"/>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8"/>
        <color auto="1"/>
      </font>
      <numFmt numFmtId="170" formatCode="dd/mm/yyyy"/>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Calibri"/>
        <family val="2"/>
        <scheme val="minor"/>
      </font>
      <numFmt numFmtId="170" formatCode="dd/mm/yyyy"/>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8"/>
        <color auto="1"/>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fill>
        <patternFill patternType="none">
          <fgColor indexed="64"/>
          <bgColor indexed="65"/>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8"/>
        <color auto="1"/>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8"/>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8"/>
        <color auto="1"/>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sz val="8"/>
        <color auto="1"/>
      </font>
      <fill>
        <patternFill patternType="none">
          <fgColor indexed="64"/>
          <bgColor auto="1"/>
        </patternFill>
      </fill>
    </dxf>
    <dxf>
      <font>
        <sz val="8"/>
      </font>
      <numFmt numFmtId="171" formatCode="&quot;PM&quot;\ \ dd/mm/yyyy"/>
      <alignment horizontal="center" vertical="center" textRotation="90" wrapText="0" indent="0" justifyLastLine="0" shrinkToFit="0" readingOrder="0"/>
    </dxf>
    <dxf>
      <font>
        <color rgb="FF9C0006"/>
      </font>
      <fill>
        <patternFill patternType="solid">
          <bgColor rgb="FF33CCFF"/>
        </patternFill>
      </fill>
    </dxf>
    <dxf>
      <fill>
        <patternFill>
          <bgColor theme="7" tint="0.39994506668294322"/>
        </patternFill>
      </fill>
    </dxf>
    <dxf>
      <fill>
        <patternFill>
          <bgColor theme="9" tint="0.59996337778862885"/>
        </patternFill>
      </fill>
    </dxf>
    <dxf>
      <fill>
        <patternFill patternType="solid">
          <bgColor rgb="FFFF99FF"/>
        </patternFill>
      </fill>
    </dxf>
    <dxf>
      <fill>
        <patternFill>
          <bgColor theme="8" tint="0.39994506668294322"/>
        </patternFill>
      </fill>
    </dxf>
    <dxf>
      <font>
        <color theme="0"/>
      </font>
      <fill>
        <patternFill>
          <bgColor rgb="FF7030A0"/>
        </patternFill>
      </fill>
    </dxf>
    <dxf>
      <fill>
        <patternFill>
          <bgColor rgb="FF00CCFF"/>
        </patternFill>
      </fill>
    </dxf>
    <dxf>
      <fill>
        <patternFill>
          <bgColor rgb="FFFFFBAB"/>
        </patternFill>
      </fill>
    </dxf>
    <dxf>
      <fill>
        <patternFill>
          <bgColor theme="7" tint="0.39994506668294322"/>
        </patternFill>
      </fill>
    </dxf>
    <dxf>
      <fill>
        <patternFill>
          <bgColor theme="9" tint="0.59996337778862885"/>
        </patternFill>
      </fill>
    </dxf>
    <dxf>
      <fill>
        <patternFill patternType="solid">
          <bgColor rgb="FFFF99FF"/>
        </patternFill>
      </fill>
    </dxf>
    <dxf>
      <fill>
        <patternFill>
          <bgColor theme="8" tint="0.39994506668294322"/>
        </patternFill>
      </fill>
    </dxf>
    <dxf>
      <font>
        <color theme="0"/>
      </font>
      <fill>
        <patternFill>
          <bgColor rgb="FF7030A0"/>
        </patternFill>
      </fill>
    </dxf>
    <dxf>
      <fill>
        <patternFill>
          <bgColor rgb="FF00CCFF"/>
        </patternFill>
      </fill>
    </dxf>
    <dxf>
      <fill>
        <patternFill>
          <bgColor rgb="FFFFFBAB"/>
        </patternFill>
      </fill>
    </dxf>
    <dxf>
      <fill>
        <patternFill>
          <bgColor theme="7" tint="0.39994506668294322"/>
        </patternFill>
      </fill>
    </dxf>
    <dxf>
      <fill>
        <patternFill>
          <bgColor theme="9" tint="0.59996337778862885"/>
        </patternFill>
      </fill>
    </dxf>
    <dxf>
      <fill>
        <patternFill patternType="solid">
          <bgColor rgb="FFFF99FF"/>
        </patternFill>
      </fill>
    </dxf>
    <dxf>
      <fill>
        <patternFill>
          <bgColor theme="8" tint="0.39994506668294322"/>
        </patternFill>
      </fill>
    </dxf>
    <dxf>
      <font>
        <color theme="0"/>
      </font>
      <fill>
        <patternFill>
          <bgColor rgb="FF7030A0"/>
        </patternFill>
      </fill>
    </dxf>
    <dxf>
      <fill>
        <patternFill>
          <bgColor rgb="FF00CCFF"/>
        </patternFill>
      </fill>
    </dxf>
    <dxf>
      <fill>
        <patternFill>
          <bgColor rgb="FFFFFBAB"/>
        </patternFill>
      </fill>
    </dxf>
    <dxf>
      <fill>
        <patternFill>
          <bgColor theme="7" tint="0.39994506668294322"/>
        </patternFill>
      </fill>
    </dxf>
    <dxf>
      <fill>
        <patternFill>
          <bgColor theme="9" tint="0.59996337778862885"/>
        </patternFill>
      </fill>
    </dxf>
    <dxf>
      <fill>
        <patternFill patternType="solid">
          <bgColor rgb="FFFF99FF"/>
        </patternFill>
      </fill>
    </dxf>
    <dxf>
      <fill>
        <patternFill>
          <bgColor theme="8" tint="0.39994506668294322"/>
        </patternFill>
      </fill>
    </dxf>
    <dxf>
      <font>
        <color theme="0"/>
      </font>
      <fill>
        <patternFill>
          <bgColor rgb="FF7030A0"/>
        </patternFill>
      </fill>
    </dxf>
    <dxf>
      <fill>
        <patternFill>
          <bgColor rgb="FF00CCFF"/>
        </patternFill>
      </fill>
    </dxf>
    <dxf>
      <fill>
        <patternFill>
          <bgColor rgb="FFFFFBAB"/>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rgb="FF9C0006"/>
      </font>
    </dxf>
    <dxf>
      <font>
        <color rgb="FF00B050"/>
      </font>
      <fill>
        <patternFill patternType="solid">
          <bgColor theme="0"/>
        </patternFill>
      </fill>
    </dxf>
    <dxf>
      <font>
        <color rgb="FF9C0006"/>
      </font>
      <fill>
        <patternFill>
          <bgColor rgb="FFFFC7CE"/>
        </patternFill>
      </fill>
    </dxf>
    <dxf>
      <font>
        <color theme="0" tint="-4.9989318521683403E-2"/>
      </font>
      <fill>
        <patternFill patternType="solid">
          <bgColor theme="0" tint="-4.9989318521683403E-2"/>
        </patternFill>
      </fill>
    </dxf>
    <dxf>
      <font>
        <color theme="0" tint="-4.9989318521683403E-2"/>
      </font>
      <fill>
        <patternFill patternType="solid">
          <bgColor theme="0" tint="-4.9989318521683403E-2"/>
        </patternFill>
      </fill>
    </dxf>
    <dxf>
      <fill>
        <patternFill>
          <bgColor rgb="FFFFCCFF"/>
        </patternFill>
      </fill>
    </dxf>
    <dxf>
      <fill>
        <patternFill>
          <bgColor rgb="FFFF99FF"/>
        </patternFill>
      </fill>
    </dxf>
    <dxf>
      <fill>
        <patternFill>
          <bgColor rgb="FF99CCFF"/>
        </patternFill>
      </fill>
    </dxf>
    <dxf>
      <fill>
        <patternFill>
          <bgColor rgb="FF6699FF"/>
        </patternFill>
      </fill>
    </dxf>
    <dxf>
      <fill>
        <patternFill>
          <bgColor theme="9" tint="0.59996337778862885"/>
        </patternFill>
      </fill>
    </dxf>
    <dxf>
      <fill>
        <patternFill>
          <bgColor rgb="FF92D050"/>
        </patternFill>
      </fill>
    </dxf>
    <dxf>
      <fill>
        <patternFill>
          <bgColor theme="7" tint="0.59996337778862885"/>
        </patternFill>
      </fill>
    </dxf>
    <dxf>
      <fill>
        <patternFill>
          <bgColor rgb="FFFFC000"/>
        </patternFill>
      </fill>
    </dxf>
    <dxf>
      <font>
        <color theme="0"/>
      </font>
      <fill>
        <patternFill>
          <bgColor rgb="FF7030A0"/>
        </patternFill>
      </fill>
    </dxf>
    <dxf>
      <font>
        <color theme="0"/>
      </font>
      <fill>
        <patternFill>
          <bgColor rgb="FFCC66FF"/>
        </patternFill>
      </fill>
    </dxf>
    <dxf>
      <fill>
        <patternFill>
          <bgColor rgb="FFFFC000"/>
        </patternFill>
      </fill>
    </dxf>
    <dxf>
      <fill>
        <patternFill>
          <bgColor rgb="FF66FFFF"/>
        </patternFill>
      </fill>
    </dxf>
    <dxf>
      <fill>
        <patternFill>
          <bgColor theme="7" tint="0.39994506668294322"/>
        </patternFill>
      </fill>
    </dxf>
    <dxf>
      <fill>
        <patternFill>
          <bgColor theme="9" tint="0.59996337778862885"/>
        </patternFill>
      </fill>
    </dxf>
    <dxf>
      <fill>
        <patternFill patternType="solid">
          <bgColor rgb="FFFF99FF"/>
        </patternFill>
      </fill>
    </dxf>
    <dxf>
      <fill>
        <patternFill>
          <bgColor theme="8" tint="0.39994506668294322"/>
        </patternFill>
      </fill>
    </dxf>
    <dxf>
      <font>
        <color theme="0"/>
      </font>
      <fill>
        <patternFill>
          <bgColor rgb="FF7030A0"/>
        </patternFill>
      </fill>
    </dxf>
    <dxf>
      <fill>
        <patternFill>
          <bgColor rgb="FF00CCFF"/>
        </patternFill>
      </fill>
    </dxf>
    <dxf>
      <fill>
        <patternFill>
          <bgColor rgb="FFFFFBAB"/>
        </patternFill>
      </fill>
    </dxf>
    <dxf>
      <font>
        <color theme="0" tint="-0.14996795556505021"/>
      </font>
      <fill>
        <patternFill>
          <bgColor theme="0" tint="-0.1499679555650502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dxf>
    <dxf>
      <font>
        <color theme="0"/>
      </font>
    </dxf>
    <dxf>
      <font>
        <color theme="0"/>
      </font>
    </dxf>
    <dxf>
      <font>
        <color theme="0"/>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auto="1"/>
        </right>
      </border>
    </dxf>
    <dxf>
      <border>
        <right style="thin">
          <color auto="1"/>
        </right>
      </border>
    </dxf>
    <dxf>
      <border>
        <right style="thin">
          <color auto="1"/>
        </right>
      </border>
    </dxf>
    <dxf>
      <border>
        <right style="thin">
          <color auto="1"/>
        </right>
      </border>
    </dxf>
    <dxf>
      <border>
        <right style="thin">
          <color auto="1"/>
        </right>
      </border>
    </dxf>
    <dxf>
      <border>
        <right style="thin">
          <color auto="1"/>
        </right>
      </border>
    </dxf>
    <dxf>
      <border>
        <right style="thin">
          <color auto="1"/>
        </right>
      </border>
    </dxf>
    <dxf>
      <border>
        <right style="thin">
          <color auto="1"/>
        </right>
      </border>
    </dxf>
    <dxf>
      <border>
        <right style="thin">
          <color auto="1"/>
        </right>
      </border>
    </dxf>
    <dxf>
      <border>
        <right style="thin">
          <color auto="1"/>
        </right>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right style="thin">
          <color auto="1"/>
        </right>
      </border>
    </dxf>
    <dxf>
      <border>
        <right style="thin">
          <color auto="1"/>
        </right>
      </border>
    </dxf>
    <dxf>
      <border>
        <right style="thin">
          <color auto="1"/>
        </right>
      </border>
    </dxf>
    <dxf>
      <border>
        <right style="thin">
          <color auto="1"/>
        </right>
      </border>
    </dxf>
    <dxf>
      <border>
        <right style="thin">
          <color auto="1"/>
        </right>
      </border>
    </dxf>
    <dxf>
      <border>
        <right style="thin">
          <color auto="1"/>
        </right>
      </border>
    </dxf>
    <dxf>
      <border>
        <right style="thin">
          <color auto="1"/>
        </right>
      </border>
    </dxf>
    <dxf>
      <border>
        <right style="thin">
          <color auto="1"/>
        </right>
      </border>
    </dxf>
    <dxf>
      <border>
        <right style="thin">
          <color auto="1"/>
        </right>
      </border>
    </dxf>
    <dxf>
      <border>
        <right style="thin">
          <color auto="1"/>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
      <border>
        <top style="thin">
          <color indexed="64"/>
        </top>
      </border>
    </dxf>
  </dxfs>
  <tableStyles count="0" defaultTableStyle="TableStyleMedium2" defaultPivotStyle="PivotStyleLight16"/>
  <colors>
    <mruColors>
      <color rgb="FFFF99FF"/>
      <color rgb="FF66FFFF"/>
      <color rgb="FF33CCFF"/>
      <color rgb="FFFAC8FA"/>
      <color rgb="FFFAAFFA"/>
      <color rgb="FF66CCFF"/>
      <color rgb="FF00CCFF"/>
      <color rgb="FFFFCC99"/>
      <color rgb="FFFF9966"/>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theme" Target="theme/theme1.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customXml" Target="../customXml/item3.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2.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customXml" Target="../customXml/item1.xml"/><Relationship Id="rId10" Type="http://schemas.openxmlformats.org/officeDocument/2006/relationships/pivotCacheDefinition" Target="pivotCache/pivotCacheDefinition2.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 Id="rId22" Type="http://schemas.openxmlformats.org/officeDocument/2006/relationships/calcChain" Target="calcChain.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2"/>
    </mc:Choice>
    <mc:Fallback>
      <c:style val="2"/>
    </mc:Fallback>
  </mc:AlternateContent>
  <c:pivotSource>
    <c:name>[NPI Integration Fronted task schedule2026 Rev2 -.xlsx]Pivot!PivotTable27</c:name>
    <c:fmtId val="1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Task RATIO</a:t>
            </a:r>
          </a:p>
        </c:rich>
      </c:tx>
      <c:layout>
        <c:manualLayout>
          <c:xMode val="edge"/>
          <c:yMode val="edge"/>
          <c:x val="0.48787967541793126"/>
          <c:y val="1.8140589569160998E-2"/>
        </c:manualLayout>
      </c:layout>
      <c:overlay val="0"/>
      <c:spPr>
        <a:noFill/>
        <a:ln>
          <a:noFill/>
        </a:ln>
        <a:effectLst/>
      </c:spPr>
    </c:title>
    <c:autoTitleDeleted val="0"/>
    <c:pivotFmts>
      <c:pivotFmt>
        <c:idx val="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dLbl>
          <c:idx val="0"/>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dLbl>
          <c:idx val="0"/>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dLbl>
          <c:idx val="0"/>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dLbl>
          <c:idx val="0"/>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dLbl>
          <c:idx val="0"/>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dLbl>
          <c:idx val="0"/>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9"/>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2"/>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3"/>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4"/>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5"/>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6"/>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7"/>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8"/>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9"/>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2"/>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3"/>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4"/>
        <c:dLbl>
          <c:idx val="0"/>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25"/>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6"/>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7"/>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8"/>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9"/>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2"/>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3"/>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4"/>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5"/>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6"/>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8"/>
        <c:spPr>
          <a:solidFill>
            <a:srgbClr val="CC66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9"/>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4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4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42"/>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3"/>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4"/>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45"/>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46"/>
      </c:pivotFmt>
      <c:pivotFmt>
        <c:idx val="47"/>
        <c:spPr>
          <a:solidFill>
            <a:srgbClr val="33CC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8"/>
        <c:spPr>
          <a:solidFill>
            <a:srgbClr val="00B05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9"/>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0"/>
        <c:spPr>
          <a:solidFill>
            <a:schemeClr val="accent2">
              <a:lumMod val="40000"/>
              <a:lumOff val="60000"/>
            </a:schemeClr>
          </a:solidFill>
        </c:spPr>
      </c:pivotFmt>
      <c:pivotFmt>
        <c:idx val="51"/>
        <c:spPr>
          <a:solidFill>
            <a:srgbClr val="FF99FF"/>
          </a:solidFill>
        </c:spPr>
      </c:pivotFmt>
      <c:pivotFmt>
        <c:idx val="52"/>
        <c:spPr>
          <a:solidFill>
            <a:srgbClr val="1F4E78"/>
          </a:solidFill>
        </c:spPr>
      </c:pivotFmt>
    </c:pivotFmts>
    <c:plotArea>
      <c:layout>
        <c:manualLayout>
          <c:layoutTarget val="inner"/>
          <c:xMode val="edge"/>
          <c:yMode val="edge"/>
          <c:x val="0.12513794930563255"/>
          <c:y val="0.19243041268266789"/>
          <c:w val="0.85504993000068896"/>
          <c:h val="0.69306002260489652"/>
        </c:manualLayout>
      </c:layout>
      <c:barChart>
        <c:barDir val="col"/>
        <c:grouping val="clustered"/>
        <c:varyColors val="0"/>
        <c:ser>
          <c:idx val="0"/>
          <c:order val="0"/>
          <c:tx>
            <c:strRef>
              <c:f>Pivot!$D$3</c:f>
              <c:strCache>
                <c:ptCount val="1"/>
                <c:pt idx="0">
                  <c:v>ผลรวม</c:v>
                </c:pt>
              </c:strCache>
            </c:strRef>
          </c:tx>
          <c:invertIfNegative val="0"/>
          <c:dPt>
            <c:idx val="0"/>
            <c:invertIfNegative val="0"/>
            <c:bubble3D val="0"/>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CF13-4F4F-A404-84B105CF7E12}"/>
              </c:ext>
            </c:extLst>
          </c:dPt>
          <c:dPt>
            <c:idx val="1"/>
            <c:invertIfNegative val="0"/>
            <c:bubble3D val="0"/>
            <c:extLst>
              <c:ext xmlns:c16="http://schemas.microsoft.com/office/drawing/2014/chart" uri="{C3380CC4-5D6E-409C-BE32-E72D297353CC}">
                <c16:uniqueId val="{00000003-CF13-4F4F-A404-84B105CF7E12}"/>
              </c:ext>
            </c:extLst>
          </c:dPt>
          <c:dPt>
            <c:idx val="2"/>
            <c:invertIfNegative val="0"/>
            <c:bubble3D val="0"/>
            <c:spPr>
              <a:solidFill>
                <a:srgbClr val="1F4E78"/>
              </a:solidFill>
            </c:spPr>
            <c:extLst>
              <c:ext xmlns:c16="http://schemas.microsoft.com/office/drawing/2014/chart" uri="{C3380CC4-5D6E-409C-BE32-E72D297353CC}">
                <c16:uniqueId val="{00000005-CF13-4F4F-A404-84B105CF7E12}"/>
              </c:ext>
            </c:extLst>
          </c:dPt>
          <c:dPt>
            <c:idx val="3"/>
            <c:invertIfNegative val="0"/>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CF13-4F4F-A404-84B105CF7E12}"/>
              </c:ext>
            </c:extLst>
          </c:dPt>
          <c:dPt>
            <c:idx val="4"/>
            <c:invertIfNegative val="0"/>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CF13-4F4F-A404-84B105CF7E12}"/>
              </c:ext>
            </c:extLst>
          </c:dPt>
          <c:dPt>
            <c:idx val="5"/>
            <c:invertIfNegative val="0"/>
            <c:bubble3D val="0"/>
            <c:spPr>
              <a:solidFill>
                <a:srgbClr val="00B05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CF13-4F4F-A404-84B105CF7E12}"/>
              </c:ext>
            </c:extLst>
          </c:dPt>
          <c:dPt>
            <c:idx val="6"/>
            <c:invertIfNegative val="0"/>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CF13-4F4F-A404-84B105CF7E12}"/>
              </c:ext>
            </c:extLst>
          </c:dPt>
          <c:dPt>
            <c:idx val="7"/>
            <c:invertIfNegative val="0"/>
            <c:bubble3D val="0"/>
            <c:spPr>
              <a:solidFill>
                <a:schemeClr val="accent2">
                  <a:lumMod val="40000"/>
                  <a:lumOff val="60000"/>
                </a:schemeClr>
              </a:solidFill>
            </c:spPr>
            <c:extLst>
              <c:ext xmlns:c16="http://schemas.microsoft.com/office/drawing/2014/chart" uri="{C3380CC4-5D6E-409C-BE32-E72D297353CC}">
                <c16:uniqueId val="{0000000F-CF13-4F4F-A404-84B105CF7E12}"/>
              </c:ext>
            </c:extLst>
          </c:dPt>
          <c:dPt>
            <c:idx val="8"/>
            <c:invertIfNegative val="0"/>
            <c:bubble3D val="0"/>
            <c:spPr>
              <a:solidFill>
                <a:srgbClr val="FF99FF"/>
              </a:solidFill>
            </c:spPr>
            <c:extLst>
              <c:ext xmlns:c16="http://schemas.microsoft.com/office/drawing/2014/chart" uri="{C3380CC4-5D6E-409C-BE32-E72D297353CC}">
                <c16:uniqueId val="{00000001-8B76-4B59-961D-E02D37D735C0}"/>
              </c:ext>
            </c:extLst>
          </c:dPt>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Pivot!$C$4:$C$12</c:f>
              <c:strCache>
                <c:ptCount val="9"/>
                <c:pt idx="0">
                  <c:v>NPI</c:v>
                </c:pt>
                <c:pt idx="1">
                  <c:v>DFM Mold</c:v>
                </c:pt>
                <c:pt idx="2">
                  <c:v>Part DFM</c:v>
                </c:pt>
                <c:pt idx="3">
                  <c:v>MEETING</c:v>
                </c:pt>
                <c:pt idx="4">
                  <c:v>OTHER</c:v>
                </c:pt>
                <c:pt idx="5">
                  <c:v>DFA</c:v>
                </c:pt>
                <c:pt idx="6">
                  <c:v>PROJECT</c:v>
                </c:pt>
                <c:pt idx="7">
                  <c:v>RFQ</c:v>
                </c:pt>
                <c:pt idx="8">
                  <c:v>PACKING</c:v>
                </c:pt>
              </c:strCache>
            </c:strRef>
          </c:cat>
          <c:val>
            <c:numRef>
              <c:f>Pivot!$D$4:$D$12</c:f>
              <c:numCache>
                <c:formatCode>General</c:formatCode>
                <c:ptCount val="9"/>
                <c:pt idx="0">
                  <c:v>187</c:v>
                </c:pt>
                <c:pt idx="1">
                  <c:v>64</c:v>
                </c:pt>
                <c:pt idx="2">
                  <c:v>15</c:v>
                </c:pt>
                <c:pt idx="3">
                  <c:v>75</c:v>
                </c:pt>
                <c:pt idx="4">
                  <c:v>31</c:v>
                </c:pt>
                <c:pt idx="5">
                  <c:v>20</c:v>
                </c:pt>
                <c:pt idx="6">
                  <c:v>7</c:v>
                </c:pt>
                <c:pt idx="7">
                  <c:v>67</c:v>
                </c:pt>
                <c:pt idx="8">
                  <c:v>199</c:v>
                </c:pt>
              </c:numCache>
            </c:numRef>
          </c:val>
          <c:extLst>
            <c:ext xmlns:c16="http://schemas.microsoft.com/office/drawing/2014/chart" uri="{C3380CC4-5D6E-409C-BE32-E72D297353CC}">
              <c16:uniqueId val="{00000010-CF13-4F4F-A404-84B105CF7E12}"/>
            </c:ext>
          </c:extLst>
        </c:ser>
        <c:dLbls>
          <c:showLegendKey val="0"/>
          <c:showVal val="0"/>
          <c:showCatName val="0"/>
          <c:showSerName val="0"/>
          <c:showPercent val="0"/>
          <c:showBubbleSize val="0"/>
        </c:dLbls>
        <c:gapWidth val="100"/>
        <c:axId val="774031384"/>
        <c:axId val="774032040"/>
      </c:barChart>
      <c:catAx>
        <c:axId val="774031384"/>
        <c:scaling>
          <c:orientation val="minMax"/>
        </c:scaling>
        <c:delete val="0"/>
        <c:axPos val="b"/>
        <c:numFmt formatCode="General" sourceLinked="1"/>
        <c:majorTickMark val="out"/>
        <c:minorTickMark val="none"/>
        <c:tickLblPos val="nextTo"/>
        <c:txPr>
          <a:bodyPr/>
          <a:lstStyle/>
          <a:p>
            <a:pPr>
              <a:defRPr sz="900"/>
            </a:pPr>
            <a:endParaRPr lang="en-US"/>
          </a:p>
        </c:txPr>
        <c:crossAx val="774032040"/>
        <c:crosses val="autoZero"/>
        <c:auto val="1"/>
        <c:lblAlgn val="ctr"/>
        <c:lblOffset val="100"/>
        <c:noMultiLvlLbl val="0"/>
      </c:catAx>
      <c:valAx>
        <c:axId val="774032040"/>
        <c:scaling>
          <c:orientation val="minMax"/>
        </c:scaling>
        <c:delete val="0"/>
        <c:axPos val="l"/>
        <c:majorGridlines/>
        <c:numFmt formatCode="General" sourceLinked="1"/>
        <c:majorTickMark val="out"/>
        <c:minorTickMark val="none"/>
        <c:tickLblPos val="nextTo"/>
        <c:crossAx val="774031384"/>
        <c:crosses val="autoZero"/>
        <c:crossBetween val="between"/>
      </c:valAx>
      <c:spPr>
        <a:noFill/>
        <a:ln>
          <a:noFill/>
        </a:ln>
        <a:effectLst/>
        <a:sp3d/>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[NPI Integration Fronted task schedule2026 Rev2 -.xlsx]Pivot monthly!PivotTable30-2</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baseline="0">
                <a:solidFill>
                  <a:sysClr val="windowText" lastClr="000000"/>
                </a:solidFill>
                <a:effectLst/>
              </a:rPr>
              <a:t>Monthly Task Chart</a:t>
            </a:r>
            <a:endParaRPr lang="en-US" sz="1600">
              <a:solidFill>
                <a:sysClr val="windowText" lastClr="000000"/>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CC66FF"/>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outerShdw blurRad="50800" dist="38100" dir="2700000" algn="tl" rotWithShape="0">
              <a:prstClr val="black">
                <a:alpha val="40000"/>
              </a:prstClr>
            </a:outerShdw>
          </a:effectLst>
        </c:spPr>
        <c:marker>
          <c:symbol val="none"/>
        </c:marker>
      </c:pivotFmt>
      <c:pivotFmt>
        <c:idx val="42"/>
        <c:spPr>
          <a:solidFill>
            <a:schemeClr val="accent1"/>
          </a:solidFill>
          <a:ln>
            <a:noFill/>
          </a:ln>
          <a:effectLst>
            <a:outerShdw blurRad="50800" dist="38100" dir="2700000" algn="tl" rotWithShape="0">
              <a:prstClr val="black">
                <a:alpha val="40000"/>
              </a:prstClr>
            </a:outerShdw>
          </a:effectLst>
        </c:spPr>
        <c:marker>
          <c:symbol val="none"/>
        </c:marker>
      </c:pivotFmt>
      <c:pivotFmt>
        <c:idx val="43"/>
        <c:spPr>
          <a:solidFill>
            <a:schemeClr val="accent1"/>
          </a:solidFill>
          <a:ln>
            <a:noFill/>
          </a:ln>
          <a:effectLst>
            <a:outerShdw blurRad="50800" dist="38100" dir="2700000" algn="tl" rotWithShape="0">
              <a:prstClr val="black">
                <a:alpha val="40000"/>
              </a:prstClr>
            </a:outerShdw>
          </a:effectLst>
        </c:spPr>
        <c:marker>
          <c:symbol val="none"/>
        </c:marker>
      </c:pivotFmt>
      <c:pivotFmt>
        <c:idx val="44"/>
        <c:spPr>
          <a:solidFill>
            <a:sysClr val="window" lastClr="FFFFFF">
              <a:lumMod val="65000"/>
            </a:sys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rgbClr val="FFFF00"/>
          </a:solidFill>
          <a:ln>
            <a:noFill/>
          </a:ln>
          <a:effectLst>
            <a:outerShdw blurRad="50800" dist="38100" dir="2700000" algn="tl" rotWithShape="0">
              <a:prstClr val="black">
                <a:alpha val="40000"/>
              </a:prstClr>
            </a:outerShdw>
          </a:effectLst>
        </c:spPr>
        <c:marker>
          <c:symbol val="none"/>
        </c:marker>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00B05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pivotFmt>
      <c:pivotFmt>
        <c:idx val="5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rgbClr val="ED7D31">
              <a:lumMod val="20000"/>
              <a:lumOff val="8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rgbClr val="FF99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monthly'!$J$15:$J$16</c:f>
              <c:strCache>
                <c:ptCount val="1"/>
                <c:pt idx="0">
                  <c:v>NPI</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monthly'!$H$17:$I$37</c:f>
              <c:multiLvlStrCache>
                <c:ptCount val="21"/>
                <c:lvl>
                  <c:pt idx="2">
                    <c:v>27</c:v>
                  </c:pt>
                  <c:pt idx="3">
                    <c:v>28</c:v>
                  </c:pt>
                  <c:pt idx="4">
                    <c:v>2</c:v>
                  </c:pt>
                  <c:pt idx="5">
                    <c:v>3</c:v>
                  </c:pt>
                  <c:pt idx="6">
                    <c:v>4</c:v>
                  </c:pt>
                  <c:pt idx="7">
                    <c:v>5</c:v>
                  </c:pt>
                  <c:pt idx="8">
                    <c:v>7</c:v>
                  </c:pt>
                  <c:pt idx="9">
                    <c:v>8</c:v>
                  </c:pt>
                  <c:pt idx="10">
                    <c:v>6</c:v>
                  </c:pt>
                  <c:pt idx="11">
                    <c:v>9</c:v>
                  </c:pt>
                  <c:pt idx="12">
                    <c:v>10</c:v>
                  </c:pt>
                  <c:pt idx="13">
                    <c:v>13</c:v>
                  </c:pt>
                  <c:pt idx="14">
                    <c:v>11</c:v>
                  </c:pt>
                  <c:pt idx="15">
                    <c:v>12</c:v>
                  </c:pt>
                  <c:pt idx="16">
                    <c:v>14</c:v>
                  </c:pt>
                  <c:pt idx="17">
                    <c:v>17</c:v>
                  </c:pt>
                  <c:pt idx="18">
                    <c:v>14</c:v>
                  </c:pt>
                  <c:pt idx="19">
                    <c:v>15</c:v>
                  </c:pt>
                  <c:pt idx="20">
                    <c:v>18</c:v>
                  </c:pt>
                </c:lvl>
                <c:lvl>
                  <c:pt idx="0">
                    <c:v>May</c:v>
                  </c:pt>
                  <c:pt idx="1">
                    <c:v>Jun</c:v>
                  </c:pt>
                  <c:pt idx="2">
                    <c:v>Jul</c:v>
                  </c:pt>
                  <c:pt idx="4">
                    <c:v>Jan</c:v>
                  </c:pt>
                  <c:pt idx="8">
                    <c:v>Feb</c:v>
                  </c:pt>
                  <c:pt idx="12">
                    <c:v>Mar</c:v>
                  </c:pt>
                  <c:pt idx="17">
                    <c:v>Apr</c:v>
                  </c:pt>
                </c:lvl>
              </c:multiLvlStrCache>
            </c:multiLvlStrRef>
          </c:cat>
          <c:val>
            <c:numRef>
              <c:f>'Pivot monthly'!$J$17:$J$37</c:f>
              <c:numCache>
                <c:formatCode>General</c:formatCode>
                <c:ptCount val="21"/>
                <c:pt idx="0">
                  <c:v>4</c:v>
                </c:pt>
                <c:pt idx="1">
                  <c:v>20</c:v>
                </c:pt>
                <c:pt idx="2">
                  <c:v>7</c:v>
                </c:pt>
                <c:pt idx="3">
                  <c:v>6</c:v>
                </c:pt>
                <c:pt idx="4">
                  <c:v>10</c:v>
                </c:pt>
                <c:pt idx="5">
                  <c:v>10</c:v>
                </c:pt>
                <c:pt idx="6">
                  <c:v>4</c:v>
                </c:pt>
                <c:pt idx="7">
                  <c:v>11</c:v>
                </c:pt>
                <c:pt idx="8">
                  <c:v>8</c:v>
                </c:pt>
                <c:pt idx="9">
                  <c:v>7</c:v>
                </c:pt>
                <c:pt idx="10">
                  <c:v>5</c:v>
                </c:pt>
                <c:pt idx="11">
                  <c:v>19</c:v>
                </c:pt>
                <c:pt idx="12">
                  <c:v>8</c:v>
                </c:pt>
                <c:pt idx="13">
                  <c:v>15</c:v>
                </c:pt>
                <c:pt idx="14">
                  <c:v>12</c:v>
                </c:pt>
                <c:pt idx="15">
                  <c:v>22</c:v>
                </c:pt>
                <c:pt idx="16">
                  <c:v>3</c:v>
                </c:pt>
                <c:pt idx="17">
                  <c:v>5</c:v>
                </c:pt>
                <c:pt idx="18">
                  <c:v>7</c:v>
                </c:pt>
                <c:pt idx="19">
                  <c:v>3</c:v>
                </c:pt>
                <c:pt idx="20">
                  <c:v>1</c:v>
                </c:pt>
              </c:numCache>
            </c:numRef>
          </c:val>
          <c:extLst>
            <c:ext xmlns:c16="http://schemas.microsoft.com/office/drawing/2014/chart" uri="{C3380CC4-5D6E-409C-BE32-E72D297353CC}">
              <c16:uniqueId val="{00000006-181E-459E-9850-FAA6FF294FC2}"/>
            </c:ext>
          </c:extLst>
        </c:ser>
        <c:ser>
          <c:idx val="1"/>
          <c:order val="1"/>
          <c:tx>
            <c:strRef>
              <c:f>'Pivot monthly'!$K$15:$K$16</c:f>
              <c:strCache>
                <c:ptCount val="1"/>
                <c:pt idx="0">
                  <c:v>MEETING</c:v>
                </c:pt>
              </c:strCache>
            </c:strRef>
          </c:tx>
          <c:spPr>
            <a:solidFill>
              <a:sysClr val="window" lastClr="FFFFFF">
                <a:lumMod val="65000"/>
              </a:sys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monthly'!$H$17:$I$37</c:f>
              <c:multiLvlStrCache>
                <c:ptCount val="21"/>
                <c:lvl>
                  <c:pt idx="2">
                    <c:v>27</c:v>
                  </c:pt>
                  <c:pt idx="3">
                    <c:v>28</c:v>
                  </c:pt>
                  <c:pt idx="4">
                    <c:v>2</c:v>
                  </c:pt>
                  <c:pt idx="5">
                    <c:v>3</c:v>
                  </c:pt>
                  <c:pt idx="6">
                    <c:v>4</c:v>
                  </c:pt>
                  <c:pt idx="7">
                    <c:v>5</c:v>
                  </c:pt>
                  <c:pt idx="8">
                    <c:v>7</c:v>
                  </c:pt>
                  <c:pt idx="9">
                    <c:v>8</c:v>
                  </c:pt>
                  <c:pt idx="10">
                    <c:v>6</c:v>
                  </c:pt>
                  <c:pt idx="11">
                    <c:v>9</c:v>
                  </c:pt>
                  <c:pt idx="12">
                    <c:v>10</c:v>
                  </c:pt>
                  <c:pt idx="13">
                    <c:v>13</c:v>
                  </c:pt>
                  <c:pt idx="14">
                    <c:v>11</c:v>
                  </c:pt>
                  <c:pt idx="15">
                    <c:v>12</c:v>
                  </c:pt>
                  <c:pt idx="16">
                    <c:v>14</c:v>
                  </c:pt>
                  <c:pt idx="17">
                    <c:v>17</c:v>
                  </c:pt>
                  <c:pt idx="18">
                    <c:v>14</c:v>
                  </c:pt>
                  <c:pt idx="19">
                    <c:v>15</c:v>
                  </c:pt>
                  <c:pt idx="20">
                    <c:v>18</c:v>
                  </c:pt>
                </c:lvl>
                <c:lvl>
                  <c:pt idx="0">
                    <c:v>May</c:v>
                  </c:pt>
                  <c:pt idx="1">
                    <c:v>Jun</c:v>
                  </c:pt>
                  <c:pt idx="2">
                    <c:v>Jul</c:v>
                  </c:pt>
                  <c:pt idx="4">
                    <c:v>Jan</c:v>
                  </c:pt>
                  <c:pt idx="8">
                    <c:v>Feb</c:v>
                  </c:pt>
                  <c:pt idx="12">
                    <c:v>Mar</c:v>
                  </c:pt>
                  <c:pt idx="17">
                    <c:v>Apr</c:v>
                  </c:pt>
                </c:lvl>
              </c:multiLvlStrCache>
            </c:multiLvlStrRef>
          </c:cat>
          <c:val>
            <c:numRef>
              <c:f>'Pivot monthly'!$K$17:$K$37</c:f>
              <c:numCache>
                <c:formatCode>General</c:formatCode>
                <c:ptCount val="21"/>
                <c:pt idx="0">
                  <c:v>6</c:v>
                </c:pt>
                <c:pt idx="1">
                  <c:v>19</c:v>
                </c:pt>
                <c:pt idx="2">
                  <c:v>3</c:v>
                </c:pt>
                <c:pt idx="3">
                  <c:v>4</c:v>
                </c:pt>
                <c:pt idx="4">
                  <c:v>3</c:v>
                </c:pt>
                <c:pt idx="5">
                  <c:v>2</c:v>
                </c:pt>
                <c:pt idx="6">
                  <c:v>1</c:v>
                </c:pt>
                <c:pt idx="7">
                  <c:v>3</c:v>
                </c:pt>
                <c:pt idx="8">
                  <c:v>2</c:v>
                </c:pt>
                <c:pt idx="9">
                  <c:v>4</c:v>
                </c:pt>
                <c:pt idx="10">
                  <c:v>2</c:v>
                </c:pt>
                <c:pt idx="11">
                  <c:v>1</c:v>
                </c:pt>
                <c:pt idx="12">
                  <c:v>1</c:v>
                </c:pt>
                <c:pt idx="13">
                  <c:v>2</c:v>
                </c:pt>
                <c:pt idx="14">
                  <c:v>9</c:v>
                </c:pt>
                <c:pt idx="15">
                  <c:v>2</c:v>
                </c:pt>
                <c:pt idx="16">
                  <c:v>3</c:v>
                </c:pt>
                <c:pt idx="17">
                  <c:v>1</c:v>
                </c:pt>
                <c:pt idx="18">
                  <c:v>1</c:v>
                </c:pt>
                <c:pt idx="19">
                  <c:v>6</c:v>
                </c:pt>
              </c:numCache>
            </c:numRef>
          </c:val>
          <c:extLst>
            <c:ext xmlns:c16="http://schemas.microsoft.com/office/drawing/2014/chart" uri="{C3380CC4-5D6E-409C-BE32-E72D297353CC}">
              <c16:uniqueId val="{00000000-1F52-4364-93EB-8FC91467690B}"/>
            </c:ext>
          </c:extLst>
        </c:ser>
        <c:ser>
          <c:idx val="2"/>
          <c:order val="2"/>
          <c:tx>
            <c:strRef>
              <c:f>'Pivot monthly'!$L$15:$L$16</c:f>
              <c:strCache>
                <c:ptCount val="1"/>
                <c:pt idx="0">
                  <c:v>OTHER</c:v>
                </c:pt>
              </c:strCache>
            </c:strRef>
          </c:tx>
          <c:spPr>
            <a:solidFill>
              <a:srgbClr val="FFC000"/>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monthly'!$H$17:$I$37</c:f>
              <c:multiLvlStrCache>
                <c:ptCount val="21"/>
                <c:lvl>
                  <c:pt idx="2">
                    <c:v>27</c:v>
                  </c:pt>
                  <c:pt idx="3">
                    <c:v>28</c:v>
                  </c:pt>
                  <c:pt idx="4">
                    <c:v>2</c:v>
                  </c:pt>
                  <c:pt idx="5">
                    <c:v>3</c:v>
                  </c:pt>
                  <c:pt idx="6">
                    <c:v>4</c:v>
                  </c:pt>
                  <c:pt idx="7">
                    <c:v>5</c:v>
                  </c:pt>
                  <c:pt idx="8">
                    <c:v>7</c:v>
                  </c:pt>
                  <c:pt idx="9">
                    <c:v>8</c:v>
                  </c:pt>
                  <c:pt idx="10">
                    <c:v>6</c:v>
                  </c:pt>
                  <c:pt idx="11">
                    <c:v>9</c:v>
                  </c:pt>
                  <c:pt idx="12">
                    <c:v>10</c:v>
                  </c:pt>
                  <c:pt idx="13">
                    <c:v>13</c:v>
                  </c:pt>
                  <c:pt idx="14">
                    <c:v>11</c:v>
                  </c:pt>
                  <c:pt idx="15">
                    <c:v>12</c:v>
                  </c:pt>
                  <c:pt idx="16">
                    <c:v>14</c:v>
                  </c:pt>
                  <c:pt idx="17">
                    <c:v>17</c:v>
                  </c:pt>
                  <c:pt idx="18">
                    <c:v>14</c:v>
                  </c:pt>
                  <c:pt idx="19">
                    <c:v>15</c:v>
                  </c:pt>
                  <c:pt idx="20">
                    <c:v>18</c:v>
                  </c:pt>
                </c:lvl>
                <c:lvl>
                  <c:pt idx="0">
                    <c:v>May</c:v>
                  </c:pt>
                  <c:pt idx="1">
                    <c:v>Jun</c:v>
                  </c:pt>
                  <c:pt idx="2">
                    <c:v>Jul</c:v>
                  </c:pt>
                  <c:pt idx="4">
                    <c:v>Jan</c:v>
                  </c:pt>
                  <c:pt idx="8">
                    <c:v>Feb</c:v>
                  </c:pt>
                  <c:pt idx="12">
                    <c:v>Mar</c:v>
                  </c:pt>
                  <c:pt idx="17">
                    <c:v>Apr</c:v>
                  </c:pt>
                </c:lvl>
              </c:multiLvlStrCache>
            </c:multiLvlStrRef>
          </c:cat>
          <c:val>
            <c:numRef>
              <c:f>'Pivot monthly'!$L$17:$L$37</c:f>
              <c:numCache>
                <c:formatCode>General</c:formatCode>
                <c:ptCount val="21"/>
                <c:pt idx="0">
                  <c:v>1</c:v>
                </c:pt>
                <c:pt idx="1">
                  <c:v>5</c:v>
                </c:pt>
                <c:pt idx="4">
                  <c:v>1</c:v>
                </c:pt>
                <c:pt idx="5">
                  <c:v>3</c:v>
                </c:pt>
                <c:pt idx="6">
                  <c:v>1</c:v>
                </c:pt>
                <c:pt idx="7">
                  <c:v>1</c:v>
                </c:pt>
                <c:pt idx="8">
                  <c:v>1</c:v>
                </c:pt>
                <c:pt idx="9">
                  <c:v>3</c:v>
                </c:pt>
                <c:pt idx="10">
                  <c:v>2</c:v>
                </c:pt>
                <c:pt idx="11">
                  <c:v>1</c:v>
                </c:pt>
                <c:pt idx="12">
                  <c:v>7</c:v>
                </c:pt>
                <c:pt idx="13">
                  <c:v>1</c:v>
                </c:pt>
                <c:pt idx="14">
                  <c:v>2</c:v>
                </c:pt>
                <c:pt idx="17">
                  <c:v>2</c:v>
                </c:pt>
              </c:numCache>
            </c:numRef>
          </c:val>
          <c:extLst>
            <c:ext xmlns:c16="http://schemas.microsoft.com/office/drawing/2014/chart" uri="{C3380CC4-5D6E-409C-BE32-E72D297353CC}">
              <c16:uniqueId val="{00000001-1F52-4364-93EB-8FC91467690B}"/>
            </c:ext>
          </c:extLst>
        </c:ser>
        <c:ser>
          <c:idx val="3"/>
          <c:order val="3"/>
          <c:tx>
            <c:strRef>
              <c:f>'Pivot monthly'!$M$15:$M$16</c:f>
              <c:strCache>
                <c:ptCount val="1"/>
                <c:pt idx="0">
                  <c:v>DFA</c:v>
                </c:pt>
              </c:strCache>
            </c:strRef>
          </c:tx>
          <c:spPr>
            <a:solidFill>
              <a:srgbClr val="00B050"/>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monthly'!$H$17:$I$37</c:f>
              <c:multiLvlStrCache>
                <c:ptCount val="21"/>
                <c:lvl>
                  <c:pt idx="2">
                    <c:v>27</c:v>
                  </c:pt>
                  <c:pt idx="3">
                    <c:v>28</c:v>
                  </c:pt>
                  <c:pt idx="4">
                    <c:v>2</c:v>
                  </c:pt>
                  <c:pt idx="5">
                    <c:v>3</c:v>
                  </c:pt>
                  <c:pt idx="6">
                    <c:v>4</c:v>
                  </c:pt>
                  <c:pt idx="7">
                    <c:v>5</c:v>
                  </c:pt>
                  <c:pt idx="8">
                    <c:v>7</c:v>
                  </c:pt>
                  <c:pt idx="9">
                    <c:v>8</c:v>
                  </c:pt>
                  <c:pt idx="10">
                    <c:v>6</c:v>
                  </c:pt>
                  <c:pt idx="11">
                    <c:v>9</c:v>
                  </c:pt>
                  <c:pt idx="12">
                    <c:v>10</c:v>
                  </c:pt>
                  <c:pt idx="13">
                    <c:v>13</c:v>
                  </c:pt>
                  <c:pt idx="14">
                    <c:v>11</c:v>
                  </c:pt>
                  <c:pt idx="15">
                    <c:v>12</c:v>
                  </c:pt>
                  <c:pt idx="16">
                    <c:v>14</c:v>
                  </c:pt>
                  <c:pt idx="17">
                    <c:v>17</c:v>
                  </c:pt>
                  <c:pt idx="18">
                    <c:v>14</c:v>
                  </c:pt>
                  <c:pt idx="19">
                    <c:v>15</c:v>
                  </c:pt>
                  <c:pt idx="20">
                    <c:v>18</c:v>
                  </c:pt>
                </c:lvl>
                <c:lvl>
                  <c:pt idx="0">
                    <c:v>May</c:v>
                  </c:pt>
                  <c:pt idx="1">
                    <c:v>Jun</c:v>
                  </c:pt>
                  <c:pt idx="2">
                    <c:v>Jul</c:v>
                  </c:pt>
                  <c:pt idx="4">
                    <c:v>Jan</c:v>
                  </c:pt>
                  <c:pt idx="8">
                    <c:v>Feb</c:v>
                  </c:pt>
                  <c:pt idx="12">
                    <c:v>Mar</c:v>
                  </c:pt>
                  <c:pt idx="17">
                    <c:v>Apr</c:v>
                  </c:pt>
                </c:lvl>
              </c:multiLvlStrCache>
            </c:multiLvlStrRef>
          </c:cat>
          <c:val>
            <c:numRef>
              <c:f>'Pivot monthly'!$M$17:$M$37</c:f>
              <c:numCache>
                <c:formatCode>General</c:formatCode>
                <c:ptCount val="21"/>
                <c:pt idx="1">
                  <c:v>8</c:v>
                </c:pt>
                <c:pt idx="3">
                  <c:v>2</c:v>
                </c:pt>
                <c:pt idx="6">
                  <c:v>5</c:v>
                </c:pt>
                <c:pt idx="7">
                  <c:v>1</c:v>
                </c:pt>
                <c:pt idx="8">
                  <c:v>1</c:v>
                </c:pt>
                <c:pt idx="9">
                  <c:v>1</c:v>
                </c:pt>
                <c:pt idx="15">
                  <c:v>1</c:v>
                </c:pt>
                <c:pt idx="20">
                  <c:v>1</c:v>
                </c:pt>
              </c:numCache>
            </c:numRef>
          </c:val>
          <c:extLst>
            <c:ext xmlns:c16="http://schemas.microsoft.com/office/drawing/2014/chart" uri="{C3380CC4-5D6E-409C-BE32-E72D297353CC}">
              <c16:uniqueId val="{00000000-0DF2-4554-AF03-DC0483BA0363}"/>
            </c:ext>
          </c:extLst>
        </c:ser>
        <c:ser>
          <c:idx val="4"/>
          <c:order val="4"/>
          <c:tx>
            <c:strRef>
              <c:f>'Pivot monthly'!$N$15:$N$16</c:f>
              <c:strCache>
                <c:ptCount val="1"/>
                <c:pt idx="0">
                  <c:v>PROJECT</c:v>
                </c:pt>
              </c:strCache>
            </c:strRef>
          </c:tx>
          <c:spPr>
            <a:solidFill>
              <a:srgbClr val="002060"/>
            </a:solidFill>
            <a:ln>
              <a:noFill/>
            </a:ln>
            <a:effectLst/>
          </c:spPr>
          <c:invertIfNegative val="0"/>
          <c:cat>
            <c:multiLvlStrRef>
              <c:f>'Pivot monthly'!$H$17:$I$37</c:f>
              <c:multiLvlStrCache>
                <c:ptCount val="21"/>
                <c:lvl>
                  <c:pt idx="2">
                    <c:v>27</c:v>
                  </c:pt>
                  <c:pt idx="3">
                    <c:v>28</c:v>
                  </c:pt>
                  <c:pt idx="4">
                    <c:v>2</c:v>
                  </c:pt>
                  <c:pt idx="5">
                    <c:v>3</c:v>
                  </c:pt>
                  <c:pt idx="6">
                    <c:v>4</c:v>
                  </c:pt>
                  <c:pt idx="7">
                    <c:v>5</c:v>
                  </c:pt>
                  <c:pt idx="8">
                    <c:v>7</c:v>
                  </c:pt>
                  <c:pt idx="9">
                    <c:v>8</c:v>
                  </c:pt>
                  <c:pt idx="10">
                    <c:v>6</c:v>
                  </c:pt>
                  <c:pt idx="11">
                    <c:v>9</c:v>
                  </c:pt>
                  <c:pt idx="12">
                    <c:v>10</c:v>
                  </c:pt>
                  <c:pt idx="13">
                    <c:v>13</c:v>
                  </c:pt>
                  <c:pt idx="14">
                    <c:v>11</c:v>
                  </c:pt>
                  <c:pt idx="15">
                    <c:v>12</c:v>
                  </c:pt>
                  <c:pt idx="16">
                    <c:v>14</c:v>
                  </c:pt>
                  <c:pt idx="17">
                    <c:v>17</c:v>
                  </c:pt>
                  <c:pt idx="18">
                    <c:v>14</c:v>
                  </c:pt>
                  <c:pt idx="19">
                    <c:v>15</c:v>
                  </c:pt>
                  <c:pt idx="20">
                    <c:v>18</c:v>
                  </c:pt>
                </c:lvl>
                <c:lvl>
                  <c:pt idx="0">
                    <c:v>May</c:v>
                  </c:pt>
                  <c:pt idx="1">
                    <c:v>Jun</c:v>
                  </c:pt>
                  <c:pt idx="2">
                    <c:v>Jul</c:v>
                  </c:pt>
                  <c:pt idx="4">
                    <c:v>Jan</c:v>
                  </c:pt>
                  <c:pt idx="8">
                    <c:v>Feb</c:v>
                  </c:pt>
                  <c:pt idx="12">
                    <c:v>Mar</c:v>
                  </c:pt>
                  <c:pt idx="17">
                    <c:v>Apr</c:v>
                  </c:pt>
                </c:lvl>
              </c:multiLvlStrCache>
            </c:multiLvlStrRef>
          </c:cat>
          <c:val>
            <c:numRef>
              <c:f>'Pivot monthly'!$N$17:$N$37</c:f>
              <c:numCache>
                <c:formatCode>General</c:formatCode>
                <c:ptCount val="21"/>
                <c:pt idx="0">
                  <c:v>1</c:v>
                </c:pt>
                <c:pt idx="1">
                  <c:v>3</c:v>
                </c:pt>
                <c:pt idx="2">
                  <c:v>1</c:v>
                </c:pt>
                <c:pt idx="3">
                  <c:v>2</c:v>
                </c:pt>
              </c:numCache>
            </c:numRef>
          </c:val>
          <c:extLst>
            <c:ext xmlns:c16="http://schemas.microsoft.com/office/drawing/2014/chart" uri="{C3380CC4-5D6E-409C-BE32-E72D297353CC}">
              <c16:uniqueId val="{00000000-395B-453F-B775-BDEBAADF7FBF}"/>
            </c:ext>
          </c:extLst>
        </c:ser>
        <c:ser>
          <c:idx val="5"/>
          <c:order val="5"/>
          <c:tx>
            <c:strRef>
              <c:f>'Pivot monthly'!$O$15:$O$16</c:f>
              <c:strCache>
                <c:ptCount val="1"/>
                <c:pt idx="0">
                  <c:v>RFQ</c:v>
                </c:pt>
              </c:strCache>
            </c:strRef>
          </c:tx>
          <c:spPr>
            <a:solidFill>
              <a:srgbClr val="ED7D31">
                <a:lumMod val="20000"/>
                <a:lumOff val="8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monthly'!$H$17:$I$37</c:f>
              <c:multiLvlStrCache>
                <c:ptCount val="21"/>
                <c:lvl>
                  <c:pt idx="2">
                    <c:v>27</c:v>
                  </c:pt>
                  <c:pt idx="3">
                    <c:v>28</c:v>
                  </c:pt>
                  <c:pt idx="4">
                    <c:v>2</c:v>
                  </c:pt>
                  <c:pt idx="5">
                    <c:v>3</c:v>
                  </c:pt>
                  <c:pt idx="6">
                    <c:v>4</c:v>
                  </c:pt>
                  <c:pt idx="7">
                    <c:v>5</c:v>
                  </c:pt>
                  <c:pt idx="8">
                    <c:v>7</c:v>
                  </c:pt>
                  <c:pt idx="9">
                    <c:v>8</c:v>
                  </c:pt>
                  <c:pt idx="10">
                    <c:v>6</c:v>
                  </c:pt>
                  <c:pt idx="11">
                    <c:v>9</c:v>
                  </c:pt>
                  <c:pt idx="12">
                    <c:v>10</c:v>
                  </c:pt>
                  <c:pt idx="13">
                    <c:v>13</c:v>
                  </c:pt>
                  <c:pt idx="14">
                    <c:v>11</c:v>
                  </c:pt>
                  <c:pt idx="15">
                    <c:v>12</c:v>
                  </c:pt>
                  <c:pt idx="16">
                    <c:v>14</c:v>
                  </c:pt>
                  <c:pt idx="17">
                    <c:v>17</c:v>
                  </c:pt>
                  <c:pt idx="18">
                    <c:v>14</c:v>
                  </c:pt>
                  <c:pt idx="19">
                    <c:v>15</c:v>
                  </c:pt>
                  <c:pt idx="20">
                    <c:v>18</c:v>
                  </c:pt>
                </c:lvl>
                <c:lvl>
                  <c:pt idx="0">
                    <c:v>May</c:v>
                  </c:pt>
                  <c:pt idx="1">
                    <c:v>Jun</c:v>
                  </c:pt>
                  <c:pt idx="2">
                    <c:v>Jul</c:v>
                  </c:pt>
                  <c:pt idx="4">
                    <c:v>Jan</c:v>
                  </c:pt>
                  <c:pt idx="8">
                    <c:v>Feb</c:v>
                  </c:pt>
                  <c:pt idx="12">
                    <c:v>Mar</c:v>
                  </c:pt>
                  <c:pt idx="17">
                    <c:v>Apr</c:v>
                  </c:pt>
                </c:lvl>
              </c:multiLvlStrCache>
            </c:multiLvlStrRef>
          </c:cat>
          <c:val>
            <c:numRef>
              <c:f>'Pivot monthly'!$O$17:$O$37</c:f>
              <c:numCache>
                <c:formatCode>General</c:formatCode>
                <c:ptCount val="21"/>
                <c:pt idx="0">
                  <c:v>9</c:v>
                </c:pt>
                <c:pt idx="1">
                  <c:v>12</c:v>
                </c:pt>
                <c:pt idx="2">
                  <c:v>1</c:v>
                </c:pt>
                <c:pt idx="3">
                  <c:v>4</c:v>
                </c:pt>
                <c:pt idx="4">
                  <c:v>1</c:v>
                </c:pt>
                <c:pt idx="5">
                  <c:v>3</c:v>
                </c:pt>
                <c:pt idx="6">
                  <c:v>1</c:v>
                </c:pt>
                <c:pt idx="7">
                  <c:v>1</c:v>
                </c:pt>
                <c:pt idx="8">
                  <c:v>7</c:v>
                </c:pt>
                <c:pt idx="9">
                  <c:v>2</c:v>
                </c:pt>
                <c:pt idx="10">
                  <c:v>2</c:v>
                </c:pt>
                <c:pt idx="11">
                  <c:v>2</c:v>
                </c:pt>
                <c:pt idx="12">
                  <c:v>4</c:v>
                </c:pt>
                <c:pt idx="13">
                  <c:v>2</c:v>
                </c:pt>
                <c:pt idx="14">
                  <c:v>3</c:v>
                </c:pt>
                <c:pt idx="15">
                  <c:v>2</c:v>
                </c:pt>
                <c:pt idx="16">
                  <c:v>3</c:v>
                </c:pt>
                <c:pt idx="17">
                  <c:v>2</c:v>
                </c:pt>
                <c:pt idx="18">
                  <c:v>1</c:v>
                </c:pt>
                <c:pt idx="20">
                  <c:v>5</c:v>
                </c:pt>
              </c:numCache>
            </c:numRef>
          </c:val>
          <c:extLst>
            <c:ext xmlns:c16="http://schemas.microsoft.com/office/drawing/2014/chart" uri="{C3380CC4-5D6E-409C-BE32-E72D297353CC}">
              <c16:uniqueId val="{00000001-395B-453F-B775-BDEBAADF7FBF}"/>
            </c:ext>
          </c:extLst>
        </c:ser>
        <c:ser>
          <c:idx val="6"/>
          <c:order val="6"/>
          <c:tx>
            <c:strRef>
              <c:f>'Pivot monthly'!$P$15:$P$16</c:f>
              <c:strCache>
                <c:ptCount val="1"/>
              </c:strCache>
            </c:strRef>
          </c:tx>
          <c:spPr>
            <a:solidFill>
              <a:srgbClr val="7030A0"/>
            </a:solidFill>
            <a:ln>
              <a:noFill/>
            </a:ln>
            <a:effectLst/>
          </c:spPr>
          <c:invertIfNegative val="0"/>
          <c:cat>
            <c:multiLvlStrRef>
              <c:f>'Pivot monthly'!$H$17:$I$37</c:f>
              <c:multiLvlStrCache>
                <c:ptCount val="21"/>
                <c:lvl>
                  <c:pt idx="2">
                    <c:v>27</c:v>
                  </c:pt>
                  <c:pt idx="3">
                    <c:v>28</c:v>
                  </c:pt>
                  <c:pt idx="4">
                    <c:v>2</c:v>
                  </c:pt>
                  <c:pt idx="5">
                    <c:v>3</c:v>
                  </c:pt>
                  <c:pt idx="6">
                    <c:v>4</c:v>
                  </c:pt>
                  <c:pt idx="7">
                    <c:v>5</c:v>
                  </c:pt>
                  <c:pt idx="8">
                    <c:v>7</c:v>
                  </c:pt>
                  <c:pt idx="9">
                    <c:v>8</c:v>
                  </c:pt>
                  <c:pt idx="10">
                    <c:v>6</c:v>
                  </c:pt>
                  <c:pt idx="11">
                    <c:v>9</c:v>
                  </c:pt>
                  <c:pt idx="12">
                    <c:v>10</c:v>
                  </c:pt>
                  <c:pt idx="13">
                    <c:v>13</c:v>
                  </c:pt>
                  <c:pt idx="14">
                    <c:v>11</c:v>
                  </c:pt>
                  <c:pt idx="15">
                    <c:v>12</c:v>
                  </c:pt>
                  <c:pt idx="16">
                    <c:v>14</c:v>
                  </c:pt>
                  <c:pt idx="17">
                    <c:v>17</c:v>
                  </c:pt>
                  <c:pt idx="18">
                    <c:v>14</c:v>
                  </c:pt>
                  <c:pt idx="19">
                    <c:v>15</c:v>
                  </c:pt>
                  <c:pt idx="20">
                    <c:v>18</c:v>
                  </c:pt>
                </c:lvl>
                <c:lvl>
                  <c:pt idx="0">
                    <c:v>May</c:v>
                  </c:pt>
                  <c:pt idx="1">
                    <c:v>Jun</c:v>
                  </c:pt>
                  <c:pt idx="2">
                    <c:v>Jul</c:v>
                  </c:pt>
                  <c:pt idx="4">
                    <c:v>Jan</c:v>
                  </c:pt>
                  <c:pt idx="8">
                    <c:v>Feb</c:v>
                  </c:pt>
                  <c:pt idx="12">
                    <c:v>Mar</c:v>
                  </c:pt>
                  <c:pt idx="17">
                    <c:v>Apr</c:v>
                  </c:pt>
                </c:lvl>
              </c:multiLvlStrCache>
            </c:multiLvlStrRef>
          </c:cat>
          <c:val>
            <c:numRef>
              <c:f>'Pivot monthly'!$P$17:$P$37</c:f>
              <c:numCache>
                <c:formatCode>General</c:formatCode>
                <c:ptCount val="21"/>
              </c:numCache>
            </c:numRef>
          </c:val>
          <c:extLst>
            <c:ext xmlns:c16="http://schemas.microsoft.com/office/drawing/2014/chart" uri="{C3380CC4-5D6E-409C-BE32-E72D297353CC}">
              <c16:uniqueId val="{00000002-395B-453F-B775-BDEBAADF7FBF}"/>
            </c:ext>
          </c:extLst>
        </c:ser>
        <c:ser>
          <c:idx val="7"/>
          <c:order val="7"/>
          <c:tx>
            <c:strRef>
              <c:f>'Pivot monthly'!$Q$15:$Q$16</c:f>
              <c:strCache>
                <c:ptCount val="1"/>
                <c:pt idx="0">
                  <c:v>PACKING</c:v>
                </c:pt>
              </c:strCache>
            </c:strRef>
          </c:tx>
          <c:spPr>
            <a:solidFill>
              <a:srgbClr val="FF99FF"/>
            </a:solidFill>
            <a:ln>
              <a:noFill/>
            </a:ln>
            <a:effectLst/>
          </c:spPr>
          <c:invertIfNegative val="0"/>
          <c:cat>
            <c:multiLvlStrRef>
              <c:f>'Pivot monthly'!$H$17:$I$37</c:f>
              <c:multiLvlStrCache>
                <c:ptCount val="21"/>
                <c:lvl>
                  <c:pt idx="2">
                    <c:v>27</c:v>
                  </c:pt>
                  <c:pt idx="3">
                    <c:v>28</c:v>
                  </c:pt>
                  <c:pt idx="4">
                    <c:v>2</c:v>
                  </c:pt>
                  <c:pt idx="5">
                    <c:v>3</c:v>
                  </c:pt>
                  <c:pt idx="6">
                    <c:v>4</c:v>
                  </c:pt>
                  <c:pt idx="7">
                    <c:v>5</c:v>
                  </c:pt>
                  <c:pt idx="8">
                    <c:v>7</c:v>
                  </c:pt>
                  <c:pt idx="9">
                    <c:v>8</c:v>
                  </c:pt>
                  <c:pt idx="10">
                    <c:v>6</c:v>
                  </c:pt>
                  <c:pt idx="11">
                    <c:v>9</c:v>
                  </c:pt>
                  <c:pt idx="12">
                    <c:v>10</c:v>
                  </c:pt>
                  <c:pt idx="13">
                    <c:v>13</c:v>
                  </c:pt>
                  <c:pt idx="14">
                    <c:v>11</c:v>
                  </c:pt>
                  <c:pt idx="15">
                    <c:v>12</c:v>
                  </c:pt>
                  <c:pt idx="16">
                    <c:v>14</c:v>
                  </c:pt>
                  <c:pt idx="17">
                    <c:v>17</c:v>
                  </c:pt>
                  <c:pt idx="18">
                    <c:v>14</c:v>
                  </c:pt>
                  <c:pt idx="19">
                    <c:v>15</c:v>
                  </c:pt>
                  <c:pt idx="20">
                    <c:v>18</c:v>
                  </c:pt>
                </c:lvl>
                <c:lvl>
                  <c:pt idx="0">
                    <c:v>May</c:v>
                  </c:pt>
                  <c:pt idx="1">
                    <c:v>Jun</c:v>
                  </c:pt>
                  <c:pt idx="2">
                    <c:v>Jul</c:v>
                  </c:pt>
                  <c:pt idx="4">
                    <c:v>Jan</c:v>
                  </c:pt>
                  <c:pt idx="8">
                    <c:v>Feb</c:v>
                  </c:pt>
                  <c:pt idx="12">
                    <c:v>Mar</c:v>
                  </c:pt>
                  <c:pt idx="17">
                    <c:v>Apr</c:v>
                  </c:pt>
                </c:lvl>
              </c:multiLvlStrCache>
            </c:multiLvlStrRef>
          </c:cat>
          <c:val>
            <c:numRef>
              <c:f>'Pivot monthly'!$Q$17:$Q$37</c:f>
              <c:numCache>
                <c:formatCode>General</c:formatCode>
                <c:ptCount val="21"/>
                <c:pt idx="0">
                  <c:v>46</c:v>
                </c:pt>
                <c:pt idx="1">
                  <c:v>52</c:v>
                </c:pt>
                <c:pt idx="2">
                  <c:v>2</c:v>
                </c:pt>
                <c:pt idx="3">
                  <c:v>11</c:v>
                </c:pt>
                <c:pt idx="4">
                  <c:v>5</c:v>
                </c:pt>
                <c:pt idx="5">
                  <c:v>3</c:v>
                </c:pt>
                <c:pt idx="6">
                  <c:v>9</c:v>
                </c:pt>
                <c:pt idx="7">
                  <c:v>5</c:v>
                </c:pt>
                <c:pt idx="8">
                  <c:v>5</c:v>
                </c:pt>
                <c:pt idx="9">
                  <c:v>7</c:v>
                </c:pt>
                <c:pt idx="10">
                  <c:v>5</c:v>
                </c:pt>
                <c:pt idx="11">
                  <c:v>6</c:v>
                </c:pt>
                <c:pt idx="12">
                  <c:v>1</c:v>
                </c:pt>
                <c:pt idx="13">
                  <c:v>5</c:v>
                </c:pt>
                <c:pt idx="14">
                  <c:v>10</c:v>
                </c:pt>
                <c:pt idx="15">
                  <c:v>3</c:v>
                </c:pt>
                <c:pt idx="16">
                  <c:v>1</c:v>
                </c:pt>
                <c:pt idx="17">
                  <c:v>10</c:v>
                </c:pt>
                <c:pt idx="18">
                  <c:v>2</c:v>
                </c:pt>
                <c:pt idx="19">
                  <c:v>3</c:v>
                </c:pt>
                <c:pt idx="20">
                  <c:v>8</c:v>
                </c:pt>
              </c:numCache>
            </c:numRef>
          </c:val>
          <c:extLst>
            <c:ext xmlns:c16="http://schemas.microsoft.com/office/drawing/2014/chart" uri="{C3380CC4-5D6E-409C-BE32-E72D297353CC}">
              <c16:uniqueId val="{00000003-395B-453F-B775-BDEBAADF7FBF}"/>
            </c:ext>
          </c:extLst>
        </c:ser>
        <c:ser>
          <c:idx val="8"/>
          <c:order val="8"/>
          <c:tx>
            <c:strRef>
              <c:f>'Pivot monthly'!$R$15:$R$16</c:f>
              <c:strCache>
                <c:ptCount val="1"/>
                <c:pt idx="0">
                  <c:v>Part DFM</c:v>
                </c:pt>
              </c:strCache>
            </c:strRef>
          </c:tx>
          <c:spPr>
            <a:solidFill>
              <a:srgbClr val="0070C0"/>
            </a:solidFill>
            <a:ln>
              <a:noFill/>
            </a:ln>
            <a:effectLst/>
          </c:spPr>
          <c:invertIfNegative val="0"/>
          <c:cat>
            <c:multiLvlStrRef>
              <c:f>'Pivot monthly'!$H$17:$I$37</c:f>
              <c:multiLvlStrCache>
                <c:ptCount val="21"/>
                <c:lvl>
                  <c:pt idx="2">
                    <c:v>27</c:v>
                  </c:pt>
                  <c:pt idx="3">
                    <c:v>28</c:v>
                  </c:pt>
                  <c:pt idx="4">
                    <c:v>2</c:v>
                  </c:pt>
                  <c:pt idx="5">
                    <c:v>3</c:v>
                  </c:pt>
                  <c:pt idx="6">
                    <c:v>4</c:v>
                  </c:pt>
                  <c:pt idx="7">
                    <c:v>5</c:v>
                  </c:pt>
                  <c:pt idx="8">
                    <c:v>7</c:v>
                  </c:pt>
                  <c:pt idx="9">
                    <c:v>8</c:v>
                  </c:pt>
                  <c:pt idx="10">
                    <c:v>6</c:v>
                  </c:pt>
                  <c:pt idx="11">
                    <c:v>9</c:v>
                  </c:pt>
                  <c:pt idx="12">
                    <c:v>10</c:v>
                  </c:pt>
                  <c:pt idx="13">
                    <c:v>13</c:v>
                  </c:pt>
                  <c:pt idx="14">
                    <c:v>11</c:v>
                  </c:pt>
                  <c:pt idx="15">
                    <c:v>12</c:v>
                  </c:pt>
                  <c:pt idx="16">
                    <c:v>14</c:v>
                  </c:pt>
                  <c:pt idx="17">
                    <c:v>17</c:v>
                  </c:pt>
                  <c:pt idx="18">
                    <c:v>14</c:v>
                  </c:pt>
                  <c:pt idx="19">
                    <c:v>15</c:v>
                  </c:pt>
                  <c:pt idx="20">
                    <c:v>18</c:v>
                  </c:pt>
                </c:lvl>
                <c:lvl>
                  <c:pt idx="0">
                    <c:v>May</c:v>
                  </c:pt>
                  <c:pt idx="1">
                    <c:v>Jun</c:v>
                  </c:pt>
                  <c:pt idx="2">
                    <c:v>Jul</c:v>
                  </c:pt>
                  <c:pt idx="4">
                    <c:v>Jan</c:v>
                  </c:pt>
                  <c:pt idx="8">
                    <c:v>Feb</c:v>
                  </c:pt>
                  <c:pt idx="12">
                    <c:v>Mar</c:v>
                  </c:pt>
                  <c:pt idx="17">
                    <c:v>Apr</c:v>
                  </c:pt>
                </c:lvl>
              </c:multiLvlStrCache>
            </c:multiLvlStrRef>
          </c:cat>
          <c:val>
            <c:numRef>
              <c:f>'Pivot monthly'!$R$17:$R$37</c:f>
              <c:numCache>
                <c:formatCode>General</c:formatCode>
                <c:ptCount val="21"/>
                <c:pt idx="0">
                  <c:v>3</c:v>
                </c:pt>
                <c:pt idx="1">
                  <c:v>4</c:v>
                </c:pt>
                <c:pt idx="3">
                  <c:v>2</c:v>
                </c:pt>
                <c:pt idx="5">
                  <c:v>1</c:v>
                </c:pt>
                <c:pt idx="6">
                  <c:v>4</c:v>
                </c:pt>
                <c:pt idx="17">
                  <c:v>1</c:v>
                </c:pt>
              </c:numCache>
            </c:numRef>
          </c:val>
          <c:extLst>
            <c:ext xmlns:c16="http://schemas.microsoft.com/office/drawing/2014/chart" uri="{C3380CC4-5D6E-409C-BE32-E72D297353CC}">
              <c16:uniqueId val="{00000004-395B-453F-B775-BDEBAADF7FBF}"/>
            </c:ext>
          </c:extLst>
        </c:ser>
        <c:ser>
          <c:idx val="9"/>
          <c:order val="9"/>
          <c:tx>
            <c:strRef>
              <c:f>'Pivot monthly'!$S$15:$S$16</c:f>
              <c:strCache>
                <c:ptCount val="1"/>
                <c:pt idx="0">
                  <c:v>DFM Mold</c:v>
                </c:pt>
              </c:strCache>
            </c:strRef>
          </c:tx>
          <c:spPr>
            <a:solidFill>
              <a:srgbClr val="002060"/>
            </a:solidFill>
            <a:ln>
              <a:noFill/>
            </a:ln>
            <a:effectLst/>
          </c:spPr>
          <c:invertIfNegative val="0"/>
          <c:cat>
            <c:multiLvlStrRef>
              <c:f>'Pivot monthly'!$H$17:$I$37</c:f>
              <c:multiLvlStrCache>
                <c:ptCount val="21"/>
                <c:lvl>
                  <c:pt idx="2">
                    <c:v>27</c:v>
                  </c:pt>
                  <c:pt idx="3">
                    <c:v>28</c:v>
                  </c:pt>
                  <c:pt idx="4">
                    <c:v>2</c:v>
                  </c:pt>
                  <c:pt idx="5">
                    <c:v>3</c:v>
                  </c:pt>
                  <c:pt idx="6">
                    <c:v>4</c:v>
                  </c:pt>
                  <c:pt idx="7">
                    <c:v>5</c:v>
                  </c:pt>
                  <c:pt idx="8">
                    <c:v>7</c:v>
                  </c:pt>
                  <c:pt idx="9">
                    <c:v>8</c:v>
                  </c:pt>
                  <c:pt idx="10">
                    <c:v>6</c:v>
                  </c:pt>
                  <c:pt idx="11">
                    <c:v>9</c:v>
                  </c:pt>
                  <c:pt idx="12">
                    <c:v>10</c:v>
                  </c:pt>
                  <c:pt idx="13">
                    <c:v>13</c:v>
                  </c:pt>
                  <c:pt idx="14">
                    <c:v>11</c:v>
                  </c:pt>
                  <c:pt idx="15">
                    <c:v>12</c:v>
                  </c:pt>
                  <c:pt idx="16">
                    <c:v>14</c:v>
                  </c:pt>
                  <c:pt idx="17">
                    <c:v>17</c:v>
                  </c:pt>
                  <c:pt idx="18">
                    <c:v>14</c:v>
                  </c:pt>
                  <c:pt idx="19">
                    <c:v>15</c:v>
                  </c:pt>
                  <c:pt idx="20">
                    <c:v>18</c:v>
                  </c:pt>
                </c:lvl>
                <c:lvl>
                  <c:pt idx="0">
                    <c:v>May</c:v>
                  </c:pt>
                  <c:pt idx="1">
                    <c:v>Jun</c:v>
                  </c:pt>
                  <c:pt idx="2">
                    <c:v>Jul</c:v>
                  </c:pt>
                  <c:pt idx="4">
                    <c:v>Jan</c:v>
                  </c:pt>
                  <c:pt idx="8">
                    <c:v>Feb</c:v>
                  </c:pt>
                  <c:pt idx="12">
                    <c:v>Mar</c:v>
                  </c:pt>
                  <c:pt idx="17">
                    <c:v>Apr</c:v>
                  </c:pt>
                </c:lvl>
              </c:multiLvlStrCache>
            </c:multiLvlStrRef>
          </c:cat>
          <c:val>
            <c:numRef>
              <c:f>'Pivot monthly'!$S$17:$S$37</c:f>
              <c:numCache>
                <c:formatCode>General</c:formatCode>
                <c:ptCount val="21"/>
                <c:pt idx="0">
                  <c:v>39</c:v>
                </c:pt>
                <c:pt idx="1">
                  <c:v>9</c:v>
                </c:pt>
                <c:pt idx="2">
                  <c:v>1</c:v>
                </c:pt>
                <c:pt idx="3">
                  <c:v>1</c:v>
                </c:pt>
                <c:pt idx="6">
                  <c:v>1</c:v>
                </c:pt>
                <c:pt idx="7">
                  <c:v>5</c:v>
                </c:pt>
                <c:pt idx="8">
                  <c:v>1</c:v>
                </c:pt>
                <c:pt idx="9">
                  <c:v>2</c:v>
                </c:pt>
                <c:pt idx="10">
                  <c:v>1</c:v>
                </c:pt>
                <c:pt idx="15">
                  <c:v>4</c:v>
                </c:pt>
              </c:numCache>
            </c:numRef>
          </c:val>
          <c:extLst>
            <c:ext xmlns:c16="http://schemas.microsoft.com/office/drawing/2014/chart" uri="{C3380CC4-5D6E-409C-BE32-E72D297353CC}">
              <c16:uniqueId val="{00000000-7A13-4835-B4B7-4C7A63569901}"/>
            </c:ext>
          </c:extLst>
        </c:ser>
        <c:dLbls>
          <c:showLegendKey val="0"/>
          <c:showVal val="0"/>
          <c:showCatName val="0"/>
          <c:showSerName val="0"/>
          <c:showPercent val="0"/>
          <c:showBubbleSize val="0"/>
        </c:dLbls>
        <c:gapWidth val="100"/>
        <c:overlap val="100"/>
        <c:axId val="1377353072"/>
        <c:axId val="1377346000"/>
      </c:barChart>
      <c:catAx>
        <c:axId val="1377353072"/>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77346000"/>
        <c:crosses val="autoZero"/>
        <c:auto val="1"/>
        <c:lblAlgn val="ctr"/>
        <c:lblOffset val="100"/>
        <c:noMultiLvlLbl val="0"/>
      </c:catAx>
      <c:valAx>
        <c:axId val="137734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77353072"/>
        <c:crosses val="autoZero"/>
        <c:crossBetween val="between"/>
      </c:valAx>
      <c:spPr>
        <a:noFill/>
        <a:ln>
          <a:noFill/>
        </a:ln>
        <a:effectLst/>
      </c:spPr>
    </c:plotArea>
    <c:legend>
      <c:legendPos val="r"/>
      <c:layout>
        <c:manualLayout>
          <c:xMode val="edge"/>
          <c:yMode val="edge"/>
          <c:x val="0.78164868862656423"/>
          <c:y val="0.117835073241331"/>
          <c:w val="0.13763363855522373"/>
          <c:h val="0.69147039279049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'Pivot monthly'!$R$4</c:f>
              <c:strCache>
                <c:ptCount val="1"/>
                <c:pt idx="0">
                  <c:v>On Process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monthly'!$P$5:$P$13</c:f>
              <c:strCache>
                <c:ptCount val="9"/>
                <c:pt idx="0">
                  <c:v>RFQ</c:v>
                </c:pt>
                <c:pt idx="1">
                  <c:v>NPI</c:v>
                </c:pt>
                <c:pt idx="2">
                  <c:v>PROJECT</c:v>
                </c:pt>
                <c:pt idx="3">
                  <c:v>DFM</c:v>
                </c:pt>
                <c:pt idx="4">
                  <c:v>OTHER</c:v>
                </c:pt>
                <c:pt idx="5">
                  <c:v>Internal DFM</c:v>
                </c:pt>
                <c:pt idx="6">
                  <c:v>MEETING</c:v>
                </c:pt>
                <c:pt idx="7">
                  <c:v>DFA</c:v>
                </c:pt>
                <c:pt idx="8">
                  <c:v>PACKING</c:v>
                </c:pt>
              </c:strCache>
            </c:strRef>
          </c:cat>
          <c:val>
            <c:numRef>
              <c:f>'Pivot monthly'!$R$5:$R$13</c:f>
              <c:numCache>
                <c:formatCode>General</c:formatCode>
                <c:ptCount val="9"/>
                <c:pt idx="0">
                  <c:v>2</c:v>
                </c:pt>
                <c:pt idx="1">
                  <c:v>1</c:v>
                </c:pt>
                <c:pt idx="2">
                  <c:v>1</c:v>
                </c:pt>
                <c:pt idx="3">
                  <c:v>0</c:v>
                </c:pt>
                <c:pt idx="4">
                  <c:v>0</c:v>
                </c:pt>
                <c:pt idx="5">
                  <c:v>0</c:v>
                </c:pt>
                <c:pt idx="6">
                  <c:v>0</c:v>
                </c:pt>
                <c:pt idx="7">
                  <c:v>0</c:v>
                </c:pt>
                <c:pt idx="8">
                  <c:v>2</c:v>
                </c:pt>
              </c:numCache>
            </c:numRef>
          </c:val>
          <c:extLst>
            <c:ext xmlns:c16="http://schemas.microsoft.com/office/drawing/2014/chart" uri="{C3380CC4-5D6E-409C-BE32-E72D297353CC}">
              <c16:uniqueId val="{0000002D-6B1F-4C1B-81FC-5EA11F4192E8}"/>
            </c:ext>
          </c:extLst>
        </c:ser>
        <c:dLbls>
          <c:showLegendKey val="0"/>
          <c:showVal val="0"/>
          <c:showCatName val="0"/>
          <c:showSerName val="0"/>
          <c:showPercent val="0"/>
          <c:showBubbleSize val="0"/>
        </c:dLbls>
        <c:gapWidth val="40"/>
        <c:overlap val="-24"/>
        <c:axId val="1823708159"/>
        <c:axId val="1823697343"/>
      </c:barChart>
      <c:catAx>
        <c:axId val="1823708159"/>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23697343"/>
        <c:crosses val="autoZero"/>
        <c:auto val="1"/>
        <c:lblAlgn val="ctr"/>
        <c:lblOffset val="100"/>
        <c:noMultiLvlLbl val="0"/>
      </c:catAx>
      <c:valAx>
        <c:axId val="1823697343"/>
        <c:scaling>
          <c:orientation val="minMax"/>
        </c:scaling>
        <c:delete val="1"/>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1823708159"/>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[NPI Integration Fronted task schedule2026 Rev2 -.xlsx]Pivot monthly!PivotTable6-2</c:name>
    <c:fmtId val="2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ysClr val="windowText" lastClr="000000"/>
                </a:solidFill>
              </a:rPr>
              <a:t>Task Schedule Performance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monthly'!$AU$3:$AU$4</c:f>
              <c:strCache>
                <c:ptCount val="1"/>
                <c:pt idx="0">
                  <c:v>On Time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'Pivot monthly'!$AS$5:$AT$26</c:f>
              <c:multiLvlStrCache>
                <c:ptCount val="21"/>
                <c:lvl>
                  <c:pt idx="2">
                    <c:v>27</c:v>
                  </c:pt>
                  <c:pt idx="3">
                    <c:v>28</c:v>
                  </c:pt>
                  <c:pt idx="4">
                    <c:v>2</c:v>
                  </c:pt>
                  <c:pt idx="5">
                    <c:v>3</c:v>
                  </c:pt>
                  <c:pt idx="6">
                    <c:v>4</c:v>
                  </c:pt>
                  <c:pt idx="7">
                    <c:v>5</c:v>
                  </c:pt>
                  <c:pt idx="8">
                    <c:v>7</c:v>
                  </c:pt>
                  <c:pt idx="9">
                    <c:v>8</c:v>
                  </c:pt>
                  <c:pt idx="10">
                    <c:v>6</c:v>
                  </c:pt>
                  <c:pt idx="11">
                    <c:v>9</c:v>
                  </c:pt>
                  <c:pt idx="12">
                    <c:v>10</c:v>
                  </c:pt>
                  <c:pt idx="13">
                    <c:v>13</c:v>
                  </c:pt>
                  <c:pt idx="14">
                    <c:v>11</c:v>
                  </c:pt>
                  <c:pt idx="15">
                    <c:v>12</c:v>
                  </c:pt>
                  <c:pt idx="16">
                    <c:v>14</c:v>
                  </c:pt>
                  <c:pt idx="17">
                    <c:v>17</c:v>
                  </c:pt>
                  <c:pt idx="18">
                    <c:v>14</c:v>
                  </c:pt>
                  <c:pt idx="19">
                    <c:v>15</c:v>
                  </c:pt>
                  <c:pt idx="20">
                    <c:v>18</c:v>
                  </c:pt>
                </c:lvl>
                <c:lvl>
                  <c:pt idx="0">
                    <c:v>May</c:v>
                  </c:pt>
                  <c:pt idx="1">
                    <c:v>Jun</c:v>
                  </c:pt>
                  <c:pt idx="2">
                    <c:v>Jul</c:v>
                  </c:pt>
                  <c:pt idx="4">
                    <c:v>Jan</c:v>
                  </c:pt>
                  <c:pt idx="8">
                    <c:v>Feb</c:v>
                  </c:pt>
                  <c:pt idx="12">
                    <c:v>Mar</c:v>
                  </c:pt>
                  <c:pt idx="17">
                    <c:v>Apr</c:v>
                  </c:pt>
                </c:lvl>
              </c:multiLvlStrCache>
            </c:multiLvlStrRef>
          </c:cat>
          <c:val>
            <c:numRef>
              <c:f>'Pivot monthly'!$AU$5:$AU$26</c:f>
              <c:numCache>
                <c:formatCode>General</c:formatCode>
                <c:ptCount val="21"/>
                <c:pt idx="0">
                  <c:v>109</c:v>
                </c:pt>
                <c:pt idx="1">
                  <c:v>132</c:v>
                </c:pt>
                <c:pt idx="2">
                  <c:v>15</c:v>
                </c:pt>
                <c:pt idx="3">
                  <c:v>26</c:v>
                </c:pt>
                <c:pt idx="4">
                  <c:v>20</c:v>
                </c:pt>
                <c:pt idx="5">
                  <c:v>22</c:v>
                </c:pt>
                <c:pt idx="6">
                  <c:v>26</c:v>
                </c:pt>
                <c:pt idx="7">
                  <c:v>27</c:v>
                </c:pt>
                <c:pt idx="8">
                  <c:v>25</c:v>
                </c:pt>
                <c:pt idx="9">
                  <c:v>26</c:v>
                </c:pt>
                <c:pt idx="10">
                  <c:v>17</c:v>
                </c:pt>
                <c:pt idx="11">
                  <c:v>29</c:v>
                </c:pt>
                <c:pt idx="12">
                  <c:v>21</c:v>
                </c:pt>
                <c:pt idx="13">
                  <c:v>25</c:v>
                </c:pt>
                <c:pt idx="14">
                  <c:v>36</c:v>
                </c:pt>
                <c:pt idx="15">
                  <c:v>34</c:v>
                </c:pt>
                <c:pt idx="16">
                  <c:v>10</c:v>
                </c:pt>
                <c:pt idx="17">
                  <c:v>21</c:v>
                </c:pt>
                <c:pt idx="18">
                  <c:v>11</c:v>
                </c:pt>
                <c:pt idx="19">
                  <c:v>12</c:v>
                </c:pt>
                <c:pt idx="20">
                  <c:v>15</c:v>
                </c:pt>
              </c:numCache>
            </c:numRef>
          </c:val>
          <c:extLst>
            <c:ext xmlns:c16="http://schemas.microsoft.com/office/drawing/2014/chart" uri="{C3380CC4-5D6E-409C-BE32-E72D297353CC}">
              <c16:uniqueId val="{00000000-2242-4AC4-8D71-45645B7B0EC8}"/>
            </c:ext>
          </c:extLst>
        </c:ser>
        <c:dLbls>
          <c:showLegendKey val="0"/>
          <c:showVal val="0"/>
          <c:showCatName val="0"/>
          <c:showSerName val="0"/>
          <c:showPercent val="0"/>
          <c:showBubbleSize val="0"/>
        </c:dLbls>
        <c:gapWidth val="100"/>
        <c:overlap val="-24"/>
        <c:axId val="1272891359"/>
        <c:axId val="1272896351"/>
      </c:barChart>
      <c:catAx>
        <c:axId val="1272891359"/>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72896351"/>
        <c:crosses val="autoZero"/>
        <c:auto val="1"/>
        <c:lblAlgn val="ctr"/>
        <c:lblOffset val="100"/>
        <c:noMultiLvlLbl val="0"/>
      </c:catAx>
      <c:valAx>
        <c:axId val="127289635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72891359"/>
        <c:crosses val="autoZero"/>
        <c:crossBetween val="between"/>
      </c:valAx>
      <c:spPr>
        <a:noFill/>
        <a:ln>
          <a:noFill/>
        </a:ln>
        <a:effectLst/>
      </c:spPr>
    </c:plotArea>
    <c:legend>
      <c:legendPos val="r"/>
      <c:layout>
        <c:manualLayout>
          <c:xMode val="edge"/>
          <c:yMode val="edge"/>
          <c:x val="0.83963429571303594"/>
          <c:y val="0.48791593759113433"/>
          <c:w val="0.12981014873140859"/>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[NPI Integration Fronted task schedule2026 Rev2 -.xlsx]Pivot monthly!PivotTable31-2</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On Process VS</a:t>
            </a:r>
            <a:r>
              <a:rPr lang="en-US" sz="1600" b="1" baseline="0">
                <a:solidFill>
                  <a:sysClr val="windowText" lastClr="000000"/>
                </a:solidFill>
              </a:rPr>
              <a:t> Closed Task</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pivotFmt>
      <c:pivotFmt>
        <c:idx val="15"/>
        <c:spPr>
          <a:solidFill>
            <a:srgbClr val="FFFFFF"/>
          </a:solidFill>
          <a:ln>
            <a:solidFill>
              <a:srgbClr val="FFFFFF"/>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monthly'!$X$3:$X$4</c:f>
              <c:strCache>
                <c:ptCount val="1"/>
                <c:pt idx="0">
                  <c:v>Close</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monthly'!$V$5:$W$32</c:f>
              <c:multiLvlStrCache>
                <c:ptCount val="28"/>
                <c:lvl>
                  <c:pt idx="0">
                    <c:v>19</c:v>
                  </c:pt>
                  <c:pt idx="1">
                    <c:v>20</c:v>
                  </c:pt>
                  <c:pt idx="2">
                    <c:v>21</c:v>
                  </c:pt>
                  <c:pt idx="3">
                    <c:v>22</c:v>
                  </c:pt>
                  <c:pt idx="4">
                    <c:v>24</c:v>
                  </c:pt>
                  <c:pt idx="5">
                    <c:v>25</c:v>
                  </c:pt>
                  <c:pt idx="6">
                    <c:v>26</c:v>
                  </c:pt>
                  <c:pt idx="7">
                    <c:v>27</c:v>
                  </c:pt>
                  <c:pt idx="8">
                    <c:v>23</c:v>
                  </c:pt>
                  <c:pt idx="9">
                    <c:v>27</c:v>
                  </c:pt>
                  <c:pt idx="10">
                    <c:v>28</c:v>
                  </c:pt>
                  <c:pt idx="11">
                    <c:v>2</c:v>
                  </c:pt>
                  <c:pt idx="12">
                    <c:v>3</c:v>
                  </c:pt>
                  <c:pt idx="13">
                    <c:v>4</c:v>
                  </c:pt>
                  <c:pt idx="14">
                    <c:v>5</c:v>
                  </c:pt>
                  <c:pt idx="15">
                    <c:v>7</c:v>
                  </c:pt>
                  <c:pt idx="16">
                    <c:v>8</c:v>
                  </c:pt>
                  <c:pt idx="17">
                    <c:v>6</c:v>
                  </c:pt>
                  <c:pt idx="18">
                    <c:v>9</c:v>
                  </c:pt>
                  <c:pt idx="19">
                    <c:v>10</c:v>
                  </c:pt>
                  <c:pt idx="20">
                    <c:v>13</c:v>
                  </c:pt>
                  <c:pt idx="21">
                    <c:v>11</c:v>
                  </c:pt>
                  <c:pt idx="22">
                    <c:v>12</c:v>
                  </c:pt>
                  <c:pt idx="23">
                    <c:v>14</c:v>
                  </c:pt>
                  <c:pt idx="24">
                    <c:v>17</c:v>
                  </c:pt>
                  <c:pt idx="25">
                    <c:v>14</c:v>
                  </c:pt>
                  <c:pt idx="26">
                    <c:v>15</c:v>
                  </c:pt>
                  <c:pt idx="27">
                    <c:v>18</c:v>
                  </c:pt>
                </c:lvl>
                <c:lvl>
                  <c:pt idx="0">
                    <c:v>May</c:v>
                  </c:pt>
                  <c:pt idx="4">
                    <c:v>Jun</c:v>
                  </c:pt>
                  <c:pt idx="9">
                    <c:v>Jul</c:v>
                  </c:pt>
                  <c:pt idx="11">
                    <c:v>Jan</c:v>
                  </c:pt>
                  <c:pt idx="15">
                    <c:v>Feb</c:v>
                  </c:pt>
                  <c:pt idx="19">
                    <c:v>Mar</c:v>
                  </c:pt>
                  <c:pt idx="24">
                    <c:v>Apr</c:v>
                  </c:pt>
                </c:lvl>
              </c:multiLvlStrCache>
            </c:multiLvlStrRef>
          </c:cat>
          <c:val>
            <c:numRef>
              <c:f>'Pivot monthly'!$X$5:$X$32</c:f>
              <c:numCache>
                <c:formatCode>General</c:formatCode>
                <c:ptCount val="28"/>
                <c:pt idx="0">
                  <c:v>14</c:v>
                </c:pt>
                <c:pt idx="1">
                  <c:v>28</c:v>
                </c:pt>
                <c:pt idx="2">
                  <c:v>39</c:v>
                </c:pt>
                <c:pt idx="3">
                  <c:v>28</c:v>
                </c:pt>
                <c:pt idx="4">
                  <c:v>35</c:v>
                </c:pt>
                <c:pt idx="5">
                  <c:v>30</c:v>
                </c:pt>
                <c:pt idx="6">
                  <c:v>24</c:v>
                </c:pt>
                <c:pt idx="7">
                  <c:v>21</c:v>
                </c:pt>
                <c:pt idx="8">
                  <c:v>23</c:v>
                </c:pt>
                <c:pt idx="9">
                  <c:v>15</c:v>
                </c:pt>
                <c:pt idx="10">
                  <c:v>26</c:v>
                </c:pt>
                <c:pt idx="11">
                  <c:v>20</c:v>
                </c:pt>
                <c:pt idx="12">
                  <c:v>22</c:v>
                </c:pt>
                <c:pt idx="13">
                  <c:v>26</c:v>
                </c:pt>
                <c:pt idx="14">
                  <c:v>27</c:v>
                </c:pt>
                <c:pt idx="15">
                  <c:v>25</c:v>
                </c:pt>
                <c:pt idx="16">
                  <c:v>26</c:v>
                </c:pt>
                <c:pt idx="17">
                  <c:v>17</c:v>
                </c:pt>
                <c:pt idx="18">
                  <c:v>29</c:v>
                </c:pt>
                <c:pt idx="19">
                  <c:v>21</c:v>
                </c:pt>
                <c:pt idx="20">
                  <c:v>25</c:v>
                </c:pt>
                <c:pt idx="21">
                  <c:v>36</c:v>
                </c:pt>
                <c:pt idx="22">
                  <c:v>34</c:v>
                </c:pt>
                <c:pt idx="23">
                  <c:v>10</c:v>
                </c:pt>
                <c:pt idx="24">
                  <c:v>21</c:v>
                </c:pt>
                <c:pt idx="25">
                  <c:v>11</c:v>
                </c:pt>
                <c:pt idx="26">
                  <c:v>12</c:v>
                </c:pt>
                <c:pt idx="27">
                  <c:v>15</c:v>
                </c:pt>
              </c:numCache>
            </c:numRef>
          </c:val>
          <c:extLst>
            <c:ext xmlns:c16="http://schemas.microsoft.com/office/drawing/2014/chart" uri="{C3380CC4-5D6E-409C-BE32-E72D297353CC}">
              <c16:uniqueId val="{00000000-7F9A-4BF6-B175-22A22C04BA8A}"/>
            </c:ext>
          </c:extLst>
        </c:ser>
        <c:ser>
          <c:idx val="1"/>
          <c:order val="1"/>
          <c:tx>
            <c:strRef>
              <c:f>'Pivot monthly'!$Y$3:$Y$4</c:f>
              <c:strCache>
                <c:ptCount val="1"/>
                <c:pt idx="0">
                  <c:v>On process</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monthly'!$V$5:$W$32</c:f>
              <c:multiLvlStrCache>
                <c:ptCount val="28"/>
                <c:lvl>
                  <c:pt idx="0">
                    <c:v>19</c:v>
                  </c:pt>
                  <c:pt idx="1">
                    <c:v>20</c:v>
                  </c:pt>
                  <c:pt idx="2">
                    <c:v>21</c:v>
                  </c:pt>
                  <c:pt idx="3">
                    <c:v>22</c:v>
                  </c:pt>
                  <c:pt idx="4">
                    <c:v>24</c:v>
                  </c:pt>
                  <c:pt idx="5">
                    <c:v>25</c:v>
                  </c:pt>
                  <c:pt idx="6">
                    <c:v>26</c:v>
                  </c:pt>
                  <c:pt idx="7">
                    <c:v>27</c:v>
                  </c:pt>
                  <c:pt idx="8">
                    <c:v>23</c:v>
                  </c:pt>
                  <c:pt idx="9">
                    <c:v>27</c:v>
                  </c:pt>
                  <c:pt idx="10">
                    <c:v>28</c:v>
                  </c:pt>
                  <c:pt idx="11">
                    <c:v>2</c:v>
                  </c:pt>
                  <c:pt idx="12">
                    <c:v>3</c:v>
                  </c:pt>
                  <c:pt idx="13">
                    <c:v>4</c:v>
                  </c:pt>
                  <c:pt idx="14">
                    <c:v>5</c:v>
                  </c:pt>
                  <c:pt idx="15">
                    <c:v>7</c:v>
                  </c:pt>
                  <c:pt idx="16">
                    <c:v>8</c:v>
                  </c:pt>
                  <c:pt idx="17">
                    <c:v>6</c:v>
                  </c:pt>
                  <c:pt idx="18">
                    <c:v>9</c:v>
                  </c:pt>
                  <c:pt idx="19">
                    <c:v>10</c:v>
                  </c:pt>
                  <c:pt idx="20">
                    <c:v>13</c:v>
                  </c:pt>
                  <c:pt idx="21">
                    <c:v>11</c:v>
                  </c:pt>
                  <c:pt idx="22">
                    <c:v>12</c:v>
                  </c:pt>
                  <c:pt idx="23">
                    <c:v>14</c:v>
                  </c:pt>
                  <c:pt idx="24">
                    <c:v>17</c:v>
                  </c:pt>
                  <c:pt idx="25">
                    <c:v>14</c:v>
                  </c:pt>
                  <c:pt idx="26">
                    <c:v>15</c:v>
                  </c:pt>
                  <c:pt idx="27">
                    <c:v>18</c:v>
                  </c:pt>
                </c:lvl>
                <c:lvl>
                  <c:pt idx="0">
                    <c:v>May</c:v>
                  </c:pt>
                  <c:pt idx="4">
                    <c:v>Jun</c:v>
                  </c:pt>
                  <c:pt idx="9">
                    <c:v>Jul</c:v>
                  </c:pt>
                  <c:pt idx="11">
                    <c:v>Jan</c:v>
                  </c:pt>
                  <c:pt idx="15">
                    <c:v>Feb</c:v>
                  </c:pt>
                  <c:pt idx="19">
                    <c:v>Mar</c:v>
                  </c:pt>
                  <c:pt idx="24">
                    <c:v>Apr</c:v>
                  </c:pt>
                </c:lvl>
              </c:multiLvlStrCache>
            </c:multiLvlStrRef>
          </c:cat>
          <c:val>
            <c:numRef>
              <c:f>'Pivot monthly'!$Y$5:$Y$32</c:f>
              <c:numCache>
                <c:formatCode>General</c:formatCode>
                <c:ptCount val="28"/>
                <c:pt idx="10">
                  <c:v>6</c:v>
                </c:pt>
              </c:numCache>
            </c:numRef>
          </c:val>
          <c:extLst>
            <c:ext xmlns:c16="http://schemas.microsoft.com/office/drawing/2014/chart" uri="{C3380CC4-5D6E-409C-BE32-E72D297353CC}">
              <c16:uniqueId val="{00000001-7F9A-4BF6-B175-22A22C04BA8A}"/>
            </c:ext>
          </c:extLst>
        </c:ser>
        <c:ser>
          <c:idx val="2"/>
          <c:order val="2"/>
          <c:tx>
            <c:strRef>
              <c:f>'Pivot monthly'!$Z$3:$Z$4</c:f>
              <c:strCache>
                <c:ptCount val="1"/>
                <c:pt idx="0">
                  <c:v>(ว่าง)</c:v>
                </c:pt>
              </c:strCache>
            </c:strRef>
          </c:tx>
          <c:spPr>
            <a:solidFill>
              <a:srgbClr val="FFFFFF"/>
            </a:solidFill>
            <a:ln>
              <a:solidFill>
                <a:srgbClr val="FFFFFF"/>
              </a:solidFill>
              <a:prstDash val="solid"/>
            </a:ln>
            <a:effectLst/>
          </c:spPr>
          <c:invertIfNegative val="0"/>
          <c:cat>
            <c:multiLvlStrRef>
              <c:f>'Pivot monthly'!$V$5:$W$32</c:f>
              <c:multiLvlStrCache>
                <c:ptCount val="28"/>
                <c:lvl>
                  <c:pt idx="0">
                    <c:v>19</c:v>
                  </c:pt>
                  <c:pt idx="1">
                    <c:v>20</c:v>
                  </c:pt>
                  <c:pt idx="2">
                    <c:v>21</c:v>
                  </c:pt>
                  <c:pt idx="3">
                    <c:v>22</c:v>
                  </c:pt>
                  <c:pt idx="4">
                    <c:v>24</c:v>
                  </c:pt>
                  <c:pt idx="5">
                    <c:v>25</c:v>
                  </c:pt>
                  <c:pt idx="6">
                    <c:v>26</c:v>
                  </c:pt>
                  <c:pt idx="7">
                    <c:v>27</c:v>
                  </c:pt>
                  <c:pt idx="8">
                    <c:v>23</c:v>
                  </c:pt>
                  <c:pt idx="9">
                    <c:v>27</c:v>
                  </c:pt>
                  <c:pt idx="10">
                    <c:v>28</c:v>
                  </c:pt>
                  <c:pt idx="11">
                    <c:v>2</c:v>
                  </c:pt>
                  <c:pt idx="12">
                    <c:v>3</c:v>
                  </c:pt>
                  <c:pt idx="13">
                    <c:v>4</c:v>
                  </c:pt>
                  <c:pt idx="14">
                    <c:v>5</c:v>
                  </c:pt>
                  <c:pt idx="15">
                    <c:v>7</c:v>
                  </c:pt>
                  <c:pt idx="16">
                    <c:v>8</c:v>
                  </c:pt>
                  <c:pt idx="17">
                    <c:v>6</c:v>
                  </c:pt>
                  <c:pt idx="18">
                    <c:v>9</c:v>
                  </c:pt>
                  <c:pt idx="19">
                    <c:v>10</c:v>
                  </c:pt>
                  <c:pt idx="20">
                    <c:v>13</c:v>
                  </c:pt>
                  <c:pt idx="21">
                    <c:v>11</c:v>
                  </c:pt>
                  <c:pt idx="22">
                    <c:v>12</c:v>
                  </c:pt>
                  <c:pt idx="23">
                    <c:v>14</c:v>
                  </c:pt>
                  <c:pt idx="24">
                    <c:v>17</c:v>
                  </c:pt>
                  <c:pt idx="25">
                    <c:v>14</c:v>
                  </c:pt>
                  <c:pt idx="26">
                    <c:v>15</c:v>
                  </c:pt>
                  <c:pt idx="27">
                    <c:v>18</c:v>
                  </c:pt>
                </c:lvl>
                <c:lvl>
                  <c:pt idx="0">
                    <c:v>May</c:v>
                  </c:pt>
                  <c:pt idx="4">
                    <c:v>Jun</c:v>
                  </c:pt>
                  <c:pt idx="9">
                    <c:v>Jul</c:v>
                  </c:pt>
                  <c:pt idx="11">
                    <c:v>Jan</c:v>
                  </c:pt>
                  <c:pt idx="15">
                    <c:v>Feb</c:v>
                  </c:pt>
                  <c:pt idx="19">
                    <c:v>Mar</c:v>
                  </c:pt>
                  <c:pt idx="24">
                    <c:v>Apr</c:v>
                  </c:pt>
                </c:lvl>
              </c:multiLvlStrCache>
            </c:multiLvlStrRef>
          </c:cat>
          <c:val>
            <c:numRef>
              <c:f>'Pivot monthly'!$Z$5:$Z$32</c:f>
              <c:numCache>
                <c:formatCode>General</c:formatCode>
                <c:ptCount val="28"/>
              </c:numCache>
            </c:numRef>
          </c:val>
          <c:extLst>
            <c:ext xmlns:c16="http://schemas.microsoft.com/office/drawing/2014/chart" uri="{C3380CC4-5D6E-409C-BE32-E72D297353CC}">
              <c16:uniqueId val="{00000000-5904-4C22-8539-218BA7C07BA7}"/>
            </c:ext>
          </c:extLst>
        </c:ser>
        <c:dLbls>
          <c:showLegendKey val="0"/>
          <c:showVal val="0"/>
          <c:showCatName val="0"/>
          <c:showSerName val="0"/>
          <c:showPercent val="0"/>
          <c:showBubbleSize val="0"/>
        </c:dLbls>
        <c:gapWidth val="100"/>
        <c:overlap val="100"/>
        <c:axId val="1969748831"/>
        <c:axId val="1969753823"/>
      </c:barChart>
      <c:catAx>
        <c:axId val="1969748831"/>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69753823"/>
        <c:crosses val="autoZero"/>
        <c:auto val="1"/>
        <c:lblAlgn val="ctr"/>
        <c:lblOffset val="100"/>
        <c:noMultiLvlLbl val="0"/>
      </c:catAx>
      <c:valAx>
        <c:axId val="1969753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6974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[NPI Integration Fronted task schedule2026 Rev2 -.xlsx]Pivot monthly!PivotTable32-2</c:name>
    <c:fmtId val="14"/>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t>Overdue Task</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3"/>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6"/>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9"/>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monthly'!$AE$3:$AE$4</c:f>
              <c:strCache>
                <c:ptCount val="1"/>
                <c:pt idx="0">
                  <c:v>Overdue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'Pivot monthly'!$AC$5:$AD$25</c:f>
              <c:multiLvlStrCache>
                <c:ptCount val="21"/>
                <c:lvl>
                  <c:pt idx="2">
                    <c:v>27</c:v>
                  </c:pt>
                  <c:pt idx="3">
                    <c:v>28</c:v>
                  </c:pt>
                  <c:pt idx="4">
                    <c:v>2</c:v>
                  </c:pt>
                  <c:pt idx="5">
                    <c:v>3</c:v>
                  </c:pt>
                  <c:pt idx="6">
                    <c:v>4</c:v>
                  </c:pt>
                  <c:pt idx="7">
                    <c:v>5</c:v>
                  </c:pt>
                  <c:pt idx="8">
                    <c:v>7</c:v>
                  </c:pt>
                  <c:pt idx="9">
                    <c:v>8</c:v>
                  </c:pt>
                  <c:pt idx="10">
                    <c:v>6</c:v>
                  </c:pt>
                  <c:pt idx="11">
                    <c:v>9</c:v>
                  </c:pt>
                  <c:pt idx="12">
                    <c:v>10</c:v>
                  </c:pt>
                  <c:pt idx="13">
                    <c:v>13</c:v>
                  </c:pt>
                  <c:pt idx="14">
                    <c:v>11</c:v>
                  </c:pt>
                  <c:pt idx="15">
                    <c:v>12</c:v>
                  </c:pt>
                  <c:pt idx="16">
                    <c:v>14</c:v>
                  </c:pt>
                  <c:pt idx="17">
                    <c:v>17</c:v>
                  </c:pt>
                  <c:pt idx="18">
                    <c:v>14</c:v>
                  </c:pt>
                  <c:pt idx="19">
                    <c:v>15</c:v>
                  </c:pt>
                  <c:pt idx="20">
                    <c:v>18</c:v>
                  </c:pt>
                </c:lvl>
                <c:lvl>
                  <c:pt idx="0">
                    <c:v>May</c:v>
                  </c:pt>
                  <c:pt idx="1">
                    <c:v>Jun</c:v>
                  </c:pt>
                  <c:pt idx="2">
                    <c:v>Jul</c:v>
                  </c:pt>
                  <c:pt idx="4">
                    <c:v>Jan</c:v>
                  </c:pt>
                  <c:pt idx="8">
                    <c:v>Feb</c:v>
                  </c:pt>
                  <c:pt idx="12">
                    <c:v>Mar</c:v>
                  </c:pt>
                  <c:pt idx="17">
                    <c:v>Apr</c:v>
                  </c:pt>
                </c:lvl>
              </c:multiLvlStrCache>
            </c:multiLvlStrRef>
          </c:cat>
          <c:val>
            <c:numRef>
              <c:f>'Pivot monthly'!$AE$5:$AE$25</c:f>
              <c:numCache>
                <c:formatCode>General</c:formatCode>
                <c:ptCount val="21"/>
              </c:numCache>
            </c:numRef>
          </c:val>
          <c:extLst>
            <c:ext xmlns:c16="http://schemas.microsoft.com/office/drawing/2014/chart" uri="{C3380CC4-5D6E-409C-BE32-E72D297353CC}">
              <c16:uniqueId val="{00000000-78B8-4C58-8D32-1098F541A719}"/>
            </c:ext>
          </c:extLst>
        </c:ser>
        <c:ser>
          <c:idx val="1"/>
          <c:order val="1"/>
          <c:tx>
            <c:strRef>
              <c:f>'Pivot monthly'!$AF$3:$AF$4</c:f>
              <c:strCache>
                <c:ptCount val="1"/>
                <c:pt idx="0">
                  <c:v>Closed</c:v>
                </c:pt>
              </c:strCache>
            </c:strRef>
          </c:tx>
          <c:spPr>
            <a:noFill/>
            <a:ln>
              <a:noFill/>
            </a:ln>
            <a:effectLst/>
          </c:spPr>
          <c:invertIfNegative val="0"/>
          <c:cat>
            <c:multiLvlStrRef>
              <c:f>'Pivot monthly'!$AC$5:$AD$25</c:f>
              <c:multiLvlStrCache>
                <c:ptCount val="21"/>
                <c:lvl>
                  <c:pt idx="2">
                    <c:v>27</c:v>
                  </c:pt>
                  <c:pt idx="3">
                    <c:v>28</c:v>
                  </c:pt>
                  <c:pt idx="4">
                    <c:v>2</c:v>
                  </c:pt>
                  <c:pt idx="5">
                    <c:v>3</c:v>
                  </c:pt>
                  <c:pt idx="6">
                    <c:v>4</c:v>
                  </c:pt>
                  <c:pt idx="7">
                    <c:v>5</c:v>
                  </c:pt>
                  <c:pt idx="8">
                    <c:v>7</c:v>
                  </c:pt>
                  <c:pt idx="9">
                    <c:v>8</c:v>
                  </c:pt>
                  <c:pt idx="10">
                    <c:v>6</c:v>
                  </c:pt>
                  <c:pt idx="11">
                    <c:v>9</c:v>
                  </c:pt>
                  <c:pt idx="12">
                    <c:v>10</c:v>
                  </c:pt>
                  <c:pt idx="13">
                    <c:v>13</c:v>
                  </c:pt>
                  <c:pt idx="14">
                    <c:v>11</c:v>
                  </c:pt>
                  <c:pt idx="15">
                    <c:v>12</c:v>
                  </c:pt>
                  <c:pt idx="16">
                    <c:v>14</c:v>
                  </c:pt>
                  <c:pt idx="17">
                    <c:v>17</c:v>
                  </c:pt>
                  <c:pt idx="18">
                    <c:v>14</c:v>
                  </c:pt>
                  <c:pt idx="19">
                    <c:v>15</c:v>
                  </c:pt>
                  <c:pt idx="20">
                    <c:v>18</c:v>
                  </c:pt>
                </c:lvl>
                <c:lvl>
                  <c:pt idx="0">
                    <c:v>May</c:v>
                  </c:pt>
                  <c:pt idx="1">
                    <c:v>Jun</c:v>
                  </c:pt>
                  <c:pt idx="2">
                    <c:v>Jul</c:v>
                  </c:pt>
                  <c:pt idx="4">
                    <c:v>Jan</c:v>
                  </c:pt>
                  <c:pt idx="8">
                    <c:v>Feb</c:v>
                  </c:pt>
                  <c:pt idx="12">
                    <c:v>Mar</c:v>
                  </c:pt>
                  <c:pt idx="17">
                    <c:v>Apr</c:v>
                  </c:pt>
                </c:lvl>
              </c:multiLvlStrCache>
            </c:multiLvlStrRef>
          </c:cat>
          <c:val>
            <c:numRef>
              <c:f>'Pivot monthly'!$AF$5:$AF$25</c:f>
              <c:numCache>
                <c:formatCode>General</c:formatCode>
                <c:ptCount val="21"/>
                <c:pt idx="0">
                  <c:v>109</c:v>
                </c:pt>
                <c:pt idx="1">
                  <c:v>133</c:v>
                </c:pt>
                <c:pt idx="2">
                  <c:v>15</c:v>
                </c:pt>
                <c:pt idx="3">
                  <c:v>26</c:v>
                </c:pt>
                <c:pt idx="4">
                  <c:v>20</c:v>
                </c:pt>
                <c:pt idx="5">
                  <c:v>22</c:v>
                </c:pt>
                <c:pt idx="6">
                  <c:v>26</c:v>
                </c:pt>
                <c:pt idx="7">
                  <c:v>27</c:v>
                </c:pt>
                <c:pt idx="8">
                  <c:v>25</c:v>
                </c:pt>
                <c:pt idx="9">
                  <c:v>26</c:v>
                </c:pt>
                <c:pt idx="10">
                  <c:v>17</c:v>
                </c:pt>
                <c:pt idx="11">
                  <c:v>29</c:v>
                </c:pt>
                <c:pt idx="12">
                  <c:v>21</c:v>
                </c:pt>
                <c:pt idx="13">
                  <c:v>25</c:v>
                </c:pt>
                <c:pt idx="14">
                  <c:v>36</c:v>
                </c:pt>
                <c:pt idx="15">
                  <c:v>34</c:v>
                </c:pt>
                <c:pt idx="16">
                  <c:v>10</c:v>
                </c:pt>
                <c:pt idx="17">
                  <c:v>21</c:v>
                </c:pt>
                <c:pt idx="18">
                  <c:v>11</c:v>
                </c:pt>
                <c:pt idx="19">
                  <c:v>12</c:v>
                </c:pt>
                <c:pt idx="20">
                  <c:v>15</c:v>
                </c:pt>
              </c:numCache>
            </c:numRef>
          </c:val>
          <c:extLst>
            <c:ext xmlns:c16="http://schemas.microsoft.com/office/drawing/2014/chart" uri="{C3380CC4-5D6E-409C-BE32-E72D297353CC}">
              <c16:uniqueId val="{00000001-78B8-4C58-8D32-1098F541A719}"/>
            </c:ext>
          </c:extLst>
        </c:ser>
        <c:ser>
          <c:idx val="2"/>
          <c:order val="2"/>
          <c:tx>
            <c:strRef>
              <c:f>'Pivot monthly'!$AG$3:$AG$4</c:f>
              <c:strCache>
                <c:ptCount val="1"/>
                <c:pt idx="0">
                  <c:v>On time</c:v>
                </c:pt>
              </c:strCache>
            </c:strRef>
          </c:tx>
          <c:spPr>
            <a:noFill/>
            <a:ln>
              <a:noFill/>
            </a:ln>
            <a:effectLst/>
          </c:spPr>
          <c:invertIfNegative val="0"/>
          <c:cat>
            <c:multiLvlStrRef>
              <c:f>'Pivot monthly'!$AC$5:$AD$25</c:f>
              <c:multiLvlStrCache>
                <c:ptCount val="21"/>
                <c:lvl>
                  <c:pt idx="2">
                    <c:v>27</c:v>
                  </c:pt>
                  <c:pt idx="3">
                    <c:v>28</c:v>
                  </c:pt>
                  <c:pt idx="4">
                    <c:v>2</c:v>
                  </c:pt>
                  <c:pt idx="5">
                    <c:v>3</c:v>
                  </c:pt>
                  <c:pt idx="6">
                    <c:v>4</c:v>
                  </c:pt>
                  <c:pt idx="7">
                    <c:v>5</c:v>
                  </c:pt>
                  <c:pt idx="8">
                    <c:v>7</c:v>
                  </c:pt>
                  <c:pt idx="9">
                    <c:v>8</c:v>
                  </c:pt>
                  <c:pt idx="10">
                    <c:v>6</c:v>
                  </c:pt>
                  <c:pt idx="11">
                    <c:v>9</c:v>
                  </c:pt>
                  <c:pt idx="12">
                    <c:v>10</c:v>
                  </c:pt>
                  <c:pt idx="13">
                    <c:v>13</c:v>
                  </c:pt>
                  <c:pt idx="14">
                    <c:v>11</c:v>
                  </c:pt>
                  <c:pt idx="15">
                    <c:v>12</c:v>
                  </c:pt>
                  <c:pt idx="16">
                    <c:v>14</c:v>
                  </c:pt>
                  <c:pt idx="17">
                    <c:v>17</c:v>
                  </c:pt>
                  <c:pt idx="18">
                    <c:v>14</c:v>
                  </c:pt>
                  <c:pt idx="19">
                    <c:v>15</c:v>
                  </c:pt>
                  <c:pt idx="20">
                    <c:v>18</c:v>
                  </c:pt>
                </c:lvl>
                <c:lvl>
                  <c:pt idx="0">
                    <c:v>May</c:v>
                  </c:pt>
                  <c:pt idx="1">
                    <c:v>Jun</c:v>
                  </c:pt>
                  <c:pt idx="2">
                    <c:v>Jul</c:v>
                  </c:pt>
                  <c:pt idx="4">
                    <c:v>Jan</c:v>
                  </c:pt>
                  <c:pt idx="8">
                    <c:v>Feb</c:v>
                  </c:pt>
                  <c:pt idx="12">
                    <c:v>Mar</c:v>
                  </c:pt>
                  <c:pt idx="17">
                    <c:v>Apr</c:v>
                  </c:pt>
                </c:lvl>
              </c:multiLvlStrCache>
            </c:multiLvlStrRef>
          </c:cat>
          <c:val>
            <c:numRef>
              <c:f>'Pivot monthly'!$AG$5:$AG$25</c:f>
              <c:numCache>
                <c:formatCode>General</c:formatCode>
                <c:ptCount val="21"/>
                <c:pt idx="3">
                  <c:v>6</c:v>
                </c:pt>
              </c:numCache>
            </c:numRef>
          </c:val>
          <c:extLst>
            <c:ext xmlns:c16="http://schemas.microsoft.com/office/drawing/2014/chart" uri="{C3380CC4-5D6E-409C-BE32-E72D297353CC}">
              <c16:uniqueId val="{00000002-78B8-4C58-8D32-1098F541A719}"/>
            </c:ext>
          </c:extLst>
        </c:ser>
        <c:ser>
          <c:idx val="3"/>
          <c:order val="3"/>
          <c:tx>
            <c:strRef>
              <c:f>'Pivot monthly'!$AH$3:$AH$4</c:f>
              <c:strCache>
                <c:ptCount val="1"/>
                <c:pt idx="0">
                  <c:v>(ว่าง)</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multiLvlStrRef>
              <c:f>'Pivot monthly'!$AC$5:$AD$25</c:f>
              <c:multiLvlStrCache>
                <c:ptCount val="21"/>
                <c:lvl>
                  <c:pt idx="2">
                    <c:v>27</c:v>
                  </c:pt>
                  <c:pt idx="3">
                    <c:v>28</c:v>
                  </c:pt>
                  <c:pt idx="4">
                    <c:v>2</c:v>
                  </c:pt>
                  <c:pt idx="5">
                    <c:v>3</c:v>
                  </c:pt>
                  <c:pt idx="6">
                    <c:v>4</c:v>
                  </c:pt>
                  <c:pt idx="7">
                    <c:v>5</c:v>
                  </c:pt>
                  <c:pt idx="8">
                    <c:v>7</c:v>
                  </c:pt>
                  <c:pt idx="9">
                    <c:v>8</c:v>
                  </c:pt>
                  <c:pt idx="10">
                    <c:v>6</c:v>
                  </c:pt>
                  <c:pt idx="11">
                    <c:v>9</c:v>
                  </c:pt>
                  <c:pt idx="12">
                    <c:v>10</c:v>
                  </c:pt>
                  <c:pt idx="13">
                    <c:v>13</c:v>
                  </c:pt>
                  <c:pt idx="14">
                    <c:v>11</c:v>
                  </c:pt>
                  <c:pt idx="15">
                    <c:v>12</c:v>
                  </c:pt>
                  <c:pt idx="16">
                    <c:v>14</c:v>
                  </c:pt>
                  <c:pt idx="17">
                    <c:v>17</c:v>
                  </c:pt>
                  <c:pt idx="18">
                    <c:v>14</c:v>
                  </c:pt>
                  <c:pt idx="19">
                    <c:v>15</c:v>
                  </c:pt>
                  <c:pt idx="20">
                    <c:v>18</c:v>
                  </c:pt>
                </c:lvl>
                <c:lvl>
                  <c:pt idx="0">
                    <c:v>May</c:v>
                  </c:pt>
                  <c:pt idx="1">
                    <c:v>Jun</c:v>
                  </c:pt>
                  <c:pt idx="2">
                    <c:v>Jul</c:v>
                  </c:pt>
                  <c:pt idx="4">
                    <c:v>Jan</c:v>
                  </c:pt>
                  <c:pt idx="8">
                    <c:v>Feb</c:v>
                  </c:pt>
                  <c:pt idx="12">
                    <c:v>Mar</c:v>
                  </c:pt>
                  <c:pt idx="17">
                    <c:v>Apr</c:v>
                  </c:pt>
                </c:lvl>
              </c:multiLvlStrCache>
            </c:multiLvlStrRef>
          </c:cat>
          <c:val>
            <c:numRef>
              <c:f>'Pivot monthly'!$AH$5:$AH$25</c:f>
              <c:numCache>
                <c:formatCode>General</c:formatCode>
                <c:ptCount val="21"/>
              </c:numCache>
            </c:numRef>
          </c:val>
          <c:extLst>
            <c:ext xmlns:c16="http://schemas.microsoft.com/office/drawing/2014/chart" uri="{C3380CC4-5D6E-409C-BE32-E72D297353CC}">
              <c16:uniqueId val="{00000000-8D35-4266-B9A3-8820E1B42300}"/>
            </c:ext>
          </c:extLst>
        </c:ser>
        <c:dLbls>
          <c:showLegendKey val="0"/>
          <c:showVal val="0"/>
          <c:showCatName val="0"/>
          <c:showSerName val="0"/>
          <c:showPercent val="0"/>
          <c:showBubbleSize val="0"/>
        </c:dLbls>
        <c:gapWidth val="100"/>
        <c:overlap val="100"/>
        <c:axId val="1823700671"/>
        <c:axId val="1823713567"/>
      </c:barChart>
      <c:catAx>
        <c:axId val="1823700671"/>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23713567"/>
        <c:crosses val="autoZero"/>
        <c:auto val="1"/>
        <c:lblAlgn val="ctr"/>
        <c:lblOffset val="100"/>
        <c:noMultiLvlLbl val="0"/>
      </c:catAx>
      <c:valAx>
        <c:axId val="1823713567"/>
        <c:scaling>
          <c:orientation val="minMax"/>
        </c:scaling>
        <c:delete val="1"/>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1823700671"/>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2"/>
    </mc:Choice>
    <mc:Fallback>
      <c:style val="2"/>
    </mc:Fallback>
  </mc:AlternateContent>
  <c:pivotSource>
    <c:name>[NPI Integration Fronted task schedule2026 Rev2 -.xlsx]Pivot!PivotTable27</c:name>
    <c:fmtId val="18"/>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Task RATIO</a:t>
            </a:r>
          </a:p>
        </c:rich>
      </c:tx>
      <c:layout>
        <c:manualLayout>
          <c:xMode val="edge"/>
          <c:yMode val="edge"/>
          <c:x val="0.48787967541793126"/>
          <c:y val="1.8140589569160998E-2"/>
        </c:manualLayout>
      </c:layout>
      <c:overlay val="0"/>
      <c:spPr>
        <a:noFill/>
        <a:ln>
          <a:noFill/>
        </a:ln>
        <a:effectLst/>
      </c:spPr>
    </c:title>
    <c:autoTitleDeleted val="0"/>
    <c:pivotFmts>
      <c:pivotFmt>
        <c:idx val="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dLbl>
          <c:idx val="0"/>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dLbl>
          <c:idx val="0"/>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dLbl>
          <c:idx val="0"/>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dLbl>
          <c:idx val="0"/>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dLbl>
          <c:idx val="0"/>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dLbl>
          <c:idx val="0"/>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9"/>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2"/>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3"/>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4"/>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5"/>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6"/>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7"/>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8"/>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9"/>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2"/>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3"/>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4"/>
        <c:dLbl>
          <c:idx val="0"/>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25"/>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6"/>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7"/>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8"/>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9"/>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2"/>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3"/>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4"/>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5"/>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36"/>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8"/>
        <c:spPr>
          <a:solidFill>
            <a:srgbClr val="CC66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9"/>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4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4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42"/>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3"/>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4"/>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45"/>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46"/>
      </c:pivotFmt>
      <c:pivotFmt>
        <c:idx val="47"/>
        <c:spPr>
          <a:solidFill>
            <a:srgbClr val="33CC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8"/>
        <c:spPr>
          <a:solidFill>
            <a:srgbClr val="00B05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9"/>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0"/>
        <c:spPr>
          <a:solidFill>
            <a:schemeClr val="accent2">
              <a:lumMod val="40000"/>
              <a:lumOff val="60000"/>
            </a:schemeClr>
          </a:solidFill>
        </c:spPr>
      </c:pivotFmt>
      <c:pivotFmt>
        <c:idx val="51"/>
        <c:spPr>
          <a:solidFill>
            <a:srgbClr val="00CCFF"/>
          </a:solidFill>
        </c:spPr>
      </c:pivotFmt>
      <c:pivotFmt>
        <c:idx val="52"/>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4"/>
        <c:spPr>
          <a:solidFill>
            <a:srgbClr val="CC66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5"/>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6"/>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7"/>
        <c:spPr>
          <a:solidFill>
            <a:srgbClr val="33CC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8"/>
        <c:spPr>
          <a:solidFill>
            <a:srgbClr val="00B05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9"/>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0"/>
        <c:spPr>
          <a:solidFill>
            <a:schemeClr val="accent2">
              <a:lumMod val="40000"/>
              <a:lumOff val="60000"/>
            </a:schemeClr>
          </a:solidFill>
        </c:spPr>
      </c:pivotFmt>
      <c:pivotFmt>
        <c:idx val="61"/>
        <c:spPr>
          <a:solidFill>
            <a:srgbClr val="00CCFF"/>
          </a:solidFill>
        </c:spPr>
      </c:pivotFmt>
      <c:pivotFmt>
        <c:idx val="62"/>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4"/>
        <c:spPr>
          <a:solidFill>
            <a:srgbClr val="CC66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5"/>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6"/>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7"/>
        <c:spPr>
          <a:solidFill>
            <a:srgbClr val="33CC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8"/>
        <c:spPr>
          <a:solidFill>
            <a:srgbClr val="00B05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9"/>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0"/>
        <c:spPr>
          <a:solidFill>
            <a:schemeClr val="accent2">
              <a:lumMod val="40000"/>
              <a:lumOff val="60000"/>
            </a:schemeClr>
          </a:solidFill>
        </c:spPr>
      </c:pivotFmt>
      <c:pivotFmt>
        <c:idx val="71"/>
        <c:spPr>
          <a:solidFill>
            <a:srgbClr val="00CCFF"/>
          </a:solidFill>
        </c:spPr>
      </c:pivotFmt>
      <c:pivotFmt>
        <c:idx val="72"/>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3"/>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4"/>
        <c:spPr>
          <a:solidFill>
            <a:srgbClr val="CC66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5"/>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6"/>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7"/>
        <c:spPr>
          <a:solidFill>
            <a:srgbClr val="33CC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8"/>
        <c:spPr>
          <a:solidFill>
            <a:srgbClr val="00B05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9"/>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0"/>
        <c:spPr>
          <a:solidFill>
            <a:schemeClr val="accent2">
              <a:lumMod val="40000"/>
              <a:lumOff val="60000"/>
            </a:schemeClr>
          </a:solidFill>
        </c:spPr>
      </c:pivotFmt>
      <c:pivotFmt>
        <c:idx val="81"/>
        <c:spPr>
          <a:solidFill>
            <a:srgbClr val="00CCFF"/>
          </a:solidFill>
        </c:spPr>
      </c:pivotFmt>
      <c:pivotFmt>
        <c:idx val="82"/>
        <c:marker>
          <c:symbol val="none"/>
        </c:marker>
        <c:dLbl>
          <c:idx val="0"/>
          <c:spPr>
            <a:noFill/>
            <a:ln>
              <a:noFill/>
            </a:ln>
            <a:effectLst/>
          </c:spPr>
          <c:txPr>
            <a:bodyPr wrap="square" lIns="38100" tIns="19050" rIns="38100" bIns="19050" anchor="ctr">
              <a:spAutoFit/>
            </a:bodyPr>
            <a:lstStyle/>
            <a:p>
              <a:pPr>
                <a:defRPr b="1">
                  <a:solidFill>
                    <a:srgbClr val="FFFFFF"/>
                  </a:solidFill>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4"/>
        <c:spPr>
          <a:solidFill>
            <a:srgbClr val="CC66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5"/>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6"/>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7"/>
        <c:spPr>
          <a:solidFill>
            <a:srgbClr val="33CC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8"/>
        <c:spPr>
          <a:solidFill>
            <a:srgbClr val="00B05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9"/>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90"/>
        <c:spPr>
          <a:solidFill>
            <a:schemeClr val="accent2">
              <a:lumMod val="40000"/>
              <a:lumOff val="60000"/>
            </a:schemeClr>
          </a:solidFill>
        </c:spPr>
      </c:pivotFmt>
      <c:pivotFmt>
        <c:idx val="91"/>
        <c:spPr>
          <a:solidFill>
            <a:srgbClr val="FF99FF"/>
          </a:solidFill>
        </c:spPr>
      </c:pivotFmt>
      <c:pivotFmt>
        <c:idx val="92"/>
        <c:spPr>
          <a:solidFill>
            <a:srgbClr val="0070C0"/>
          </a:solidFill>
        </c:spPr>
      </c:pivotFmt>
      <c:pivotFmt>
        <c:idx val="93"/>
        <c:spPr>
          <a:solidFill>
            <a:srgbClr val="002060"/>
          </a:solidFill>
        </c:spPr>
      </c:pivotFmt>
    </c:pivotFmts>
    <c:plotArea>
      <c:layout>
        <c:manualLayout>
          <c:layoutTarget val="inner"/>
          <c:xMode val="edge"/>
          <c:yMode val="edge"/>
          <c:x val="0.12513794930563255"/>
          <c:y val="0.19243041268266789"/>
          <c:w val="0.85504993000068896"/>
          <c:h val="0.69306002260489652"/>
        </c:manualLayout>
      </c:layout>
      <c:pieChart>
        <c:varyColors val="1"/>
        <c:ser>
          <c:idx val="0"/>
          <c:order val="0"/>
          <c:tx>
            <c:strRef>
              <c:f>Pivot!$D$3</c:f>
              <c:strCache>
                <c:ptCount val="1"/>
                <c:pt idx="0">
                  <c:v>ผลรวม</c:v>
                </c:pt>
              </c:strCache>
            </c:strRef>
          </c:tx>
          <c:dPt>
            <c:idx val="0"/>
            <c:bubble3D val="0"/>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EB77-49B0-9DF7-59C95681CA81}"/>
              </c:ext>
            </c:extLst>
          </c:dPt>
          <c:dPt>
            <c:idx val="1"/>
            <c:bubble3D val="0"/>
            <c:spPr>
              <a:solidFill>
                <a:srgbClr val="002060"/>
              </a:solidFill>
            </c:spPr>
            <c:extLst>
              <c:ext xmlns:c16="http://schemas.microsoft.com/office/drawing/2014/chart" uri="{C3380CC4-5D6E-409C-BE32-E72D297353CC}">
                <c16:uniqueId val="{00000003-EB77-49B0-9DF7-59C95681CA81}"/>
              </c:ext>
            </c:extLst>
          </c:dPt>
          <c:dPt>
            <c:idx val="2"/>
            <c:bubble3D val="0"/>
            <c:spPr>
              <a:solidFill>
                <a:srgbClr val="0070C0"/>
              </a:solidFill>
            </c:spPr>
            <c:extLst>
              <c:ext xmlns:c16="http://schemas.microsoft.com/office/drawing/2014/chart" uri="{C3380CC4-5D6E-409C-BE32-E72D297353CC}">
                <c16:uniqueId val="{00000005-EB77-49B0-9DF7-59C95681CA81}"/>
              </c:ext>
            </c:extLst>
          </c:dPt>
          <c:dPt>
            <c:idx val="3"/>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EB77-49B0-9DF7-59C95681CA81}"/>
              </c:ext>
            </c:extLst>
          </c:dPt>
          <c:dPt>
            <c:idx val="4"/>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EB77-49B0-9DF7-59C95681CA81}"/>
              </c:ext>
            </c:extLst>
          </c:dPt>
          <c:dPt>
            <c:idx val="5"/>
            <c:bubble3D val="0"/>
            <c:spPr>
              <a:solidFill>
                <a:srgbClr val="00B05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EB77-49B0-9DF7-59C95681CA81}"/>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EB77-49B0-9DF7-59C95681CA81}"/>
              </c:ext>
            </c:extLst>
          </c:dPt>
          <c:dPt>
            <c:idx val="7"/>
            <c:bubble3D val="0"/>
            <c:spPr>
              <a:solidFill>
                <a:schemeClr val="accent2">
                  <a:lumMod val="40000"/>
                  <a:lumOff val="60000"/>
                </a:schemeClr>
              </a:solidFill>
            </c:spPr>
            <c:extLst>
              <c:ext xmlns:c16="http://schemas.microsoft.com/office/drawing/2014/chart" uri="{C3380CC4-5D6E-409C-BE32-E72D297353CC}">
                <c16:uniqueId val="{0000000F-EB77-49B0-9DF7-59C95681CA81}"/>
              </c:ext>
            </c:extLst>
          </c:dPt>
          <c:dPt>
            <c:idx val="8"/>
            <c:bubble3D val="0"/>
            <c:spPr>
              <a:solidFill>
                <a:srgbClr val="FF99FF"/>
              </a:solidFill>
            </c:spPr>
            <c:extLst>
              <c:ext xmlns:c16="http://schemas.microsoft.com/office/drawing/2014/chart" uri="{C3380CC4-5D6E-409C-BE32-E72D297353CC}">
                <c16:uniqueId val="{00000011-EB77-49B0-9DF7-59C95681CA81}"/>
              </c:ext>
            </c:extLst>
          </c:dPt>
          <c:dLbls>
            <c:spPr>
              <a:noFill/>
              <a:ln>
                <a:noFill/>
              </a:ln>
              <a:effectLst/>
            </c:spPr>
            <c:txPr>
              <a:bodyPr wrap="square" lIns="38100" tIns="19050" rIns="38100" bIns="19050" anchor="ctr">
                <a:spAutoFit/>
              </a:bodyPr>
              <a:lstStyle/>
              <a:p>
                <a:pPr>
                  <a:defRPr b="1">
                    <a:solidFill>
                      <a:srgbClr val="FFFFFF"/>
                    </a:solidFill>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Pivot!$C$4:$C$12</c:f>
              <c:strCache>
                <c:ptCount val="9"/>
                <c:pt idx="0">
                  <c:v>NPI</c:v>
                </c:pt>
                <c:pt idx="1">
                  <c:v>DFM Mold</c:v>
                </c:pt>
                <c:pt idx="2">
                  <c:v>Part DFM</c:v>
                </c:pt>
                <c:pt idx="3">
                  <c:v>MEETING</c:v>
                </c:pt>
                <c:pt idx="4">
                  <c:v>OTHER</c:v>
                </c:pt>
                <c:pt idx="5">
                  <c:v>DFA</c:v>
                </c:pt>
                <c:pt idx="6">
                  <c:v>PROJECT</c:v>
                </c:pt>
                <c:pt idx="7">
                  <c:v>RFQ</c:v>
                </c:pt>
                <c:pt idx="8">
                  <c:v>PACKING</c:v>
                </c:pt>
              </c:strCache>
            </c:strRef>
          </c:cat>
          <c:val>
            <c:numRef>
              <c:f>Pivot!$D$4:$D$12</c:f>
              <c:numCache>
                <c:formatCode>General</c:formatCode>
                <c:ptCount val="9"/>
                <c:pt idx="0">
                  <c:v>187</c:v>
                </c:pt>
                <c:pt idx="1">
                  <c:v>64</c:v>
                </c:pt>
                <c:pt idx="2">
                  <c:v>15</c:v>
                </c:pt>
                <c:pt idx="3">
                  <c:v>75</c:v>
                </c:pt>
                <c:pt idx="4">
                  <c:v>31</c:v>
                </c:pt>
                <c:pt idx="5">
                  <c:v>20</c:v>
                </c:pt>
                <c:pt idx="6">
                  <c:v>7</c:v>
                </c:pt>
                <c:pt idx="7">
                  <c:v>67</c:v>
                </c:pt>
                <c:pt idx="8">
                  <c:v>199</c:v>
                </c:pt>
              </c:numCache>
            </c:numRef>
          </c:val>
          <c:extLst>
            <c:ext xmlns:c16="http://schemas.microsoft.com/office/drawing/2014/chart" uri="{C3380CC4-5D6E-409C-BE32-E72D297353CC}">
              <c16:uniqueId val="{00000012-EB77-49B0-9DF7-59C95681CA81}"/>
            </c:ext>
          </c:extLst>
        </c:ser>
        <c:dLbls>
          <c:showLegendKey val="0"/>
          <c:showVal val="0"/>
          <c:showCatName val="0"/>
          <c:showSerName val="0"/>
          <c:showPercent val="0"/>
          <c:showBubbleSize val="0"/>
          <c:showLeaderLines val="1"/>
        </c:dLbls>
        <c:firstSliceAng val="0"/>
      </c:pieChart>
      <c:spPr>
        <a:noFill/>
        <a:ln>
          <a:noFill/>
        </a:ln>
        <a:effectLst/>
        <a:sp3d/>
      </c:spPr>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2"/>
    </mc:Choice>
    <mc:Fallback>
      <c:style val="2"/>
    </mc:Fallback>
  </mc:AlternateContent>
  <c:pivotSource>
    <c:name>[NPI Integration Fronted task schedule2026 Rev2 -.xlsx]Pivot!PivotTable6</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b="1">
                <a:solidFill>
                  <a:sysClr val="windowText" lastClr="000000"/>
                </a:solidFill>
                <a:effectLst/>
              </a:rPr>
              <a:t>Task Schedule Performance</a:t>
            </a:r>
            <a:endParaRPr lang="en-US" sz="1400">
              <a:solidFill>
                <a:sysClr val="windowText" lastClr="000000"/>
              </a:solidFill>
              <a:effectLst/>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Pivot!$AU$3:$AU$4</c:f>
              <c:strCache>
                <c:ptCount val="1"/>
                <c:pt idx="0">
                  <c:v>On Time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Pivot!$AS$5:$AT$33</c:f>
              <c:multiLvlStrCache>
                <c:ptCount val="28"/>
                <c:lvl>
                  <c:pt idx="0">
                    <c:v>19</c:v>
                  </c:pt>
                  <c:pt idx="1">
                    <c:v>20</c:v>
                  </c:pt>
                  <c:pt idx="2">
                    <c:v>21</c:v>
                  </c:pt>
                  <c:pt idx="3">
                    <c:v>22</c:v>
                  </c:pt>
                  <c:pt idx="4">
                    <c:v>24</c:v>
                  </c:pt>
                  <c:pt idx="5">
                    <c:v>25</c:v>
                  </c:pt>
                  <c:pt idx="6">
                    <c:v>26</c:v>
                  </c:pt>
                  <c:pt idx="7">
                    <c:v>27</c:v>
                  </c:pt>
                  <c:pt idx="8">
                    <c:v>23</c:v>
                  </c:pt>
                  <c:pt idx="9">
                    <c:v>27</c:v>
                  </c:pt>
                  <c:pt idx="10">
                    <c:v>28</c:v>
                  </c:pt>
                  <c:pt idx="11">
                    <c:v>2</c:v>
                  </c:pt>
                  <c:pt idx="12">
                    <c:v>3</c:v>
                  </c:pt>
                  <c:pt idx="13">
                    <c:v>4</c:v>
                  </c:pt>
                  <c:pt idx="14">
                    <c:v>5</c:v>
                  </c:pt>
                  <c:pt idx="15">
                    <c:v>7</c:v>
                  </c:pt>
                  <c:pt idx="16">
                    <c:v>8</c:v>
                  </c:pt>
                  <c:pt idx="17">
                    <c:v>6</c:v>
                  </c:pt>
                  <c:pt idx="18">
                    <c:v>9</c:v>
                  </c:pt>
                  <c:pt idx="19">
                    <c:v>10</c:v>
                  </c:pt>
                  <c:pt idx="20">
                    <c:v>13</c:v>
                  </c:pt>
                  <c:pt idx="21">
                    <c:v>11</c:v>
                  </c:pt>
                  <c:pt idx="22">
                    <c:v>12</c:v>
                  </c:pt>
                  <c:pt idx="23">
                    <c:v>14</c:v>
                  </c:pt>
                  <c:pt idx="24">
                    <c:v>17</c:v>
                  </c:pt>
                  <c:pt idx="25">
                    <c:v>14</c:v>
                  </c:pt>
                  <c:pt idx="26">
                    <c:v>15</c:v>
                  </c:pt>
                  <c:pt idx="27">
                    <c:v>18</c:v>
                  </c:pt>
                </c:lvl>
                <c:lvl>
                  <c:pt idx="0">
                    <c:v>May</c:v>
                  </c:pt>
                  <c:pt idx="4">
                    <c:v>Jun</c:v>
                  </c:pt>
                  <c:pt idx="9">
                    <c:v>Jul</c:v>
                  </c:pt>
                  <c:pt idx="11">
                    <c:v>Jan</c:v>
                  </c:pt>
                  <c:pt idx="15">
                    <c:v>Feb</c:v>
                  </c:pt>
                  <c:pt idx="19">
                    <c:v>Mar</c:v>
                  </c:pt>
                  <c:pt idx="24">
                    <c:v>Apr</c:v>
                  </c:pt>
                </c:lvl>
              </c:multiLvlStrCache>
            </c:multiLvlStrRef>
          </c:cat>
          <c:val>
            <c:numRef>
              <c:f>Pivot!$AU$5:$AU$33</c:f>
              <c:numCache>
                <c:formatCode>General</c:formatCode>
                <c:ptCount val="28"/>
                <c:pt idx="0">
                  <c:v>14</c:v>
                </c:pt>
                <c:pt idx="1">
                  <c:v>28</c:v>
                </c:pt>
                <c:pt idx="2">
                  <c:v>39</c:v>
                </c:pt>
                <c:pt idx="3">
                  <c:v>28</c:v>
                </c:pt>
                <c:pt idx="4">
                  <c:v>35</c:v>
                </c:pt>
                <c:pt idx="5">
                  <c:v>30</c:v>
                </c:pt>
                <c:pt idx="6">
                  <c:v>23</c:v>
                </c:pt>
                <c:pt idx="7">
                  <c:v>21</c:v>
                </c:pt>
                <c:pt idx="8">
                  <c:v>23</c:v>
                </c:pt>
                <c:pt idx="9">
                  <c:v>15</c:v>
                </c:pt>
                <c:pt idx="10">
                  <c:v>26</c:v>
                </c:pt>
                <c:pt idx="11">
                  <c:v>20</c:v>
                </c:pt>
                <c:pt idx="12">
                  <c:v>22</c:v>
                </c:pt>
                <c:pt idx="13">
                  <c:v>26</c:v>
                </c:pt>
                <c:pt idx="14">
                  <c:v>27</c:v>
                </c:pt>
                <c:pt idx="15">
                  <c:v>25</c:v>
                </c:pt>
                <c:pt idx="16">
                  <c:v>26</c:v>
                </c:pt>
                <c:pt idx="17">
                  <c:v>17</c:v>
                </c:pt>
                <c:pt idx="18">
                  <c:v>29</c:v>
                </c:pt>
                <c:pt idx="19">
                  <c:v>21</c:v>
                </c:pt>
                <c:pt idx="20">
                  <c:v>25</c:v>
                </c:pt>
                <c:pt idx="21">
                  <c:v>36</c:v>
                </c:pt>
                <c:pt idx="22">
                  <c:v>34</c:v>
                </c:pt>
                <c:pt idx="23">
                  <c:v>10</c:v>
                </c:pt>
                <c:pt idx="24">
                  <c:v>21</c:v>
                </c:pt>
                <c:pt idx="25">
                  <c:v>11</c:v>
                </c:pt>
                <c:pt idx="26">
                  <c:v>12</c:v>
                </c:pt>
                <c:pt idx="27">
                  <c:v>15</c:v>
                </c:pt>
              </c:numCache>
            </c:numRef>
          </c:val>
          <c:extLst>
            <c:ext xmlns:c16="http://schemas.microsoft.com/office/drawing/2014/chart" uri="{C3380CC4-5D6E-409C-BE32-E72D297353CC}">
              <c16:uniqueId val="{00000002-24AB-46AD-80E4-5EAEC0BB7338}"/>
            </c:ext>
          </c:extLst>
        </c:ser>
        <c:dLbls>
          <c:showLegendKey val="0"/>
          <c:showVal val="0"/>
          <c:showCatName val="0"/>
          <c:showSerName val="0"/>
          <c:showPercent val="0"/>
          <c:showBubbleSize val="0"/>
        </c:dLbls>
        <c:gapWidth val="100"/>
        <c:overlap val="-24"/>
        <c:axId val="1272891359"/>
        <c:axId val="1272896351"/>
      </c:barChart>
      <c:catAx>
        <c:axId val="1272891359"/>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72896351"/>
        <c:crosses val="autoZero"/>
        <c:auto val="1"/>
        <c:lblAlgn val="ctr"/>
        <c:lblOffset val="100"/>
        <c:noMultiLvlLbl val="0"/>
      </c:catAx>
      <c:valAx>
        <c:axId val="127289635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7289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2"/>
    </mc:Choice>
    <mc:Fallback>
      <c:style val="2"/>
    </mc:Fallback>
  </mc:AlternateContent>
  <c:pivotSource>
    <c:name>[NPI Integration Fronted task schedule2026 Rev2 -.xlsx]Pivot!PivotTable27</c:name>
    <c:fmtId val="2"/>
  </c:pivotSource>
  <c:chart>
    <c:title>
      <c:overlay val="0"/>
    </c:title>
    <c:autoTitleDeleted val="0"/>
    <c:pivotFmts>
      <c:pivotFmt>
        <c:idx val="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dLbl>
          <c:idx val="0"/>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dLbl>
          <c:idx val="0"/>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dLbl>
          <c:idx val="0"/>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dLbl>
          <c:idx val="0"/>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dLbl>
          <c:idx val="0"/>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dLbl>
          <c:idx val="0"/>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9"/>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2"/>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3"/>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4"/>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5"/>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6"/>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8"/>
        <c:spPr>
          <a:solidFill>
            <a:srgbClr val="FF99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9"/>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3"/>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4"/>
        <c:dLbl>
          <c:idx val="0"/>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25"/>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6"/>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7"/>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8"/>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0"/>
        <c:spPr>
          <a:solidFill>
            <a:srgbClr val="00B05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1"/>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2"/>
        <c:spPr>
          <a:solidFill>
            <a:schemeClr val="accent2">
              <a:lumMod val="20000"/>
              <a:lumOff val="80000"/>
            </a:schemeClr>
          </a:solidFill>
        </c:spPr>
      </c:pivotFmt>
      <c:pivotFmt>
        <c:idx val="33"/>
      </c:pivotFmt>
      <c:pivotFmt>
        <c:idx val="34"/>
        <c:spPr>
          <a:solidFill>
            <a:srgbClr val="FF99FF"/>
          </a:solidFill>
        </c:spPr>
      </c:pivotFmt>
      <c:pivotFmt>
        <c:idx val="35"/>
        <c:spPr>
          <a:solidFill>
            <a:srgbClr val="002060"/>
          </a:solidFill>
        </c:spPr>
      </c:pivotFmt>
      <c:pivotFmt>
        <c:idx val="36"/>
      </c:pivotFmt>
    </c:pivotFmts>
    <c:plotArea>
      <c:layout>
        <c:manualLayout>
          <c:layoutTarget val="inner"/>
          <c:xMode val="edge"/>
          <c:yMode val="edge"/>
          <c:x val="0.22539501649697385"/>
          <c:y val="0.17230739014766014"/>
          <c:w val="0.71138718298456127"/>
          <c:h val="0.5932869105647508"/>
        </c:manualLayout>
      </c:layout>
      <c:barChart>
        <c:barDir val="col"/>
        <c:grouping val="clustered"/>
        <c:varyColors val="0"/>
        <c:ser>
          <c:idx val="0"/>
          <c:order val="0"/>
          <c:tx>
            <c:strRef>
              <c:f>Pivot!$D$3</c:f>
              <c:strCache>
                <c:ptCount val="1"/>
                <c:pt idx="0">
                  <c:v>ผลรวม</c:v>
                </c:pt>
              </c:strCache>
            </c:strRef>
          </c:tx>
          <c:invertIfNegative val="0"/>
          <c:dPt>
            <c:idx val="0"/>
            <c:invertIfNegative val="0"/>
            <c:bubble3D val="0"/>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9-7BD1-426C-8B4A-28E0B281E827}"/>
              </c:ext>
            </c:extLst>
          </c:dPt>
          <c:dPt>
            <c:idx val="1"/>
            <c:invertIfNegative val="0"/>
            <c:bubble3D val="0"/>
            <c:spPr>
              <a:solidFill>
                <a:srgbClr val="002060"/>
              </a:solidFill>
            </c:spPr>
            <c:extLst>
              <c:ext xmlns:c16="http://schemas.microsoft.com/office/drawing/2014/chart" uri="{C3380CC4-5D6E-409C-BE32-E72D297353CC}">
                <c16:uniqueId val="{0000001A-7BD1-426C-8B4A-28E0B281E827}"/>
              </c:ext>
            </c:extLst>
          </c:dPt>
          <c:dPt>
            <c:idx val="2"/>
            <c:invertIfNegative val="0"/>
            <c:bubble3D val="0"/>
            <c:extLst>
              <c:ext xmlns:c16="http://schemas.microsoft.com/office/drawing/2014/chart" uri="{C3380CC4-5D6E-409C-BE32-E72D297353CC}">
                <c16:uniqueId val="{0000001B-7BD1-426C-8B4A-28E0B281E827}"/>
              </c:ext>
            </c:extLst>
          </c:dPt>
          <c:dPt>
            <c:idx val="3"/>
            <c:invertIfNegative val="0"/>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C-7BD1-426C-8B4A-28E0B281E827}"/>
              </c:ext>
            </c:extLst>
          </c:dPt>
          <c:dPt>
            <c:idx val="4"/>
            <c:invertIfNegative val="0"/>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D-7BD1-426C-8B4A-28E0B281E827}"/>
              </c:ext>
            </c:extLst>
          </c:dPt>
          <c:dPt>
            <c:idx val="5"/>
            <c:invertIfNegative val="0"/>
            <c:bubble3D val="0"/>
            <c:spPr>
              <a:solidFill>
                <a:srgbClr val="00B05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E-7BD1-426C-8B4A-28E0B281E827}"/>
              </c:ext>
            </c:extLst>
          </c:dPt>
          <c:dPt>
            <c:idx val="6"/>
            <c:invertIfNegative val="0"/>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F-7BD1-426C-8B4A-28E0B281E827}"/>
              </c:ext>
            </c:extLst>
          </c:dPt>
          <c:dPt>
            <c:idx val="7"/>
            <c:invertIfNegative val="0"/>
            <c:bubble3D val="0"/>
            <c:spPr>
              <a:solidFill>
                <a:schemeClr val="accent2">
                  <a:lumMod val="20000"/>
                  <a:lumOff val="80000"/>
                </a:schemeClr>
              </a:solidFill>
            </c:spPr>
            <c:extLst>
              <c:ext xmlns:c16="http://schemas.microsoft.com/office/drawing/2014/chart" uri="{C3380CC4-5D6E-409C-BE32-E72D297353CC}">
                <c16:uniqueId val="{0000000F-1A5E-4E6F-8547-FA42391874CE}"/>
              </c:ext>
            </c:extLst>
          </c:dPt>
          <c:dPt>
            <c:idx val="8"/>
            <c:invertIfNegative val="0"/>
            <c:bubble3D val="0"/>
            <c:spPr>
              <a:solidFill>
                <a:srgbClr val="FF99FF"/>
              </a:solidFill>
            </c:spPr>
            <c:extLst>
              <c:ext xmlns:c16="http://schemas.microsoft.com/office/drawing/2014/chart" uri="{C3380CC4-5D6E-409C-BE32-E72D297353CC}">
                <c16:uniqueId val="{00000001-7E08-45BF-A983-E9F2CEDC1CFC}"/>
              </c:ext>
            </c:extLst>
          </c:dPt>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Pivot!$C$4:$C$12</c:f>
              <c:strCache>
                <c:ptCount val="9"/>
                <c:pt idx="0">
                  <c:v>NPI</c:v>
                </c:pt>
                <c:pt idx="1">
                  <c:v>DFM Mold</c:v>
                </c:pt>
                <c:pt idx="2">
                  <c:v>Part DFM</c:v>
                </c:pt>
                <c:pt idx="3">
                  <c:v>MEETING</c:v>
                </c:pt>
                <c:pt idx="4">
                  <c:v>OTHER</c:v>
                </c:pt>
                <c:pt idx="5">
                  <c:v>DFA</c:v>
                </c:pt>
                <c:pt idx="6">
                  <c:v>PROJECT</c:v>
                </c:pt>
                <c:pt idx="7">
                  <c:v>RFQ</c:v>
                </c:pt>
                <c:pt idx="8">
                  <c:v>PACKING</c:v>
                </c:pt>
              </c:strCache>
            </c:strRef>
          </c:cat>
          <c:val>
            <c:numRef>
              <c:f>Pivot!$D$4:$D$12</c:f>
              <c:numCache>
                <c:formatCode>General</c:formatCode>
                <c:ptCount val="9"/>
                <c:pt idx="0">
                  <c:v>187</c:v>
                </c:pt>
                <c:pt idx="1">
                  <c:v>64</c:v>
                </c:pt>
                <c:pt idx="2">
                  <c:v>15</c:v>
                </c:pt>
                <c:pt idx="3">
                  <c:v>75</c:v>
                </c:pt>
                <c:pt idx="4">
                  <c:v>31</c:v>
                </c:pt>
                <c:pt idx="5">
                  <c:v>20</c:v>
                </c:pt>
                <c:pt idx="6">
                  <c:v>7</c:v>
                </c:pt>
                <c:pt idx="7">
                  <c:v>67</c:v>
                </c:pt>
                <c:pt idx="8">
                  <c:v>199</c:v>
                </c:pt>
              </c:numCache>
            </c:numRef>
          </c:val>
          <c:extLst>
            <c:ext xmlns:c16="http://schemas.microsoft.com/office/drawing/2014/chart" uri="{C3380CC4-5D6E-409C-BE32-E72D297353CC}">
              <c16:uniqueId val="{00000018-7BD1-426C-8B4A-28E0B281E827}"/>
            </c:ext>
          </c:extLst>
        </c:ser>
        <c:dLbls>
          <c:showLegendKey val="0"/>
          <c:showVal val="0"/>
          <c:showCatName val="0"/>
          <c:showSerName val="0"/>
          <c:showPercent val="0"/>
          <c:showBubbleSize val="0"/>
        </c:dLbls>
        <c:gapWidth val="100"/>
        <c:axId val="714209544"/>
        <c:axId val="714209872"/>
      </c:barChart>
      <c:catAx>
        <c:axId val="714209544"/>
        <c:scaling>
          <c:orientation val="minMax"/>
        </c:scaling>
        <c:delete val="0"/>
        <c:axPos val="b"/>
        <c:numFmt formatCode="General" sourceLinked="1"/>
        <c:majorTickMark val="out"/>
        <c:minorTickMark val="none"/>
        <c:tickLblPos val="nextTo"/>
        <c:txPr>
          <a:bodyPr/>
          <a:lstStyle/>
          <a:p>
            <a:pPr>
              <a:defRPr sz="900"/>
            </a:pPr>
            <a:endParaRPr lang="en-US"/>
          </a:p>
        </c:txPr>
        <c:crossAx val="714209872"/>
        <c:crosses val="autoZero"/>
        <c:auto val="1"/>
        <c:lblAlgn val="ctr"/>
        <c:lblOffset val="100"/>
        <c:noMultiLvlLbl val="0"/>
      </c:catAx>
      <c:valAx>
        <c:axId val="714209872"/>
        <c:scaling>
          <c:orientation val="minMax"/>
        </c:scaling>
        <c:delete val="0"/>
        <c:axPos val="l"/>
        <c:majorGridlines/>
        <c:numFmt formatCode="General" sourceLinked="1"/>
        <c:majorTickMark val="out"/>
        <c:minorTickMark val="none"/>
        <c:tickLblPos val="nextTo"/>
        <c:crossAx val="714209544"/>
        <c:crosses val="autoZero"/>
        <c:crossBetween val="between"/>
      </c:valAx>
      <c:spPr>
        <a:noFill/>
        <a:ln>
          <a:noFill/>
        </a:ln>
        <a:effectLst/>
        <a:sp3d/>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1" i="0" u="none" strike="noStrike" kern="1200" baseline="0">
                <a:solidFill>
                  <a:schemeClr val="tx2"/>
                </a:solidFill>
                <a:latin typeface="+mn-lt"/>
                <a:ea typeface="+mn-ea"/>
                <a:cs typeface="+mn-cs"/>
              </a:defRPr>
            </a:pPr>
            <a:r>
              <a:rPr lang="en-US">
                <a:solidFill>
                  <a:sysClr val="windowText" lastClr="000000"/>
                </a:solidFill>
              </a:rPr>
              <a:t>On process Task</a:t>
            </a:r>
          </a:p>
        </c:rich>
      </c:tx>
      <c:overlay val="0"/>
      <c:spPr>
        <a:noFill/>
        <a:ln>
          <a:noFill/>
        </a:ln>
        <a:effectLst/>
      </c:spPr>
      <c:txPr>
        <a:bodyPr rot="0" spcFirstLastPara="1" vertOverflow="ellipsis" vert="horz" wrap="square" anchor="ctr" anchorCtr="1"/>
        <a:lstStyle/>
        <a:p>
          <a:pPr>
            <a:defRPr sz="96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Pivot!$R$4</c:f>
              <c:strCache>
                <c:ptCount val="1"/>
                <c:pt idx="0">
                  <c:v>On Process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Pivot!$P$5:$P$14</c:f>
              <c:strCache>
                <c:ptCount val="9"/>
                <c:pt idx="0">
                  <c:v>RFQ</c:v>
                </c:pt>
                <c:pt idx="1">
                  <c:v>NPI</c:v>
                </c:pt>
                <c:pt idx="2">
                  <c:v>PROJECT</c:v>
                </c:pt>
                <c:pt idx="3">
                  <c:v>DFM Mold</c:v>
                </c:pt>
                <c:pt idx="4">
                  <c:v>OTHER</c:v>
                </c:pt>
                <c:pt idx="5">
                  <c:v>Part DFM</c:v>
                </c:pt>
                <c:pt idx="6">
                  <c:v>MEETING</c:v>
                </c:pt>
                <c:pt idx="7">
                  <c:v>DFA</c:v>
                </c:pt>
                <c:pt idx="8">
                  <c:v>PACKING</c:v>
                </c:pt>
              </c:strCache>
            </c:strRef>
          </c:cat>
          <c:val>
            <c:numRef>
              <c:f>Pivot!$R$5:$R$14</c:f>
              <c:numCache>
                <c:formatCode>General</c:formatCode>
                <c:ptCount val="10"/>
                <c:pt idx="0">
                  <c:v>2</c:v>
                </c:pt>
                <c:pt idx="1">
                  <c:v>1</c:v>
                </c:pt>
                <c:pt idx="2">
                  <c:v>1</c:v>
                </c:pt>
                <c:pt idx="3">
                  <c:v>0</c:v>
                </c:pt>
                <c:pt idx="4">
                  <c:v>0</c:v>
                </c:pt>
                <c:pt idx="5">
                  <c:v>0</c:v>
                </c:pt>
                <c:pt idx="6">
                  <c:v>0</c:v>
                </c:pt>
                <c:pt idx="7">
                  <c:v>0</c:v>
                </c:pt>
                <c:pt idx="8">
                  <c:v>2</c:v>
                </c:pt>
              </c:numCache>
            </c:numRef>
          </c:val>
          <c:extLst>
            <c:ext xmlns:c16="http://schemas.microsoft.com/office/drawing/2014/chart" uri="{C3380CC4-5D6E-409C-BE32-E72D297353CC}">
              <c16:uniqueId val="{00000001-EEB8-4788-9A5C-47227AAD54FA}"/>
            </c:ext>
          </c:extLst>
        </c:ser>
        <c:dLbls>
          <c:showLegendKey val="0"/>
          <c:showVal val="0"/>
          <c:showCatName val="0"/>
          <c:showSerName val="0"/>
          <c:showPercent val="0"/>
          <c:showBubbleSize val="0"/>
        </c:dLbls>
        <c:gapWidth val="40"/>
        <c:overlap val="-24"/>
        <c:axId val="1823708159"/>
        <c:axId val="1823697343"/>
      </c:barChart>
      <c:catAx>
        <c:axId val="1823708159"/>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800" b="0" i="0" u="none" strike="noStrike" kern="1200" baseline="0">
                <a:solidFill>
                  <a:schemeClr val="tx2"/>
                </a:solidFill>
                <a:latin typeface="+mn-lt"/>
                <a:ea typeface="+mn-ea"/>
                <a:cs typeface="+mn-cs"/>
              </a:defRPr>
            </a:pPr>
            <a:endParaRPr lang="en-US"/>
          </a:p>
        </c:txPr>
        <c:crossAx val="1823697343"/>
        <c:crosses val="autoZero"/>
        <c:auto val="1"/>
        <c:lblAlgn val="ctr"/>
        <c:lblOffset val="100"/>
        <c:noMultiLvlLbl val="0"/>
      </c:catAx>
      <c:valAx>
        <c:axId val="1823697343"/>
        <c:scaling>
          <c:orientation val="minMax"/>
        </c:scaling>
        <c:delete val="1"/>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182370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800"/>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2"/>
    </mc:Choice>
    <mc:Fallback>
      <c:style val="2"/>
    </mc:Fallback>
  </mc:AlternateContent>
  <c:pivotSource>
    <c:name>[NPI Integration Fronted task schedule2026 Rev2 -.xlsx]Pivot!PivotTable30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Weekly Task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99FF"/>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50800" dist="38100" dir="2700000" algn="tl" rotWithShape="0">
              <a:prstClr val="black">
                <a:alpha val="40000"/>
              </a:prstClr>
            </a:outerShdw>
          </a:effectLst>
        </c:spPr>
        <c:marker>
          <c:symbol val="none"/>
        </c:marker>
      </c:pivotFmt>
      <c:pivotFmt>
        <c:idx val="17"/>
        <c:spPr>
          <a:solidFill>
            <a:schemeClr val="accent1"/>
          </a:solidFill>
          <a:ln>
            <a:noFill/>
          </a:ln>
          <a:effectLst>
            <a:outerShdw blurRad="50800" dist="38100" dir="2700000" algn="tl" rotWithShape="0">
              <a:prstClr val="black">
                <a:alpha val="40000"/>
              </a:prstClr>
            </a:outerShdw>
          </a:effectLst>
        </c:spPr>
        <c:marker>
          <c:symbol val="none"/>
        </c:marker>
      </c:pivotFmt>
      <c:pivotFmt>
        <c:idx val="18"/>
        <c:spPr>
          <a:solidFill>
            <a:schemeClr val="accent1"/>
          </a:solidFill>
          <a:ln>
            <a:noFill/>
          </a:ln>
          <a:effectLst>
            <a:outerShdw blurRad="50800" dist="38100" dir="2700000" algn="tl" rotWithShape="0">
              <a:prstClr val="black">
                <a:alpha val="40000"/>
              </a:prstClr>
            </a:outerShdw>
          </a:effectLst>
        </c:spPr>
        <c:marker>
          <c:symbol val="none"/>
        </c:marker>
      </c:pivotFmt>
      <c:pivotFmt>
        <c:idx val="19"/>
        <c:spPr>
          <a:solidFill>
            <a:schemeClr val="bg1">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C00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outerShdw blurRad="50800" dist="38100" dir="2700000" algn="tl" rotWithShape="0">
              <a:prstClr val="black">
                <a:alpha val="40000"/>
              </a:prstClr>
            </a:outerShdw>
          </a:effectLst>
        </c:spPr>
        <c:marker>
          <c:symbol val="none"/>
        </c:marker>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00B05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00CC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rgbClr val="FF99FF"/>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pivotFmt>
      <c:pivotFmt>
        <c:idx val="3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Pivot!$J$15:$J$16</c:f>
              <c:strCache>
                <c:ptCount val="1"/>
                <c:pt idx="0">
                  <c:v>NPI</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2D05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Pivot!$H$17:$I$44</c:f>
              <c:multiLvlStrCache>
                <c:ptCount val="28"/>
                <c:lvl>
                  <c:pt idx="0">
                    <c:v>19</c:v>
                  </c:pt>
                  <c:pt idx="1">
                    <c:v>20</c:v>
                  </c:pt>
                  <c:pt idx="2">
                    <c:v>21</c:v>
                  </c:pt>
                  <c:pt idx="3">
                    <c:v>22</c:v>
                  </c:pt>
                  <c:pt idx="4">
                    <c:v>24</c:v>
                  </c:pt>
                  <c:pt idx="5">
                    <c:v>25</c:v>
                  </c:pt>
                  <c:pt idx="6">
                    <c:v>26</c:v>
                  </c:pt>
                  <c:pt idx="7">
                    <c:v>27</c:v>
                  </c:pt>
                  <c:pt idx="8">
                    <c:v>23</c:v>
                  </c:pt>
                  <c:pt idx="9">
                    <c:v>27</c:v>
                  </c:pt>
                  <c:pt idx="10">
                    <c:v>28</c:v>
                  </c:pt>
                  <c:pt idx="11">
                    <c:v>2</c:v>
                  </c:pt>
                  <c:pt idx="12">
                    <c:v>3</c:v>
                  </c:pt>
                  <c:pt idx="13">
                    <c:v>4</c:v>
                  </c:pt>
                  <c:pt idx="14">
                    <c:v>5</c:v>
                  </c:pt>
                  <c:pt idx="15">
                    <c:v>7</c:v>
                  </c:pt>
                  <c:pt idx="16">
                    <c:v>8</c:v>
                  </c:pt>
                  <c:pt idx="17">
                    <c:v>6</c:v>
                  </c:pt>
                  <c:pt idx="18">
                    <c:v>9</c:v>
                  </c:pt>
                  <c:pt idx="19">
                    <c:v>10</c:v>
                  </c:pt>
                  <c:pt idx="20">
                    <c:v>13</c:v>
                  </c:pt>
                  <c:pt idx="21">
                    <c:v>11</c:v>
                  </c:pt>
                  <c:pt idx="22">
                    <c:v>12</c:v>
                  </c:pt>
                  <c:pt idx="23">
                    <c:v>14</c:v>
                  </c:pt>
                  <c:pt idx="24">
                    <c:v>17</c:v>
                  </c:pt>
                  <c:pt idx="25">
                    <c:v>14</c:v>
                  </c:pt>
                  <c:pt idx="26">
                    <c:v>15</c:v>
                  </c:pt>
                  <c:pt idx="27">
                    <c:v>18</c:v>
                  </c:pt>
                </c:lvl>
                <c:lvl>
                  <c:pt idx="0">
                    <c:v>May</c:v>
                  </c:pt>
                  <c:pt idx="4">
                    <c:v>Jun</c:v>
                  </c:pt>
                  <c:pt idx="9">
                    <c:v>Jul</c:v>
                  </c:pt>
                  <c:pt idx="11">
                    <c:v>Jan</c:v>
                  </c:pt>
                  <c:pt idx="15">
                    <c:v>Feb</c:v>
                  </c:pt>
                  <c:pt idx="19">
                    <c:v>Mar</c:v>
                  </c:pt>
                  <c:pt idx="24">
                    <c:v>Apr</c:v>
                  </c:pt>
                </c:lvl>
              </c:multiLvlStrCache>
            </c:multiLvlStrRef>
          </c:cat>
          <c:val>
            <c:numRef>
              <c:f>Pivot!$J$17:$J$44</c:f>
              <c:numCache>
                <c:formatCode>General</c:formatCode>
                <c:ptCount val="28"/>
                <c:pt idx="2">
                  <c:v>2</c:v>
                </c:pt>
                <c:pt idx="3">
                  <c:v>2</c:v>
                </c:pt>
                <c:pt idx="4">
                  <c:v>5</c:v>
                </c:pt>
                <c:pt idx="5">
                  <c:v>5</c:v>
                </c:pt>
                <c:pt idx="6">
                  <c:v>1</c:v>
                </c:pt>
                <c:pt idx="7">
                  <c:v>5</c:v>
                </c:pt>
                <c:pt idx="8">
                  <c:v>4</c:v>
                </c:pt>
                <c:pt idx="9">
                  <c:v>7</c:v>
                </c:pt>
                <c:pt idx="10">
                  <c:v>6</c:v>
                </c:pt>
                <c:pt idx="11">
                  <c:v>10</c:v>
                </c:pt>
                <c:pt idx="12">
                  <c:v>10</c:v>
                </c:pt>
                <c:pt idx="13">
                  <c:v>4</c:v>
                </c:pt>
                <c:pt idx="14">
                  <c:v>11</c:v>
                </c:pt>
                <c:pt idx="15">
                  <c:v>8</c:v>
                </c:pt>
                <c:pt idx="16">
                  <c:v>7</c:v>
                </c:pt>
                <c:pt idx="17">
                  <c:v>5</c:v>
                </c:pt>
                <c:pt idx="18">
                  <c:v>19</c:v>
                </c:pt>
                <c:pt idx="19">
                  <c:v>8</c:v>
                </c:pt>
                <c:pt idx="20">
                  <c:v>15</c:v>
                </c:pt>
                <c:pt idx="21">
                  <c:v>12</c:v>
                </c:pt>
                <c:pt idx="22">
                  <c:v>22</c:v>
                </c:pt>
                <c:pt idx="23">
                  <c:v>3</c:v>
                </c:pt>
                <c:pt idx="24">
                  <c:v>5</c:v>
                </c:pt>
                <c:pt idx="25">
                  <c:v>7</c:v>
                </c:pt>
                <c:pt idx="26">
                  <c:v>3</c:v>
                </c:pt>
                <c:pt idx="27">
                  <c:v>1</c:v>
                </c:pt>
              </c:numCache>
            </c:numRef>
          </c:val>
          <c:extLst>
            <c:ext xmlns:c16="http://schemas.microsoft.com/office/drawing/2014/chart" uri="{C3380CC4-5D6E-409C-BE32-E72D297353CC}">
              <c16:uniqueId val="{00000007-B793-43E6-BAE4-830F8ABED57A}"/>
            </c:ext>
          </c:extLst>
        </c:ser>
        <c:ser>
          <c:idx val="1"/>
          <c:order val="1"/>
          <c:tx>
            <c:strRef>
              <c:f>Pivot!$K$15:$K$16</c:f>
              <c:strCache>
                <c:ptCount val="1"/>
                <c:pt idx="0">
                  <c:v>MEETING</c:v>
                </c:pt>
              </c:strCache>
            </c:strRef>
          </c:tx>
          <c:spPr>
            <a:solidFill>
              <a:schemeClr val="bg1">
                <a:lumMod val="75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Pivot!$H$17:$I$44</c:f>
              <c:multiLvlStrCache>
                <c:ptCount val="28"/>
                <c:lvl>
                  <c:pt idx="0">
                    <c:v>19</c:v>
                  </c:pt>
                  <c:pt idx="1">
                    <c:v>20</c:v>
                  </c:pt>
                  <c:pt idx="2">
                    <c:v>21</c:v>
                  </c:pt>
                  <c:pt idx="3">
                    <c:v>22</c:v>
                  </c:pt>
                  <c:pt idx="4">
                    <c:v>24</c:v>
                  </c:pt>
                  <c:pt idx="5">
                    <c:v>25</c:v>
                  </c:pt>
                  <c:pt idx="6">
                    <c:v>26</c:v>
                  </c:pt>
                  <c:pt idx="7">
                    <c:v>27</c:v>
                  </c:pt>
                  <c:pt idx="8">
                    <c:v>23</c:v>
                  </c:pt>
                  <c:pt idx="9">
                    <c:v>27</c:v>
                  </c:pt>
                  <c:pt idx="10">
                    <c:v>28</c:v>
                  </c:pt>
                  <c:pt idx="11">
                    <c:v>2</c:v>
                  </c:pt>
                  <c:pt idx="12">
                    <c:v>3</c:v>
                  </c:pt>
                  <c:pt idx="13">
                    <c:v>4</c:v>
                  </c:pt>
                  <c:pt idx="14">
                    <c:v>5</c:v>
                  </c:pt>
                  <c:pt idx="15">
                    <c:v>7</c:v>
                  </c:pt>
                  <c:pt idx="16">
                    <c:v>8</c:v>
                  </c:pt>
                  <c:pt idx="17">
                    <c:v>6</c:v>
                  </c:pt>
                  <c:pt idx="18">
                    <c:v>9</c:v>
                  </c:pt>
                  <c:pt idx="19">
                    <c:v>10</c:v>
                  </c:pt>
                  <c:pt idx="20">
                    <c:v>13</c:v>
                  </c:pt>
                  <c:pt idx="21">
                    <c:v>11</c:v>
                  </c:pt>
                  <c:pt idx="22">
                    <c:v>12</c:v>
                  </c:pt>
                  <c:pt idx="23">
                    <c:v>14</c:v>
                  </c:pt>
                  <c:pt idx="24">
                    <c:v>17</c:v>
                  </c:pt>
                  <c:pt idx="25">
                    <c:v>14</c:v>
                  </c:pt>
                  <c:pt idx="26">
                    <c:v>15</c:v>
                  </c:pt>
                  <c:pt idx="27">
                    <c:v>18</c:v>
                  </c:pt>
                </c:lvl>
                <c:lvl>
                  <c:pt idx="0">
                    <c:v>May</c:v>
                  </c:pt>
                  <c:pt idx="4">
                    <c:v>Jun</c:v>
                  </c:pt>
                  <c:pt idx="9">
                    <c:v>Jul</c:v>
                  </c:pt>
                  <c:pt idx="11">
                    <c:v>Jan</c:v>
                  </c:pt>
                  <c:pt idx="15">
                    <c:v>Feb</c:v>
                  </c:pt>
                  <c:pt idx="19">
                    <c:v>Mar</c:v>
                  </c:pt>
                  <c:pt idx="24">
                    <c:v>Apr</c:v>
                  </c:pt>
                </c:lvl>
              </c:multiLvlStrCache>
            </c:multiLvlStrRef>
          </c:cat>
          <c:val>
            <c:numRef>
              <c:f>Pivot!$K$17:$K$44</c:f>
              <c:numCache>
                <c:formatCode>General</c:formatCode>
                <c:ptCount val="28"/>
                <c:pt idx="1">
                  <c:v>1</c:v>
                </c:pt>
                <c:pt idx="2">
                  <c:v>3</c:v>
                </c:pt>
                <c:pt idx="3">
                  <c:v>2</c:v>
                </c:pt>
                <c:pt idx="4">
                  <c:v>2</c:v>
                </c:pt>
                <c:pt idx="5">
                  <c:v>5</c:v>
                </c:pt>
                <c:pt idx="6">
                  <c:v>8</c:v>
                </c:pt>
                <c:pt idx="7">
                  <c:v>2</c:v>
                </c:pt>
                <c:pt idx="8">
                  <c:v>2</c:v>
                </c:pt>
                <c:pt idx="9">
                  <c:v>3</c:v>
                </c:pt>
                <c:pt idx="10">
                  <c:v>4</c:v>
                </c:pt>
                <c:pt idx="11">
                  <c:v>3</c:v>
                </c:pt>
                <c:pt idx="12">
                  <c:v>2</c:v>
                </c:pt>
                <c:pt idx="13">
                  <c:v>1</c:v>
                </c:pt>
                <c:pt idx="14">
                  <c:v>3</c:v>
                </c:pt>
                <c:pt idx="15">
                  <c:v>2</c:v>
                </c:pt>
                <c:pt idx="16">
                  <c:v>4</c:v>
                </c:pt>
                <c:pt idx="17">
                  <c:v>2</c:v>
                </c:pt>
                <c:pt idx="18">
                  <c:v>1</c:v>
                </c:pt>
                <c:pt idx="19">
                  <c:v>1</c:v>
                </c:pt>
                <c:pt idx="20">
                  <c:v>2</c:v>
                </c:pt>
                <c:pt idx="21">
                  <c:v>9</c:v>
                </c:pt>
                <c:pt idx="22">
                  <c:v>2</c:v>
                </c:pt>
                <c:pt idx="23">
                  <c:v>3</c:v>
                </c:pt>
                <c:pt idx="24">
                  <c:v>1</c:v>
                </c:pt>
                <c:pt idx="25">
                  <c:v>1</c:v>
                </c:pt>
                <c:pt idx="26">
                  <c:v>6</c:v>
                </c:pt>
              </c:numCache>
            </c:numRef>
          </c:val>
          <c:extLst>
            <c:ext xmlns:c16="http://schemas.microsoft.com/office/drawing/2014/chart" uri="{C3380CC4-5D6E-409C-BE32-E72D297353CC}">
              <c16:uniqueId val="{00000001-0328-4638-97D0-114F1418C005}"/>
            </c:ext>
          </c:extLst>
        </c:ser>
        <c:ser>
          <c:idx val="2"/>
          <c:order val="2"/>
          <c:tx>
            <c:strRef>
              <c:f>Pivot!$L$15:$L$16</c:f>
              <c:strCache>
                <c:ptCount val="1"/>
                <c:pt idx="0">
                  <c:v>OTHER</c:v>
                </c:pt>
              </c:strCache>
            </c:strRef>
          </c:tx>
          <c:spPr>
            <a:solidFill>
              <a:srgbClr val="FFC000"/>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Pivot!$H$17:$I$44</c:f>
              <c:multiLvlStrCache>
                <c:ptCount val="28"/>
                <c:lvl>
                  <c:pt idx="0">
                    <c:v>19</c:v>
                  </c:pt>
                  <c:pt idx="1">
                    <c:v>20</c:v>
                  </c:pt>
                  <c:pt idx="2">
                    <c:v>21</c:v>
                  </c:pt>
                  <c:pt idx="3">
                    <c:v>22</c:v>
                  </c:pt>
                  <c:pt idx="4">
                    <c:v>24</c:v>
                  </c:pt>
                  <c:pt idx="5">
                    <c:v>25</c:v>
                  </c:pt>
                  <c:pt idx="6">
                    <c:v>26</c:v>
                  </c:pt>
                  <c:pt idx="7">
                    <c:v>27</c:v>
                  </c:pt>
                  <c:pt idx="8">
                    <c:v>23</c:v>
                  </c:pt>
                  <c:pt idx="9">
                    <c:v>27</c:v>
                  </c:pt>
                  <c:pt idx="10">
                    <c:v>28</c:v>
                  </c:pt>
                  <c:pt idx="11">
                    <c:v>2</c:v>
                  </c:pt>
                  <c:pt idx="12">
                    <c:v>3</c:v>
                  </c:pt>
                  <c:pt idx="13">
                    <c:v>4</c:v>
                  </c:pt>
                  <c:pt idx="14">
                    <c:v>5</c:v>
                  </c:pt>
                  <c:pt idx="15">
                    <c:v>7</c:v>
                  </c:pt>
                  <c:pt idx="16">
                    <c:v>8</c:v>
                  </c:pt>
                  <c:pt idx="17">
                    <c:v>6</c:v>
                  </c:pt>
                  <c:pt idx="18">
                    <c:v>9</c:v>
                  </c:pt>
                  <c:pt idx="19">
                    <c:v>10</c:v>
                  </c:pt>
                  <c:pt idx="20">
                    <c:v>13</c:v>
                  </c:pt>
                  <c:pt idx="21">
                    <c:v>11</c:v>
                  </c:pt>
                  <c:pt idx="22">
                    <c:v>12</c:v>
                  </c:pt>
                  <c:pt idx="23">
                    <c:v>14</c:v>
                  </c:pt>
                  <c:pt idx="24">
                    <c:v>17</c:v>
                  </c:pt>
                  <c:pt idx="25">
                    <c:v>14</c:v>
                  </c:pt>
                  <c:pt idx="26">
                    <c:v>15</c:v>
                  </c:pt>
                  <c:pt idx="27">
                    <c:v>18</c:v>
                  </c:pt>
                </c:lvl>
                <c:lvl>
                  <c:pt idx="0">
                    <c:v>May</c:v>
                  </c:pt>
                  <c:pt idx="4">
                    <c:v>Jun</c:v>
                  </c:pt>
                  <c:pt idx="9">
                    <c:v>Jul</c:v>
                  </c:pt>
                  <c:pt idx="11">
                    <c:v>Jan</c:v>
                  </c:pt>
                  <c:pt idx="15">
                    <c:v>Feb</c:v>
                  </c:pt>
                  <c:pt idx="19">
                    <c:v>Mar</c:v>
                  </c:pt>
                  <c:pt idx="24">
                    <c:v>Apr</c:v>
                  </c:pt>
                </c:lvl>
              </c:multiLvlStrCache>
            </c:multiLvlStrRef>
          </c:cat>
          <c:val>
            <c:numRef>
              <c:f>Pivot!$L$17:$L$44</c:f>
              <c:numCache>
                <c:formatCode>General</c:formatCode>
                <c:ptCount val="28"/>
                <c:pt idx="3">
                  <c:v>1</c:v>
                </c:pt>
                <c:pt idx="4">
                  <c:v>1</c:v>
                </c:pt>
                <c:pt idx="5">
                  <c:v>3</c:v>
                </c:pt>
                <c:pt idx="6">
                  <c:v>1</c:v>
                </c:pt>
                <c:pt idx="11">
                  <c:v>1</c:v>
                </c:pt>
                <c:pt idx="12">
                  <c:v>3</c:v>
                </c:pt>
                <c:pt idx="13">
                  <c:v>1</c:v>
                </c:pt>
                <c:pt idx="14">
                  <c:v>1</c:v>
                </c:pt>
                <c:pt idx="15">
                  <c:v>1</c:v>
                </c:pt>
                <c:pt idx="16">
                  <c:v>3</c:v>
                </c:pt>
                <c:pt idx="17">
                  <c:v>2</c:v>
                </c:pt>
                <c:pt idx="18">
                  <c:v>1</c:v>
                </c:pt>
                <c:pt idx="19">
                  <c:v>7</c:v>
                </c:pt>
                <c:pt idx="20">
                  <c:v>1</c:v>
                </c:pt>
                <c:pt idx="21">
                  <c:v>2</c:v>
                </c:pt>
                <c:pt idx="24">
                  <c:v>2</c:v>
                </c:pt>
              </c:numCache>
            </c:numRef>
          </c:val>
          <c:extLst>
            <c:ext xmlns:c16="http://schemas.microsoft.com/office/drawing/2014/chart" uri="{C3380CC4-5D6E-409C-BE32-E72D297353CC}">
              <c16:uniqueId val="{00000002-0328-4638-97D0-114F1418C005}"/>
            </c:ext>
          </c:extLst>
        </c:ser>
        <c:ser>
          <c:idx val="3"/>
          <c:order val="3"/>
          <c:tx>
            <c:strRef>
              <c:f>Pivot!$M$15:$M$16</c:f>
              <c:strCache>
                <c:ptCount val="1"/>
                <c:pt idx="0">
                  <c:v>DFA</c:v>
                </c:pt>
              </c:strCache>
            </c:strRef>
          </c:tx>
          <c:spPr>
            <a:solidFill>
              <a:srgbClr val="00B050"/>
            </a:solidFill>
            <a:ln>
              <a:noFill/>
            </a:ln>
            <a:effectLst>
              <a:outerShdw blurRad="50800" dist="38100" dir="2700000" algn="tl" rotWithShape="0">
                <a:prstClr val="black">
                  <a:alpha val="40000"/>
                </a:prstClr>
              </a:outerShdw>
            </a:effectLst>
          </c:spPr>
          <c:invertIfNegative val="0"/>
          <c:cat>
            <c:multiLvlStrRef>
              <c:f>Pivot!$H$17:$I$44</c:f>
              <c:multiLvlStrCache>
                <c:ptCount val="28"/>
                <c:lvl>
                  <c:pt idx="0">
                    <c:v>19</c:v>
                  </c:pt>
                  <c:pt idx="1">
                    <c:v>20</c:v>
                  </c:pt>
                  <c:pt idx="2">
                    <c:v>21</c:v>
                  </c:pt>
                  <c:pt idx="3">
                    <c:v>22</c:v>
                  </c:pt>
                  <c:pt idx="4">
                    <c:v>24</c:v>
                  </c:pt>
                  <c:pt idx="5">
                    <c:v>25</c:v>
                  </c:pt>
                  <c:pt idx="6">
                    <c:v>26</c:v>
                  </c:pt>
                  <c:pt idx="7">
                    <c:v>27</c:v>
                  </c:pt>
                  <c:pt idx="8">
                    <c:v>23</c:v>
                  </c:pt>
                  <c:pt idx="9">
                    <c:v>27</c:v>
                  </c:pt>
                  <c:pt idx="10">
                    <c:v>28</c:v>
                  </c:pt>
                  <c:pt idx="11">
                    <c:v>2</c:v>
                  </c:pt>
                  <c:pt idx="12">
                    <c:v>3</c:v>
                  </c:pt>
                  <c:pt idx="13">
                    <c:v>4</c:v>
                  </c:pt>
                  <c:pt idx="14">
                    <c:v>5</c:v>
                  </c:pt>
                  <c:pt idx="15">
                    <c:v>7</c:v>
                  </c:pt>
                  <c:pt idx="16">
                    <c:v>8</c:v>
                  </c:pt>
                  <c:pt idx="17">
                    <c:v>6</c:v>
                  </c:pt>
                  <c:pt idx="18">
                    <c:v>9</c:v>
                  </c:pt>
                  <c:pt idx="19">
                    <c:v>10</c:v>
                  </c:pt>
                  <c:pt idx="20">
                    <c:v>13</c:v>
                  </c:pt>
                  <c:pt idx="21">
                    <c:v>11</c:v>
                  </c:pt>
                  <c:pt idx="22">
                    <c:v>12</c:v>
                  </c:pt>
                  <c:pt idx="23">
                    <c:v>14</c:v>
                  </c:pt>
                  <c:pt idx="24">
                    <c:v>17</c:v>
                  </c:pt>
                  <c:pt idx="25">
                    <c:v>14</c:v>
                  </c:pt>
                  <c:pt idx="26">
                    <c:v>15</c:v>
                  </c:pt>
                  <c:pt idx="27">
                    <c:v>18</c:v>
                  </c:pt>
                </c:lvl>
                <c:lvl>
                  <c:pt idx="0">
                    <c:v>May</c:v>
                  </c:pt>
                  <c:pt idx="4">
                    <c:v>Jun</c:v>
                  </c:pt>
                  <c:pt idx="9">
                    <c:v>Jul</c:v>
                  </c:pt>
                  <c:pt idx="11">
                    <c:v>Jan</c:v>
                  </c:pt>
                  <c:pt idx="15">
                    <c:v>Feb</c:v>
                  </c:pt>
                  <c:pt idx="19">
                    <c:v>Mar</c:v>
                  </c:pt>
                  <c:pt idx="24">
                    <c:v>Apr</c:v>
                  </c:pt>
                </c:lvl>
              </c:multiLvlStrCache>
            </c:multiLvlStrRef>
          </c:cat>
          <c:val>
            <c:numRef>
              <c:f>Pivot!$M$17:$M$44</c:f>
              <c:numCache>
                <c:formatCode>General</c:formatCode>
                <c:ptCount val="28"/>
                <c:pt idx="5">
                  <c:v>1</c:v>
                </c:pt>
                <c:pt idx="6">
                  <c:v>3</c:v>
                </c:pt>
                <c:pt idx="7">
                  <c:v>2</c:v>
                </c:pt>
                <c:pt idx="8">
                  <c:v>2</c:v>
                </c:pt>
                <c:pt idx="10">
                  <c:v>2</c:v>
                </c:pt>
                <c:pt idx="13">
                  <c:v>5</c:v>
                </c:pt>
                <c:pt idx="14">
                  <c:v>1</c:v>
                </c:pt>
                <c:pt idx="15">
                  <c:v>1</c:v>
                </c:pt>
                <c:pt idx="16">
                  <c:v>1</c:v>
                </c:pt>
                <c:pt idx="22">
                  <c:v>1</c:v>
                </c:pt>
                <c:pt idx="27">
                  <c:v>1</c:v>
                </c:pt>
              </c:numCache>
            </c:numRef>
          </c:val>
          <c:extLst>
            <c:ext xmlns:c16="http://schemas.microsoft.com/office/drawing/2014/chart" uri="{C3380CC4-5D6E-409C-BE32-E72D297353CC}">
              <c16:uniqueId val="{00000001-E6FD-4301-B9BB-B7576493B8FC}"/>
            </c:ext>
          </c:extLst>
        </c:ser>
        <c:ser>
          <c:idx val="4"/>
          <c:order val="4"/>
          <c:tx>
            <c:strRef>
              <c:f>Pivot!$N$15:$N$16</c:f>
              <c:strCache>
                <c:ptCount val="1"/>
                <c:pt idx="0">
                  <c:v>PROJECT</c:v>
                </c:pt>
              </c:strCache>
            </c:strRef>
          </c:tx>
          <c:spPr>
            <a:solidFill>
              <a:srgbClr val="002060"/>
            </a:solidFill>
            <a:ln>
              <a:noFill/>
            </a:ln>
            <a:effectLst/>
          </c:spPr>
          <c:invertIfNegative val="0"/>
          <c:cat>
            <c:multiLvlStrRef>
              <c:f>Pivot!$H$17:$I$44</c:f>
              <c:multiLvlStrCache>
                <c:ptCount val="28"/>
                <c:lvl>
                  <c:pt idx="0">
                    <c:v>19</c:v>
                  </c:pt>
                  <c:pt idx="1">
                    <c:v>20</c:v>
                  </c:pt>
                  <c:pt idx="2">
                    <c:v>21</c:v>
                  </c:pt>
                  <c:pt idx="3">
                    <c:v>22</c:v>
                  </c:pt>
                  <c:pt idx="4">
                    <c:v>24</c:v>
                  </c:pt>
                  <c:pt idx="5">
                    <c:v>25</c:v>
                  </c:pt>
                  <c:pt idx="6">
                    <c:v>26</c:v>
                  </c:pt>
                  <c:pt idx="7">
                    <c:v>27</c:v>
                  </c:pt>
                  <c:pt idx="8">
                    <c:v>23</c:v>
                  </c:pt>
                  <c:pt idx="9">
                    <c:v>27</c:v>
                  </c:pt>
                  <c:pt idx="10">
                    <c:v>28</c:v>
                  </c:pt>
                  <c:pt idx="11">
                    <c:v>2</c:v>
                  </c:pt>
                  <c:pt idx="12">
                    <c:v>3</c:v>
                  </c:pt>
                  <c:pt idx="13">
                    <c:v>4</c:v>
                  </c:pt>
                  <c:pt idx="14">
                    <c:v>5</c:v>
                  </c:pt>
                  <c:pt idx="15">
                    <c:v>7</c:v>
                  </c:pt>
                  <c:pt idx="16">
                    <c:v>8</c:v>
                  </c:pt>
                  <c:pt idx="17">
                    <c:v>6</c:v>
                  </c:pt>
                  <c:pt idx="18">
                    <c:v>9</c:v>
                  </c:pt>
                  <c:pt idx="19">
                    <c:v>10</c:v>
                  </c:pt>
                  <c:pt idx="20">
                    <c:v>13</c:v>
                  </c:pt>
                  <c:pt idx="21">
                    <c:v>11</c:v>
                  </c:pt>
                  <c:pt idx="22">
                    <c:v>12</c:v>
                  </c:pt>
                  <c:pt idx="23">
                    <c:v>14</c:v>
                  </c:pt>
                  <c:pt idx="24">
                    <c:v>17</c:v>
                  </c:pt>
                  <c:pt idx="25">
                    <c:v>14</c:v>
                  </c:pt>
                  <c:pt idx="26">
                    <c:v>15</c:v>
                  </c:pt>
                  <c:pt idx="27">
                    <c:v>18</c:v>
                  </c:pt>
                </c:lvl>
                <c:lvl>
                  <c:pt idx="0">
                    <c:v>May</c:v>
                  </c:pt>
                  <c:pt idx="4">
                    <c:v>Jun</c:v>
                  </c:pt>
                  <c:pt idx="9">
                    <c:v>Jul</c:v>
                  </c:pt>
                  <c:pt idx="11">
                    <c:v>Jan</c:v>
                  </c:pt>
                  <c:pt idx="15">
                    <c:v>Feb</c:v>
                  </c:pt>
                  <c:pt idx="19">
                    <c:v>Mar</c:v>
                  </c:pt>
                  <c:pt idx="24">
                    <c:v>Apr</c:v>
                  </c:pt>
                </c:lvl>
              </c:multiLvlStrCache>
            </c:multiLvlStrRef>
          </c:cat>
          <c:val>
            <c:numRef>
              <c:f>Pivot!$N$17:$N$44</c:f>
              <c:numCache>
                <c:formatCode>General</c:formatCode>
                <c:ptCount val="28"/>
                <c:pt idx="2">
                  <c:v>1</c:v>
                </c:pt>
                <c:pt idx="5">
                  <c:v>1</c:v>
                </c:pt>
                <c:pt idx="6">
                  <c:v>2</c:v>
                </c:pt>
                <c:pt idx="9">
                  <c:v>1</c:v>
                </c:pt>
                <c:pt idx="10">
                  <c:v>2</c:v>
                </c:pt>
              </c:numCache>
            </c:numRef>
          </c:val>
          <c:extLst>
            <c:ext xmlns:c16="http://schemas.microsoft.com/office/drawing/2014/chart" uri="{C3380CC4-5D6E-409C-BE32-E72D297353CC}">
              <c16:uniqueId val="{00000001-7DF3-4BC1-B112-A929059E9A8B}"/>
            </c:ext>
          </c:extLst>
        </c:ser>
        <c:ser>
          <c:idx val="5"/>
          <c:order val="5"/>
          <c:tx>
            <c:strRef>
              <c:f>Pivot!$O$15:$O$16</c:f>
              <c:strCache>
                <c:ptCount val="1"/>
                <c:pt idx="0">
                  <c:v>RFQ</c:v>
                </c:pt>
              </c:strCache>
            </c:strRef>
          </c:tx>
          <c:spPr>
            <a:solidFill>
              <a:schemeClr val="accent2">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Pivot!$H$17:$I$44</c:f>
              <c:multiLvlStrCache>
                <c:ptCount val="28"/>
                <c:lvl>
                  <c:pt idx="0">
                    <c:v>19</c:v>
                  </c:pt>
                  <c:pt idx="1">
                    <c:v>20</c:v>
                  </c:pt>
                  <c:pt idx="2">
                    <c:v>21</c:v>
                  </c:pt>
                  <c:pt idx="3">
                    <c:v>22</c:v>
                  </c:pt>
                  <c:pt idx="4">
                    <c:v>24</c:v>
                  </c:pt>
                  <c:pt idx="5">
                    <c:v>25</c:v>
                  </c:pt>
                  <c:pt idx="6">
                    <c:v>26</c:v>
                  </c:pt>
                  <c:pt idx="7">
                    <c:v>27</c:v>
                  </c:pt>
                  <c:pt idx="8">
                    <c:v>23</c:v>
                  </c:pt>
                  <c:pt idx="9">
                    <c:v>27</c:v>
                  </c:pt>
                  <c:pt idx="10">
                    <c:v>28</c:v>
                  </c:pt>
                  <c:pt idx="11">
                    <c:v>2</c:v>
                  </c:pt>
                  <c:pt idx="12">
                    <c:v>3</c:v>
                  </c:pt>
                  <c:pt idx="13">
                    <c:v>4</c:v>
                  </c:pt>
                  <c:pt idx="14">
                    <c:v>5</c:v>
                  </c:pt>
                  <c:pt idx="15">
                    <c:v>7</c:v>
                  </c:pt>
                  <c:pt idx="16">
                    <c:v>8</c:v>
                  </c:pt>
                  <c:pt idx="17">
                    <c:v>6</c:v>
                  </c:pt>
                  <c:pt idx="18">
                    <c:v>9</c:v>
                  </c:pt>
                  <c:pt idx="19">
                    <c:v>10</c:v>
                  </c:pt>
                  <c:pt idx="20">
                    <c:v>13</c:v>
                  </c:pt>
                  <c:pt idx="21">
                    <c:v>11</c:v>
                  </c:pt>
                  <c:pt idx="22">
                    <c:v>12</c:v>
                  </c:pt>
                  <c:pt idx="23">
                    <c:v>14</c:v>
                  </c:pt>
                  <c:pt idx="24">
                    <c:v>17</c:v>
                  </c:pt>
                  <c:pt idx="25">
                    <c:v>14</c:v>
                  </c:pt>
                  <c:pt idx="26">
                    <c:v>15</c:v>
                  </c:pt>
                  <c:pt idx="27">
                    <c:v>18</c:v>
                  </c:pt>
                </c:lvl>
                <c:lvl>
                  <c:pt idx="0">
                    <c:v>May</c:v>
                  </c:pt>
                  <c:pt idx="4">
                    <c:v>Jun</c:v>
                  </c:pt>
                  <c:pt idx="9">
                    <c:v>Jul</c:v>
                  </c:pt>
                  <c:pt idx="11">
                    <c:v>Jan</c:v>
                  </c:pt>
                  <c:pt idx="15">
                    <c:v>Feb</c:v>
                  </c:pt>
                  <c:pt idx="19">
                    <c:v>Mar</c:v>
                  </c:pt>
                  <c:pt idx="24">
                    <c:v>Apr</c:v>
                  </c:pt>
                </c:lvl>
              </c:multiLvlStrCache>
            </c:multiLvlStrRef>
          </c:cat>
          <c:val>
            <c:numRef>
              <c:f>Pivot!$O$17:$O$44</c:f>
              <c:numCache>
                <c:formatCode>General</c:formatCode>
                <c:ptCount val="28"/>
                <c:pt idx="0">
                  <c:v>3</c:v>
                </c:pt>
                <c:pt idx="1">
                  <c:v>2</c:v>
                </c:pt>
                <c:pt idx="2">
                  <c:v>2</c:v>
                </c:pt>
                <c:pt idx="3">
                  <c:v>2</c:v>
                </c:pt>
                <c:pt idx="4">
                  <c:v>2</c:v>
                </c:pt>
                <c:pt idx="5">
                  <c:v>2</c:v>
                </c:pt>
                <c:pt idx="6">
                  <c:v>3</c:v>
                </c:pt>
                <c:pt idx="7">
                  <c:v>2</c:v>
                </c:pt>
                <c:pt idx="8">
                  <c:v>3</c:v>
                </c:pt>
                <c:pt idx="9">
                  <c:v>1</c:v>
                </c:pt>
                <c:pt idx="10">
                  <c:v>4</c:v>
                </c:pt>
                <c:pt idx="11">
                  <c:v>1</c:v>
                </c:pt>
                <c:pt idx="12">
                  <c:v>3</c:v>
                </c:pt>
                <c:pt idx="13">
                  <c:v>1</c:v>
                </c:pt>
                <c:pt idx="14">
                  <c:v>1</c:v>
                </c:pt>
                <c:pt idx="15">
                  <c:v>7</c:v>
                </c:pt>
                <c:pt idx="16">
                  <c:v>2</c:v>
                </c:pt>
                <c:pt idx="17">
                  <c:v>2</c:v>
                </c:pt>
                <c:pt idx="18">
                  <c:v>2</c:v>
                </c:pt>
                <c:pt idx="19">
                  <c:v>4</c:v>
                </c:pt>
                <c:pt idx="20">
                  <c:v>2</c:v>
                </c:pt>
                <c:pt idx="21">
                  <c:v>3</c:v>
                </c:pt>
                <c:pt idx="22">
                  <c:v>2</c:v>
                </c:pt>
                <c:pt idx="23">
                  <c:v>3</c:v>
                </c:pt>
                <c:pt idx="24">
                  <c:v>2</c:v>
                </c:pt>
                <c:pt idx="25">
                  <c:v>1</c:v>
                </c:pt>
                <c:pt idx="27">
                  <c:v>5</c:v>
                </c:pt>
              </c:numCache>
            </c:numRef>
          </c:val>
          <c:extLst>
            <c:ext xmlns:c16="http://schemas.microsoft.com/office/drawing/2014/chart" uri="{C3380CC4-5D6E-409C-BE32-E72D297353CC}">
              <c16:uniqueId val="{00000002-7DF3-4BC1-B112-A929059E9A8B}"/>
            </c:ext>
          </c:extLst>
        </c:ser>
        <c:ser>
          <c:idx val="6"/>
          <c:order val="6"/>
          <c:tx>
            <c:strRef>
              <c:f>Pivot!$P$15:$P$16</c:f>
              <c:strCache>
                <c:ptCount val="1"/>
              </c:strCache>
            </c:strRef>
          </c:tx>
          <c:spPr>
            <a:solidFill>
              <a:srgbClr val="00CCFF"/>
            </a:solidFill>
            <a:ln>
              <a:noFill/>
            </a:ln>
            <a:effectLst/>
          </c:spPr>
          <c:invertIfNegative val="0"/>
          <c:cat>
            <c:multiLvlStrRef>
              <c:f>Pivot!$H$17:$I$44</c:f>
              <c:multiLvlStrCache>
                <c:ptCount val="28"/>
                <c:lvl>
                  <c:pt idx="0">
                    <c:v>19</c:v>
                  </c:pt>
                  <c:pt idx="1">
                    <c:v>20</c:v>
                  </c:pt>
                  <c:pt idx="2">
                    <c:v>21</c:v>
                  </c:pt>
                  <c:pt idx="3">
                    <c:v>22</c:v>
                  </c:pt>
                  <c:pt idx="4">
                    <c:v>24</c:v>
                  </c:pt>
                  <c:pt idx="5">
                    <c:v>25</c:v>
                  </c:pt>
                  <c:pt idx="6">
                    <c:v>26</c:v>
                  </c:pt>
                  <c:pt idx="7">
                    <c:v>27</c:v>
                  </c:pt>
                  <c:pt idx="8">
                    <c:v>23</c:v>
                  </c:pt>
                  <c:pt idx="9">
                    <c:v>27</c:v>
                  </c:pt>
                  <c:pt idx="10">
                    <c:v>28</c:v>
                  </c:pt>
                  <c:pt idx="11">
                    <c:v>2</c:v>
                  </c:pt>
                  <c:pt idx="12">
                    <c:v>3</c:v>
                  </c:pt>
                  <c:pt idx="13">
                    <c:v>4</c:v>
                  </c:pt>
                  <c:pt idx="14">
                    <c:v>5</c:v>
                  </c:pt>
                  <c:pt idx="15">
                    <c:v>7</c:v>
                  </c:pt>
                  <c:pt idx="16">
                    <c:v>8</c:v>
                  </c:pt>
                  <c:pt idx="17">
                    <c:v>6</c:v>
                  </c:pt>
                  <c:pt idx="18">
                    <c:v>9</c:v>
                  </c:pt>
                  <c:pt idx="19">
                    <c:v>10</c:v>
                  </c:pt>
                  <c:pt idx="20">
                    <c:v>13</c:v>
                  </c:pt>
                  <c:pt idx="21">
                    <c:v>11</c:v>
                  </c:pt>
                  <c:pt idx="22">
                    <c:v>12</c:v>
                  </c:pt>
                  <c:pt idx="23">
                    <c:v>14</c:v>
                  </c:pt>
                  <c:pt idx="24">
                    <c:v>17</c:v>
                  </c:pt>
                  <c:pt idx="25">
                    <c:v>14</c:v>
                  </c:pt>
                  <c:pt idx="26">
                    <c:v>15</c:v>
                  </c:pt>
                  <c:pt idx="27">
                    <c:v>18</c:v>
                  </c:pt>
                </c:lvl>
                <c:lvl>
                  <c:pt idx="0">
                    <c:v>May</c:v>
                  </c:pt>
                  <c:pt idx="4">
                    <c:v>Jun</c:v>
                  </c:pt>
                  <c:pt idx="9">
                    <c:v>Jul</c:v>
                  </c:pt>
                  <c:pt idx="11">
                    <c:v>Jan</c:v>
                  </c:pt>
                  <c:pt idx="15">
                    <c:v>Feb</c:v>
                  </c:pt>
                  <c:pt idx="19">
                    <c:v>Mar</c:v>
                  </c:pt>
                  <c:pt idx="24">
                    <c:v>Apr</c:v>
                  </c:pt>
                </c:lvl>
              </c:multiLvlStrCache>
            </c:multiLvlStrRef>
          </c:cat>
          <c:val>
            <c:numRef>
              <c:f>Pivot!$P$17:$P$44</c:f>
              <c:numCache>
                <c:formatCode>General</c:formatCode>
                <c:ptCount val="28"/>
              </c:numCache>
            </c:numRef>
          </c:val>
          <c:extLst>
            <c:ext xmlns:c16="http://schemas.microsoft.com/office/drawing/2014/chart" uri="{C3380CC4-5D6E-409C-BE32-E72D297353CC}">
              <c16:uniqueId val="{00000003-7DF3-4BC1-B112-A929059E9A8B}"/>
            </c:ext>
          </c:extLst>
        </c:ser>
        <c:ser>
          <c:idx val="7"/>
          <c:order val="7"/>
          <c:tx>
            <c:strRef>
              <c:f>Pivot!$Q$15:$Q$16</c:f>
              <c:strCache>
                <c:ptCount val="1"/>
                <c:pt idx="0">
                  <c:v>PACKING</c:v>
                </c:pt>
              </c:strCache>
            </c:strRef>
          </c:tx>
          <c:spPr>
            <a:solidFill>
              <a:srgbClr val="FF99FF"/>
            </a:solidFill>
            <a:ln w="25400">
              <a:noFill/>
            </a:ln>
            <a:effectLst/>
          </c:spPr>
          <c:invertIfNegative val="0"/>
          <c:cat>
            <c:multiLvlStrRef>
              <c:f>Pivot!$H$17:$I$44</c:f>
              <c:multiLvlStrCache>
                <c:ptCount val="28"/>
                <c:lvl>
                  <c:pt idx="0">
                    <c:v>19</c:v>
                  </c:pt>
                  <c:pt idx="1">
                    <c:v>20</c:v>
                  </c:pt>
                  <c:pt idx="2">
                    <c:v>21</c:v>
                  </c:pt>
                  <c:pt idx="3">
                    <c:v>22</c:v>
                  </c:pt>
                  <c:pt idx="4">
                    <c:v>24</c:v>
                  </c:pt>
                  <c:pt idx="5">
                    <c:v>25</c:v>
                  </c:pt>
                  <c:pt idx="6">
                    <c:v>26</c:v>
                  </c:pt>
                  <c:pt idx="7">
                    <c:v>27</c:v>
                  </c:pt>
                  <c:pt idx="8">
                    <c:v>23</c:v>
                  </c:pt>
                  <c:pt idx="9">
                    <c:v>27</c:v>
                  </c:pt>
                  <c:pt idx="10">
                    <c:v>28</c:v>
                  </c:pt>
                  <c:pt idx="11">
                    <c:v>2</c:v>
                  </c:pt>
                  <c:pt idx="12">
                    <c:v>3</c:v>
                  </c:pt>
                  <c:pt idx="13">
                    <c:v>4</c:v>
                  </c:pt>
                  <c:pt idx="14">
                    <c:v>5</c:v>
                  </c:pt>
                  <c:pt idx="15">
                    <c:v>7</c:v>
                  </c:pt>
                  <c:pt idx="16">
                    <c:v>8</c:v>
                  </c:pt>
                  <c:pt idx="17">
                    <c:v>6</c:v>
                  </c:pt>
                  <c:pt idx="18">
                    <c:v>9</c:v>
                  </c:pt>
                  <c:pt idx="19">
                    <c:v>10</c:v>
                  </c:pt>
                  <c:pt idx="20">
                    <c:v>13</c:v>
                  </c:pt>
                  <c:pt idx="21">
                    <c:v>11</c:v>
                  </c:pt>
                  <c:pt idx="22">
                    <c:v>12</c:v>
                  </c:pt>
                  <c:pt idx="23">
                    <c:v>14</c:v>
                  </c:pt>
                  <c:pt idx="24">
                    <c:v>17</c:v>
                  </c:pt>
                  <c:pt idx="25">
                    <c:v>14</c:v>
                  </c:pt>
                  <c:pt idx="26">
                    <c:v>15</c:v>
                  </c:pt>
                  <c:pt idx="27">
                    <c:v>18</c:v>
                  </c:pt>
                </c:lvl>
                <c:lvl>
                  <c:pt idx="0">
                    <c:v>May</c:v>
                  </c:pt>
                  <c:pt idx="4">
                    <c:v>Jun</c:v>
                  </c:pt>
                  <c:pt idx="9">
                    <c:v>Jul</c:v>
                  </c:pt>
                  <c:pt idx="11">
                    <c:v>Jan</c:v>
                  </c:pt>
                  <c:pt idx="15">
                    <c:v>Feb</c:v>
                  </c:pt>
                  <c:pt idx="19">
                    <c:v>Mar</c:v>
                  </c:pt>
                  <c:pt idx="24">
                    <c:v>Apr</c:v>
                  </c:pt>
                </c:lvl>
              </c:multiLvlStrCache>
            </c:multiLvlStrRef>
          </c:cat>
          <c:val>
            <c:numRef>
              <c:f>Pivot!$Q$17:$Q$44</c:f>
              <c:numCache>
                <c:formatCode>General</c:formatCode>
                <c:ptCount val="28"/>
                <c:pt idx="0">
                  <c:v>10</c:v>
                </c:pt>
                <c:pt idx="1">
                  <c:v>2</c:v>
                </c:pt>
                <c:pt idx="2">
                  <c:v>22</c:v>
                </c:pt>
                <c:pt idx="3">
                  <c:v>12</c:v>
                </c:pt>
                <c:pt idx="4">
                  <c:v>18</c:v>
                </c:pt>
                <c:pt idx="5">
                  <c:v>10</c:v>
                </c:pt>
                <c:pt idx="6">
                  <c:v>4</c:v>
                </c:pt>
                <c:pt idx="7">
                  <c:v>9</c:v>
                </c:pt>
                <c:pt idx="8">
                  <c:v>11</c:v>
                </c:pt>
                <c:pt idx="9">
                  <c:v>2</c:v>
                </c:pt>
                <c:pt idx="10">
                  <c:v>11</c:v>
                </c:pt>
                <c:pt idx="11">
                  <c:v>5</c:v>
                </c:pt>
                <c:pt idx="12">
                  <c:v>3</c:v>
                </c:pt>
                <c:pt idx="13">
                  <c:v>9</c:v>
                </c:pt>
                <c:pt idx="14">
                  <c:v>5</c:v>
                </c:pt>
                <c:pt idx="15">
                  <c:v>5</c:v>
                </c:pt>
                <c:pt idx="16">
                  <c:v>7</c:v>
                </c:pt>
                <c:pt idx="17">
                  <c:v>5</c:v>
                </c:pt>
                <c:pt idx="18">
                  <c:v>6</c:v>
                </c:pt>
                <c:pt idx="19">
                  <c:v>1</c:v>
                </c:pt>
                <c:pt idx="20">
                  <c:v>5</c:v>
                </c:pt>
                <c:pt idx="21">
                  <c:v>10</c:v>
                </c:pt>
                <c:pt idx="22">
                  <c:v>3</c:v>
                </c:pt>
                <c:pt idx="23">
                  <c:v>1</c:v>
                </c:pt>
                <c:pt idx="24">
                  <c:v>10</c:v>
                </c:pt>
                <c:pt idx="25">
                  <c:v>2</c:v>
                </c:pt>
                <c:pt idx="26">
                  <c:v>3</c:v>
                </c:pt>
                <c:pt idx="27">
                  <c:v>8</c:v>
                </c:pt>
              </c:numCache>
            </c:numRef>
          </c:val>
          <c:extLst>
            <c:ext xmlns:c16="http://schemas.microsoft.com/office/drawing/2014/chart" uri="{C3380CC4-5D6E-409C-BE32-E72D297353CC}">
              <c16:uniqueId val="{00000004-7DF3-4BC1-B112-A929059E9A8B}"/>
            </c:ext>
          </c:extLst>
        </c:ser>
        <c:ser>
          <c:idx val="8"/>
          <c:order val="8"/>
          <c:tx>
            <c:strRef>
              <c:f>Pivot!$R$15:$R$16</c:f>
              <c:strCache>
                <c:ptCount val="1"/>
                <c:pt idx="0">
                  <c:v>Part DFM</c:v>
                </c:pt>
              </c:strCache>
            </c:strRef>
          </c:tx>
          <c:spPr>
            <a:solidFill>
              <a:srgbClr val="00B0F0"/>
            </a:solidFill>
            <a:ln>
              <a:noFill/>
            </a:ln>
            <a:effectLst/>
          </c:spPr>
          <c:invertIfNegative val="0"/>
          <c:cat>
            <c:multiLvlStrRef>
              <c:f>Pivot!$H$17:$I$44</c:f>
              <c:multiLvlStrCache>
                <c:ptCount val="28"/>
                <c:lvl>
                  <c:pt idx="0">
                    <c:v>19</c:v>
                  </c:pt>
                  <c:pt idx="1">
                    <c:v>20</c:v>
                  </c:pt>
                  <c:pt idx="2">
                    <c:v>21</c:v>
                  </c:pt>
                  <c:pt idx="3">
                    <c:v>22</c:v>
                  </c:pt>
                  <c:pt idx="4">
                    <c:v>24</c:v>
                  </c:pt>
                  <c:pt idx="5">
                    <c:v>25</c:v>
                  </c:pt>
                  <c:pt idx="6">
                    <c:v>26</c:v>
                  </c:pt>
                  <c:pt idx="7">
                    <c:v>27</c:v>
                  </c:pt>
                  <c:pt idx="8">
                    <c:v>23</c:v>
                  </c:pt>
                  <c:pt idx="9">
                    <c:v>27</c:v>
                  </c:pt>
                  <c:pt idx="10">
                    <c:v>28</c:v>
                  </c:pt>
                  <c:pt idx="11">
                    <c:v>2</c:v>
                  </c:pt>
                  <c:pt idx="12">
                    <c:v>3</c:v>
                  </c:pt>
                  <c:pt idx="13">
                    <c:v>4</c:v>
                  </c:pt>
                  <c:pt idx="14">
                    <c:v>5</c:v>
                  </c:pt>
                  <c:pt idx="15">
                    <c:v>7</c:v>
                  </c:pt>
                  <c:pt idx="16">
                    <c:v>8</c:v>
                  </c:pt>
                  <c:pt idx="17">
                    <c:v>6</c:v>
                  </c:pt>
                  <c:pt idx="18">
                    <c:v>9</c:v>
                  </c:pt>
                  <c:pt idx="19">
                    <c:v>10</c:v>
                  </c:pt>
                  <c:pt idx="20">
                    <c:v>13</c:v>
                  </c:pt>
                  <c:pt idx="21">
                    <c:v>11</c:v>
                  </c:pt>
                  <c:pt idx="22">
                    <c:v>12</c:v>
                  </c:pt>
                  <c:pt idx="23">
                    <c:v>14</c:v>
                  </c:pt>
                  <c:pt idx="24">
                    <c:v>17</c:v>
                  </c:pt>
                  <c:pt idx="25">
                    <c:v>14</c:v>
                  </c:pt>
                  <c:pt idx="26">
                    <c:v>15</c:v>
                  </c:pt>
                  <c:pt idx="27">
                    <c:v>18</c:v>
                  </c:pt>
                </c:lvl>
                <c:lvl>
                  <c:pt idx="0">
                    <c:v>May</c:v>
                  </c:pt>
                  <c:pt idx="4">
                    <c:v>Jun</c:v>
                  </c:pt>
                  <c:pt idx="9">
                    <c:v>Jul</c:v>
                  </c:pt>
                  <c:pt idx="11">
                    <c:v>Jan</c:v>
                  </c:pt>
                  <c:pt idx="15">
                    <c:v>Feb</c:v>
                  </c:pt>
                  <c:pt idx="19">
                    <c:v>Mar</c:v>
                  </c:pt>
                  <c:pt idx="24">
                    <c:v>Apr</c:v>
                  </c:pt>
                </c:lvl>
              </c:multiLvlStrCache>
            </c:multiLvlStrRef>
          </c:cat>
          <c:val>
            <c:numRef>
              <c:f>Pivot!$R$17:$R$44</c:f>
              <c:numCache>
                <c:formatCode>General</c:formatCode>
                <c:ptCount val="28"/>
                <c:pt idx="3">
                  <c:v>3</c:v>
                </c:pt>
                <c:pt idx="4">
                  <c:v>1</c:v>
                </c:pt>
                <c:pt idx="5">
                  <c:v>1</c:v>
                </c:pt>
                <c:pt idx="6">
                  <c:v>1</c:v>
                </c:pt>
                <c:pt idx="7">
                  <c:v>1</c:v>
                </c:pt>
                <c:pt idx="10">
                  <c:v>2</c:v>
                </c:pt>
                <c:pt idx="12">
                  <c:v>1</c:v>
                </c:pt>
                <c:pt idx="13">
                  <c:v>4</c:v>
                </c:pt>
                <c:pt idx="24">
                  <c:v>1</c:v>
                </c:pt>
              </c:numCache>
            </c:numRef>
          </c:val>
          <c:extLst>
            <c:ext xmlns:c16="http://schemas.microsoft.com/office/drawing/2014/chart" uri="{C3380CC4-5D6E-409C-BE32-E72D297353CC}">
              <c16:uniqueId val="{00000005-7DF3-4BC1-B112-A929059E9A8B}"/>
            </c:ext>
          </c:extLst>
        </c:ser>
        <c:ser>
          <c:idx val="9"/>
          <c:order val="9"/>
          <c:tx>
            <c:strRef>
              <c:f>Pivot!$S$15:$S$16</c:f>
              <c:strCache>
                <c:ptCount val="1"/>
                <c:pt idx="0">
                  <c:v>DFM Mold</c:v>
                </c:pt>
              </c:strCache>
            </c:strRef>
          </c:tx>
          <c:spPr>
            <a:solidFill>
              <a:srgbClr val="002060"/>
            </a:solidFill>
            <a:ln>
              <a:noFill/>
            </a:ln>
            <a:effectLst/>
          </c:spPr>
          <c:invertIfNegative val="0"/>
          <c:cat>
            <c:multiLvlStrRef>
              <c:f>Pivot!$H$17:$I$44</c:f>
              <c:multiLvlStrCache>
                <c:ptCount val="28"/>
                <c:lvl>
                  <c:pt idx="0">
                    <c:v>19</c:v>
                  </c:pt>
                  <c:pt idx="1">
                    <c:v>20</c:v>
                  </c:pt>
                  <c:pt idx="2">
                    <c:v>21</c:v>
                  </c:pt>
                  <c:pt idx="3">
                    <c:v>22</c:v>
                  </c:pt>
                  <c:pt idx="4">
                    <c:v>24</c:v>
                  </c:pt>
                  <c:pt idx="5">
                    <c:v>25</c:v>
                  </c:pt>
                  <c:pt idx="6">
                    <c:v>26</c:v>
                  </c:pt>
                  <c:pt idx="7">
                    <c:v>27</c:v>
                  </c:pt>
                  <c:pt idx="8">
                    <c:v>23</c:v>
                  </c:pt>
                  <c:pt idx="9">
                    <c:v>27</c:v>
                  </c:pt>
                  <c:pt idx="10">
                    <c:v>28</c:v>
                  </c:pt>
                  <c:pt idx="11">
                    <c:v>2</c:v>
                  </c:pt>
                  <c:pt idx="12">
                    <c:v>3</c:v>
                  </c:pt>
                  <c:pt idx="13">
                    <c:v>4</c:v>
                  </c:pt>
                  <c:pt idx="14">
                    <c:v>5</c:v>
                  </c:pt>
                  <c:pt idx="15">
                    <c:v>7</c:v>
                  </c:pt>
                  <c:pt idx="16">
                    <c:v>8</c:v>
                  </c:pt>
                  <c:pt idx="17">
                    <c:v>6</c:v>
                  </c:pt>
                  <c:pt idx="18">
                    <c:v>9</c:v>
                  </c:pt>
                  <c:pt idx="19">
                    <c:v>10</c:v>
                  </c:pt>
                  <c:pt idx="20">
                    <c:v>13</c:v>
                  </c:pt>
                  <c:pt idx="21">
                    <c:v>11</c:v>
                  </c:pt>
                  <c:pt idx="22">
                    <c:v>12</c:v>
                  </c:pt>
                  <c:pt idx="23">
                    <c:v>14</c:v>
                  </c:pt>
                  <c:pt idx="24">
                    <c:v>17</c:v>
                  </c:pt>
                  <c:pt idx="25">
                    <c:v>14</c:v>
                  </c:pt>
                  <c:pt idx="26">
                    <c:v>15</c:v>
                  </c:pt>
                  <c:pt idx="27">
                    <c:v>18</c:v>
                  </c:pt>
                </c:lvl>
                <c:lvl>
                  <c:pt idx="0">
                    <c:v>May</c:v>
                  </c:pt>
                  <c:pt idx="4">
                    <c:v>Jun</c:v>
                  </c:pt>
                  <c:pt idx="9">
                    <c:v>Jul</c:v>
                  </c:pt>
                  <c:pt idx="11">
                    <c:v>Jan</c:v>
                  </c:pt>
                  <c:pt idx="15">
                    <c:v>Feb</c:v>
                  </c:pt>
                  <c:pt idx="19">
                    <c:v>Mar</c:v>
                  </c:pt>
                  <c:pt idx="24">
                    <c:v>Apr</c:v>
                  </c:pt>
                </c:lvl>
              </c:multiLvlStrCache>
            </c:multiLvlStrRef>
          </c:cat>
          <c:val>
            <c:numRef>
              <c:f>Pivot!$S$17:$S$44</c:f>
              <c:numCache>
                <c:formatCode>General</c:formatCode>
                <c:ptCount val="28"/>
                <c:pt idx="0">
                  <c:v>1</c:v>
                </c:pt>
                <c:pt idx="1">
                  <c:v>23</c:v>
                </c:pt>
                <c:pt idx="2">
                  <c:v>9</c:v>
                </c:pt>
                <c:pt idx="3">
                  <c:v>6</c:v>
                </c:pt>
                <c:pt idx="4">
                  <c:v>6</c:v>
                </c:pt>
                <c:pt idx="5">
                  <c:v>2</c:v>
                </c:pt>
                <c:pt idx="8">
                  <c:v>1</c:v>
                </c:pt>
                <c:pt idx="9">
                  <c:v>1</c:v>
                </c:pt>
                <c:pt idx="10">
                  <c:v>1</c:v>
                </c:pt>
                <c:pt idx="13">
                  <c:v>1</c:v>
                </c:pt>
                <c:pt idx="14">
                  <c:v>5</c:v>
                </c:pt>
                <c:pt idx="15">
                  <c:v>1</c:v>
                </c:pt>
                <c:pt idx="16">
                  <c:v>2</c:v>
                </c:pt>
                <c:pt idx="17">
                  <c:v>1</c:v>
                </c:pt>
                <c:pt idx="22">
                  <c:v>4</c:v>
                </c:pt>
              </c:numCache>
            </c:numRef>
          </c:val>
          <c:extLst>
            <c:ext xmlns:c16="http://schemas.microsoft.com/office/drawing/2014/chart" uri="{C3380CC4-5D6E-409C-BE32-E72D297353CC}">
              <c16:uniqueId val="{00000000-FBB9-41B6-A239-6A8871A80337}"/>
            </c:ext>
          </c:extLst>
        </c:ser>
        <c:dLbls>
          <c:showLegendKey val="0"/>
          <c:showVal val="0"/>
          <c:showCatName val="0"/>
          <c:showSerName val="0"/>
          <c:showPercent val="0"/>
          <c:showBubbleSize val="0"/>
        </c:dLbls>
        <c:gapWidth val="100"/>
        <c:overlap val="100"/>
        <c:axId val="1377353072"/>
        <c:axId val="1377346000"/>
      </c:barChart>
      <c:catAx>
        <c:axId val="1377353072"/>
        <c:scaling>
          <c:orientation val="minMax"/>
        </c:scaling>
        <c:delete val="0"/>
        <c:axPos val="b"/>
        <c:numFmt formatCode="General" sourceLinked="1"/>
        <c:majorTickMark val="none"/>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77346000"/>
        <c:crosses val="autoZero"/>
        <c:auto val="1"/>
        <c:lblAlgn val="ctr"/>
        <c:lblOffset val="100"/>
        <c:noMultiLvlLbl val="0"/>
      </c:catAx>
      <c:valAx>
        <c:axId val="137734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377353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2"/>
    </mc:Choice>
    <mc:Fallback>
      <c:style val="2"/>
    </mc:Fallback>
  </mc:AlternateContent>
  <c:pivotSource>
    <c:name>[NPI Integration Fronted task schedule2026 Rev2 -.xlsx]Pivot!PivotTable31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baseline="0">
                <a:solidFill>
                  <a:sysClr val="windowText" lastClr="000000"/>
                </a:solidFill>
              </a:rPr>
              <a:t>On process VS Closed Task</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Pivot!$X$3:$X$4</c:f>
              <c:strCache>
                <c:ptCount val="1"/>
                <c:pt idx="0">
                  <c:v>Close</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Pivot!$V$5:$W$32</c:f>
              <c:multiLvlStrCache>
                <c:ptCount val="28"/>
                <c:lvl>
                  <c:pt idx="0">
                    <c:v>19</c:v>
                  </c:pt>
                  <c:pt idx="1">
                    <c:v>20</c:v>
                  </c:pt>
                  <c:pt idx="2">
                    <c:v>21</c:v>
                  </c:pt>
                  <c:pt idx="3">
                    <c:v>22</c:v>
                  </c:pt>
                  <c:pt idx="4">
                    <c:v>24</c:v>
                  </c:pt>
                  <c:pt idx="5">
                    <c:v>25</c:v>
                  </c:pt>
                  <c:pt idx="6">
                    <c:v>26</c:v>
                  </c:pt>
                  <c:pt idx="7">
                    <c:v>27</c:v>
                  </c:pt>
                  <c:pt idx="8">
                    <c:v>23</c:v>
                  </c:pt>
                  <c:pt idx="9">
                    <c:v>27</c:v>
                  </c:pt>
                  <c:pt idx="10">
                    <c:v>28</c:v>
                  </c:pt>
                  <c:pt idx="11">
                    <c:v>2</c:v>
                  </c:pt>
                  <c:pt idx="12">
                    <c:v>3</c:v>
                  </c:pt>
                  <c:pt idx="13">
                    <c:v>4</c:v>
                  </c:pt>
                  <c:pt idx="14">
                    <c:v>5</c:v>
                  </c:pt>
                  <c:pt idx="15">
                    <c:v>7</c:v>
                  </c:pt>
                  <c:pt idx="16">
                    <c:v>8</c:v>
                  </c:pt>
                  <c:pt idx="17">
                    <c:v>6</c:v>
                  </c:pt>
                  <c:pt idx="18">
                    <c:v>9</c:v>
                  </c:pt>
                  <c:pt idx="19">
                    <c:v>10</c:v>
                  </c:pt>
                  <c:pt idx="20">
                    <c:v>13</c:v>
                  </c:pt>
                  <c:pt idx="21">
                    <c:v>11</c:v>
                  </c:pt>
                  <c:pt idx="22">
                    <c:v>12</c:v>
                  </c:pt>
                  <c:pt idx="23">
                    <c:v>14</c:v>
                  </c:pt>
                  <c:pt idx="24">
                    <c:v>17</c:v>
                  </c:pt>
                  <c:pt idx="25">
                    <c:v>14</c:v>
                  </c:pt>
                  <c:pt idx="26">
                    <c:v>15</c:v>
                  </c:pt>
                  <c:pt idx="27">
                    <c:v>18</c:v>
                  </c:pt>
                </c:lvl>
                <c:lvl>
                  <c:pt idx="0">
                    <c:v>May</c:v>
                  </c:pt>
                  <c:pt idx="4">
                    <c:v>Jun</c:v>
                  </c:pt>
                  <c:pt idx="9">
                    <c:v>Jul</c:v>
                  </c:pt>
                  <c:pt idx="11">
                    <c:v>Jan</c:v>
                  </c:pt>
                  <c:pt idx="15">
                    <c:v>Feb</c:v>
                  </c:pt>
                  <c:pt idx="19">
                    <c:v>Mar</c:v>
                  </c:pt>
                  <c:pt idx="24">
                    <c:v>Apr</c:v>
                  </c:pt>
                </c:lvl>
              </c:multiLvlStrCache>
            </c:multiLvlStrRef>
          </c:cat>
          <c:val>
            <c:numRef>
              <c:f>Pivot!$X$5:$X$32</c:f>
              <c:numCache>
                <c:formatCode>General</c:formatCode>
                <c:ptCount val="28"/>
                <c:pt idx="0">
                  <c:v>14</c:v>
                </c:pt>
                <c:pt idx="1">
                  <c:v>28</c:v>
                </c:pt>
                <c:pt idx="2">
                  <c:v>39</c:v>
                </c:pt>
                <c:pt idx="3">
                  <c:v>28</c:v>
                </c:pt>
                <c:pt idx="4">
                  <c:v>35</c:v>
                </c:pt>
                <c:pt idx="5">
                  <c:v>30</c:v>
                </c:pt>
                <c:pt idx="6">
                  <c:v>24</c:v>
                </c:pt>
                <c:pt idx="7">
                  <c:v>21</c:v>
                </c:pt>
                <c:pt idx="8">
                  <c:v>23</c:v>
                </c:pt>
                <c:pt idx="9">
                  <c:v>15</c:v>
                </c:pt>
                <c:pt idx="10">
                  <c:v>26</c:v>
                </c:pt>
                <c:pt idx="11">
                  <c:v>20</c:v>
                </c:pt>
                <c:pt idx="12">
                  <c:v>22</c:v>
                </c:pt>
                <c:pt idx="13">
                  <c:v>26</c:v>
                </c:pt>
                <c:pt idx="14">
                  <c:v>27</c:v>
                </c:pt>
                <c:pt idx="15">
                  <c:v>25</c:v>
                </c:pt>
                <c:pt idx="16">
                  <c:v>26</c:v>
                </c:pt>
                <c:pt idx="17">
                  <c:v>17</c:v>
                </c:pt>
                <c:pt idx="18">
                  <c:v>29</c:v>
                </c:pt>
                <c:pt idx="19">
                  <c:v>21</c:v>
                </c:pt>
                <c:pt idx="20">
                  <c:v>25</c:v>
                </c:pt>
                <c:pt idx="21">
                  <c:v>36</c:v>
                </c:pt>
                <c:pt idx="22">
                  <c:v>34</c:v>
                </c:pt>
                <c:pt idx="23">
                  <c:v>10</c:v>
                </c:pt>
                <c:pt idx="24">
                  <c:v>21</c:v>
                </c:pt>
                <c:pt idx="25">
                  <c:v>11</c:v>
                </c:pt>
                <c:pt idx="26">
                  <c:v>12</c:v>
                </c:pt>
                <c:pt idx="27">
                  <c:v>15</c:v>
                </c:pt>
              </c:numCache>
            </c:numRef>
          </c:val>
          <c:extLst>
            <c:ext xmlns:c16="http://schemas.microsoft.com/office/drawing/2014/chart" uri="{C3380CC4-5D6E-409C-BE32-E72D297353CC}">
              <c16:uniqueId val="{00000000-CD03-42FE-BF5E-14447B31C105}"/>
            </c:ext>
          </c:extLst>
        </c:ser>
        <c:ser>
          <c:idx val="1"/>
          <c:order val="1"/>
          <c:tx>
            <c:strRef>
              <c:f>Pivot!$Y$3:$Y$4</c:f>
              <c:strCache>
                <c:ptCount val="1"/>
                <c:pt idx="0">
                  <c:v>On process</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Pivot!$V$5:$W$32</c:f>
              <c:multiLvlStrCache>
                <c:ptCount val="28"/>
                <c:lvl>
                  <c:pt idx="0">
                    <c:v>19</c:v>
                  </c:pt>
                  <c:pt idx="1">
                    <c:v>20</c:v>
                  </c:pt>
                  <c:pt idx="2">
                    <c:v>21</c:v>
                  </c:pt>
                  <c:pt idx="3">
                    <c:v>22</c:v>
                  </c:pt>
                  <c:pt idx="4">
                    <c:v>24</c:v>
                  </c:pt>
                  <c:pt idx="5">
                    <c:v>25</c:v>
                  </c:pt>
                  <c:pt idx="6">
                    <c:v>26</c:v>
                  </c:pt>
                  <c:pt idx="7">
                    <c:v>27</c:v>
                  </c:pt>
                  <c:pt idx="8">
                    <c:v>23</c:v>
                  </c:pt>
                  <c:pt idx="9">
                    <c:v>27</c:v>
                  </c:pt>
                  <c:pt idx="10">
                    <c:v>28</c:v>
                  </c:pt>
                  <c:pt idx="11">
                    <c:v>2</c:v>
                  </c:pt>
                  <c:pt idx="12">
                    <c:v>3</c:v>
                  </c:pt>
                  <c:pt idx="13">
                    <c:v>4</c:v>
                  </c:pt>
                  <c:pt idx="14">
                    <c:v>5</c:v>
                  </c:pt>
                  <c:pt idx="15">
                    <c:v>7</c:v>
                  </c:pt>
                  <c:pt idx="16">
                    <c:v>8</c:v>
                  </c:pt>
                  <c:pt idx="17">
                    <c:v>6</c:v>
                  </c:pt>
                  <c:pt idx="18">
                    <c:v>9</c:v>
                  </c:pt>
                  <c:pt idx="19">
                    <c:v>10</c:v>
                  </c:pt>
                  <c:pt idx="20">
                    <c:v>13</c:v>
                  </c:pt>
                  <c:pt idx="21">
                    <c:v>11</c:v>
                  </c:pt>
                  <c:pt idx="22">
                    <c:v>12</c:v>
                  </c:pt>
                  <c:pt idx="23">
                    <c:v>14</c:v>
                  </c:pt>
                  <c:pt idx="24">
                    <c:v>17</c:v>
                  </c:pt>
                  <c:pt idx="25">
                    <c:v>14</c:v>
                  </c:pt>
                  <c:pt idx="26">
                    <c:v>15</c:v>
                  </c:pt>
                  <c:pt idx="27">
                    <c:v>18</c:v>
                  </c:pt>
                </c:lvl>
                <c:lvl>
                  <c:pt idx="0">
                    <c:v>May</c:v>
                  </c:pt>
                  <c:pt idx="4">
                    <c:v>Jun</c:v>
                  </c:pt>
                  <c:pt idx="9">
                    <c:v>Jul</c:v>
                  </c:pt>
                  <c:pt idx="11">
                    <c:v>Jan</c:v>
                  </c:pt>
                  <c:pt idx="15">
                    <c:v>Feb</c:v>
                  </c:pt>
                  <c:pt idx="19">
                    <c:v>Mar</c:v>
                  </c:pt>
                  <c:pt idx="24">
                    <c:v>Apr</c:v>
                  </c:pt>
                </c:lvl>
              </c:multiLvlStrCache>
            </c:multiLvlStrRef>
          </c:cat>
          <c:val>
            <c:numRef>
              <c:f>Pivot!$Y$5:$Y$32</c:f>
              <c:numCache>
                <c:formatCode>General</c:formatCode>
                <c:ptCount val="28"/>
                <c:pt idx="10">
                  <c:v>6</c:v>
                </c:pt>
              </c:numCache>
            </c:numRef>
          </c:val>
          <c:extLst>
            <c:ext xmlns:c16="http://schemas.microsoft.com/office/drawing/2014/chart" uri="{C3380CC4-5D6E-409C-BE32-E72D297353CC}">
              <c16:uniqueId val="{00000001-CD03-42FE-BF5E-14447B31C105}"/>
            </c:ext>
          </c:extLst>
        </c:ser>
        <c:ser>
          <c:idx val="2"/>
          <c:order val="2"/>
          <c:tx>
            <c:strRef>
              <c:f>Pivot!$Z$3:$Z$4</c:f>
              <c:strCache>
                <c:ptCount val="1"/>
                <c:pt idx="0">
                  <c:v>(ว่าง)</c:v>
                </c:pt>
              </c:strCache>
            </c:strRef>
          </c:tx>
          <c:spPr>
            <a:solidFill>
              <a:schemeClr val="accent3"/>
            </a:solidFill>
            <a:ln>
              <a:noFill/>
            </a:ln>
            <a:effectLst/>
          </c:spPr>
          <c:invertIfNegative val="0"/>
          <c:cat>
            <c:multiLvlStrRef>
              <c:f>Pivot!$V$5:$W$32</c:f>
              <c:multiLvlStrCache>
                <c:ptCount val="28"/>
                <c:lvl>
                  <c:pt idx="0">
                    <c:v>19</c:v>
                  </c:pt>
                  <c:pt idx="1">
                    <c:v>20</c:v>
                  </c:pt>
                  <c:pt idx="2">
                    <c:v>21</c:v>
                  </c:pt>
                  <c:pt idx="3">
                    <c:v>22</c:v>
                  </c:pt>
                  <c:pt idx="4">
                    <c:v>24</c:v>
                  </c:pt>
                  <c:pt idx="5">
                    <c:v>25</c:v>
                  </c:pt>
                  <c:pt idx="6">
                    <c:v>26</c:v>
                  </c:pt>
                  <c:pt idx="7">
                    <c:v>27</c:v>
                  </c:pt>
                  <c:pt idx="8">
                    <c:v>23</c:v>
                  </c:pt>
                  <c:pt idx="9">
                    <c:v>27</c:v>
                  </c:pt>
                  <c:pt idx="10">
                    <c:v>28</c:v>
                  </c:pt>
                  <c:pt idx="11">
                    <c:v>2</c:v>
                  </c:pt>
                  <c:pt idx="12">
                    <c:v>3</c:v>
                  </c:pt>
                  <c:pt idx="13">
                    <c:v>4</c:v>
                  </c:pt>
                  <c:pt idx="14">
                    <c:v>5</c:v>
                  </c:pt>
                  <c:pt idx="15">
                    <c:v>7</c:v>
                  </c:pt>
                  <c:pt idx="16">
                    <c:v>8</c:v>
                  </c:pt>
                  <c:pt idx="17">
                    <c:v>6</c:v>
                  </c:pt>
                  <c:pt idx="18">
                    <c:v>9</c:v>
                  </c:pt>
                  <c:pt idx="19">
                    <c:v>10</c:v>
                  </c:pt>
                  <c:pt idx="20">
                    <c:v>13</c:v>
                  </c:pt>
                  <c:pt idx="21">
                    <c:v>11</c:v>
                  </c:pt>
                  <c:pt idx="22">
                    <c:v>12</c:v>
                  </c:pt>
                  <c:pt idx="23">
                    <c:v>14</c:v>
                  </c:pt>
                  <c:pt idx="24">
                    <c:v>17</c:v>
                  </c:pt>
                  <c:pt idx="25">
                    <c:v>14</c:v>
                  </c:pt>
                  <c:pt idx="26">
                    <c:v>15</c:v>
                  </c:pt>
                  <c:pt idx="27">
                    <c:v>18</c:v>
                  </c:pt>
                </c:lvl>
                <c:lvl>
                  <c:pt idx="0">
                    <c:v>May</c:v>
                  </c:pt>
                  <c:pt idx="4">
                    <c:v>Jun</c:v>
                  </c:pt>
                  <c:pt idx="9">
                    <c:v>Jul</c:v>
                  </c:pt>
                  <c:pt idx="11">
                    <c:v>Jan</c:v>
                  </c:pt>
                  <c:pt idx="15">
                    <c:v>Feb</c:v>
                  </c:pt>
                  <c:pt idx="19">
                    <c:v>Mar</c:v>
                  </c:pt>
                  <c:pt idx="24">
                    <c:v>Apr</c:v>
                  </c:pt>
                </c:lvl>
              </c:multiLvlStrCache>
            </c:multiLvlStrRef>
          </c:cat>
          <c:val>
            <c:numRef>
              <c:f>Pivot!$Z$5:$Z$32</c:f>
              <c:numCache>
                <c:formatCode>General</c:formatCode>
                <c:ptCount val="28"/>
              </c:numCache>
            </c:numRef>
          </c:val>
          <c:extLst>
            <c:ext xmlns:c16="http://schemas.microsoft.com/office/drawing/2014/chart" uri="{C3380CC4-5D6E-409C-BE32-E72D297353CC}">
              <c16:uniqueId val="{00000000-018D-44EC-AD5E-539F9A0E23DB}"/>
            </c:ext>
          </c:extLst>
        </c:ser>
        <c:dLbls>
          <c:showLegendKey val="0"/>
          <c:showVal val="0"/>
          <c:showCatName val="0"/>
          <c:showSerName val="0"/>
          <c:showPercent val="0"/>
          <c:showBubbleSize val="0"/>
        </c:dLbls>
        <c:gapWidth val="100"/>
        <c:overlap val="100"/>
        <c:axId val="1969748831"/>
        <c:axId val="1969753823"/>
      </c:barChart>
      <c:catAx>
        <c:axId val="1969748831"/>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69753823"/>
        <c:crosses val="autoZero"/>
        <c:auto val="1"/>
        <c:lblAlgn val="ctr"/>
        <c:lblOffset val="100"/>
        <c:noMultiLvlLbl val="0"/>
      </c:catAx>
      <c:valAx>
        <c:axId val="1969753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96974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2"/>
    </mc:Choice>
    <mc:Fallback>
      <c:style val="2"/>
    </mc:Fallback>
  </mc:AlternateContent>
  <c:pivotSource>
    <c:name>[NPI Integration Fronted task schedule2026 Rev2 -.xlsx]Pivot!PivotTable32</c:name>
    <c:fmtId val="3"/>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t>Over</a:t>
            </a:r>
            <a:r>
              <a:rPr lang="en-US" baseline="0"/>
              <a:t>due Task</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Pivot!$AE$3:$AE$4</c:f>
              <c:strCache>
                <c:ptCount val="1"/>
                <c:pt idx="0">
                  <c:v>Overdue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multiLvlStrRef>
              <c:f>Pivot!$AC$5:$AD$32</c:f>
              <c:multiLvlStrCache>
                <c:ptCount val="28"/>
                <c:lvl>
                  <c:pt idx="0">
                    <c:v>19</c:v>
                  </c:pt>
                  <c:pt idx="1">
                    <c:v>20</c:v>
                  </c:pt>
                  <c:pt idx="2">
                    <c:v>21</c:v>
                  </c:pt>
                  <c:pt idx="3">
                    <c:v>22</c:v>
                  </c:pt>
                  <c:pt idx="4">
                    <c:v>24</c:v>
                  </c:pt>
                  <c:pt idx="5">
                    <c:v>25</c:v>
                  </c:pt>
                  <c:pt idx="6">
                    <c:v>26</c:v>
                  </c:pt>
                  <c:pt idx="7">
                    <c:v>27</c:v>
                  </c:pt>
                  <c:pt idx="8">
                    <c:v>23</c:v>
                  </c:pt>
                  <c:pt idx="9">
                    <c:v>27</c:v>
                  </c:pt>
                  <c:pt idx="10">
                    <c:v>28</c:v>
                  </c:pt>
                  <c:pt idx="11">
                    <c:v>2</c:v>
                  </c:pt>
                  <c:pt idx="12">
                    <c:v>3</c:v>
                  </c:pt>
                  <c:pt idx="13">
                    <c:v>4</c:v>
                  </c:pt>
                  <c:pt idx="14">
                    <c:v>5</c:v>
                  </c:pt>
                  <c:pt idx="15">
                    <c:v>7</c:v>
                  </c:pt>
                  <c:pt idx="16">
                    <c:v>8</c:v>
                  </c:pt>
                  <c:pt idx="17">
                    <c:v>6</c:v>
                  </c:pt>
                  <c:pt idx="18">
                    <c:v>9</c:v>
                  </c:pt>
                  <c:pt idx="19">
                    <c:v>10</c:v>
                  </c:pt>
                  <c:pt idx="20">
                    <c:v>13</c:v>
                  </c:pt>
                  <c:pt idx="21">
                    <c:v>11</c:v>
                  </c:pt>
                  <c:pt idx="22">
                    <c:v>12</c:v>
                  </c:pt>
                  <c:pt idx="23">
                    <c:v>14</c:v>
                  </c:pt>
                  <c:pt idx="24">
                    <c:v>17</c:v>
                  </c:pt>
                  <c:pt idx="25">
                    <c:v>14</c:v>
                  </c:pt>
                  <c:pt idx="26">
                    <c:v>15</c:v>
                  </c:pt>
                  <c:pt idx="27">
                    <c:v>18</c:v>
                  </c:pt>
                </c:lvl>
                <c:lvl>
                  <c:pt idx="0">
                    <c:v>May</c:v>
                  </c:pt>
                  <c:pt idx="4">
                    <c:v>Jun</c:v>
                  </c:pt>
                  <c:pt idx="9">
                    <c:v>Jul</c:v>
                  </c:pt>
                  <c:pt idx="11">
                    <c:v>Jan</c:v>
                  </c:pt>
                  <c:pt idx="15">
                    <c:v>Feb</c:v>
                  </c:pt>
                  <c:pt idx="19">
                    <c:v>Mar</c:v>
                  </c:pt>
                  <c:pt idx="24">
                    <c:v>Apr</c:v>
                  </c:pt>
                </c:lvl>
              </c:multiLvlStrCache>
            </c:multiLvlStrRef>
          </c:cat>
          <c:val>
            <c:numRef>
              <c:f>Pivot!$AE$5:$AE$32</c:f>
              <c:numCache>
                <c:formatCode>General</c:formatCode>
                <c:ptCount val="28"/>
              </c:numCache>
            </c:numRef>
          </c:val>
          <c:extLst>
            <c:ext xmlns:c16="http://schemas.microsoft.com/office/drawing/2014/chart" uri="{C3380CC4-5D6E-409C-BE32-E72D297353CC}">
              <c16:uniqueId val="{00000000-DC2A-4815-A415-FA206485A752}"/>
            </c:ext>
          </c:extLst>
        </c:ser>
        <c:ser>
          <c:idx val="1"/>
          <c:order val="1"/>
          <c:tx>
            <c:strRef>
              <c:f>Pivot!$AF$3:$AF$4</c:f>
              <c:strCache>
                <c:ptCount val="1"/>
                <c:pt idx="0">
                  <c:v>Closed</c:v>
                </c:pt>
              </c:strCache>
            </c:strRef>
          </c:tx>
          <c:spPr>
            <a:noFill/>
            <a:ln>
              <a:noFill/>
            </a:ln>
            <a:effectLst/>
          </c:spPr>
          <c:invertIfNegative val="0"/>
          <c:cat>
            <c:multiLvlStrRef>
              <c:f>Pivot!$AC$5:$AD$32</c:f>
              <c:multiLvlStrCache>
                <c:ptCount val="28"/>
                <c:lvl>
                  <c:pt idx="0">
                    <c:v>19</c:v>
                  </c:pt>
                  <c:pt idx="1">
                    <c:v>20</c:v>
                  </c:pt>
                  <c:pt idx="2">
                    <c:v>21</c:v>
                  </c:pt>
                  <c:pt idx="3">
                    <c:v>22</c:v>
                  </c:pt>
                  <c:pt idx="4">
                    <c:v>24</c:v>
                  </c:pt>
                  <c:pt idx="5">
                    <c:v>25</c:v>
                  </c:pt>
                  <c:pt idx="6">
                    <c:v>26</c:v>
                  </c:pt>
                  <c:pt idx="7">
                    <c:v>27</c:v>
                  </c:pt>
                  <c:pt idx="8">
                    <c:v>23</c:v>
                  </c:pt>
                  <c:pt idx="9">
                    <c:v>27</c:v>
                  </c:pt>
                  <c:pt idx="10">
                    <c:v>28</c:v>
                  </c:pt>
                  <c:pt idx="11">
                    <c:v>2</c:v>
                  </c:pt>
                  <c:pt idx="12">
                    <c:v>3</c:v>
                  </c:pt>
                  <c:pt idx="13">
                    <c:v>4</c:v>
                  </c:pt>
                  <c:pt idx="14">
                    <c:v>5</c:v>
                  </c:pt>
                  <c:pt idx="15">
                    <c:v>7</c:v>
                  </c:pt>
                  <c:pt idx="16">
                    <c:v>8</c:v>
                  </c:pt>
                  <c:pt idx="17">
                    <c:v>6</c:v>
                  </c:pt>
                  <c:pt idx="18">
                    <c:v>9</c:v>
                  </c:pt>
                  <c:pt idx="19">
                    <c:v>10</c:v>
                  </c:pt>
                  <c:pt idx="20">
                    <c:v>13</c:v>
                  </c:pt>
                  <c:pt idx="21">
                    <c:v>11</c:v>
                  </c:pt>
                  <c:pt idx="22">
                    <c:v>12</c:v>
                  </c:pt>
                  <c:pt idx="23">
                    <c:v>14</c:v>
                  </c:pt>
                  <c:pt idx="24">
                    <c:v>17</c:v>
                  </c:pt>
                  <c:pt idx="25">
                    <c:v>14</c:v>
                  </c:pt>
                  <c:pt idx="26">
                    <c:v>15</c:v>
                  </c:pt>
                  <c:pt idx="27">
                    <c:v>18</c:v>
                  </c:pt>
                </c:lvl>
                <c:lvl>
                  <c:pt idx="0">
                    <c:v>May</c:v>
                  </c:pt>
                  <c:pt idx="4">
                    <c:v>Jun</c:v>
                  </c:pt>
                  <c:pt idx="9">
                    <c:v>Jul</c:v>
                  </c:pt>
                  <c:pt idx="11">
                    <c:v>Jan</c:v>
                  </c:pt>
                  <c:pt idx="15">
                    <c:v>Feb</c:v>
                  </c:pt>
                  <c:pt idx="19">
                    <c:v>Mar</c:v>
                  </c:pt>
                  <c:pt idx="24">
                    <c:v>Apr</c:v>
                  </c:pt>
                </c:lvl>
              </c:multiLvlStrCache>
            </c:multiLvlStrRef>
          </c:cat>
          <c:val>
            <c:numRef>
              <c:f>Pivot!$AF$5:$AF$32</c:f>
              <c:numCache>
                <c:formatCode>General</c:formatCode>
                <c:ptCount val="28"/>
                <c:pt idx="0">
                  <c:v>14</c:v>
                </c:pt>
                <c:pt idx="1">
                  <c:v>28</c:v>
                </c:pt>
                <c:pt idx="2">
                  <c:v>39</c:v>
                </c:pt>
                <c:pt idx="3">
                  <c:v>28</c:v>
                </c:pt>
                <c:pt idx="4">
                  <c:v>35</c:v>
                </c:pt>
                <c:pt idx="5">
                  <c:v>30</c:v>
                </c:pt>
                <c:pt idx="6">
                  <c:v>24</c:v>
                </c:pt>
                <c:pt idx="7">
                  <c:v>21</c:v>
                </c:pt>
                <c:pt idx="8">
                  <c:v>23</c:v>
                </c:pt>
                <c:pt idx="9">
                  <c:v>15</c:v>
                </c:pt>
                <c:pt idx="10">
                  <c:v>26</c:v>
                </c:pt>
                <c:pt idx="11">
                  <c:v>20</c:v>
                </c:pt>
                <c:pt idx="12">
                  <c:v>22</c:v>
                </c:pt>
                <c:pt idx="13">
                  <c:v>26</c:v>
                </c:pt>
                <c:pt idx="14">
                  <c:v>27</c:v>
                </c:pt>
                <c:pt idx="15">
                  <c:v>25</c:v>
                </c:pt>
                <c:pt idx="16">
                  <c:v>26</c:v>
                </c:pt>
                <c:pt idx="17">
                  <c:v>17</c:v>
                </c:pt>
                <c:pt idx="18">
                  <c:v>29</c:v>
                </c:pt>
                <c:pt idx="19">
                  <c:v>21</c:v>
                </c:pt>
                <c:pt idx="20">
                  <c:v>25</c:v>
                </c:pt>
                <c:pt idx="21">
                  <c:v>36</c:v>
                </c:pt>
                <c:pt idx="22">
                  <c:v>34</c:v>
                </c:pt>
                <c:pt idx="23">
                  <c:v>10</c:v>
                </c:pt>
                <c:pt idx="24">
                  <c:v>21</c:v>
                </c:pt>
                <c:pt idx="25">
                  <c:v>11</c:v>
                </c:pt>
                <c:pt idx="26">
                  <c:v>12</c:v>
                </c:pt>
                <c:pt idx="27">
                  <c:v>15</c:v>
                </c:pt>
              </c:numCache>
            </c:numRef>
          </c:val>
          <c:extLst>
            <c:ext xmlns:c16="http://schemas.microsoft.com/office/drawing/2014/chart" uri="{C3380CC4-5D6E-409C-BE32-E72D297353CC}">
              <c16:uniqueId val="{00000001-DC2A-4815-A415-FA206485A752}"/>
            </c:ext>
          </c:extLst>
        </c:ser>
        <c:ser>
          <c:idx val="2"/>
          <c:order val="2"/>
          <c:tx>
            <c:strRef>
              <c:f>Pivot!$AG$3:$AG$4</c:f>
              <c:strCache>
                <c:ptCount val="1"/>
                <c:pt idx="0">
                  <c:v>On time</c:v>
                </c:pt>
              </c:strCache>
            </c:strRef>
          </c:tx>
          <c:spPr>
            <a:noFill/>
            <a:ln>
              <a:noFill/>
            </a:ln>
            <a:effectLst/>
          </c:spPr>
          <c:invertIfNegative val="0"/>
          <c:cat>
            <c:multiLvlStrRef>
              <c:f>Pivot!$AC$5:$AD$32</c:f>
              <c:multiLvlStrCache>
                <c:ptCount val="28"/>
                <c:lvl>
                  <c:pt idx="0">
                    <c:v>19</c:v>
                  </c:pt>
                  <c:pt idx="1">
                    <c:v>20</c:v>
                  </c:pt>
                  <c:pt idx="2">
                    <c:v>21</c:v>
                  </c:pt>
                  <c:pt idx="3">
                    <c:v>22</c:v>
                  </c:pt>
                  <c:pt idx="4">
                    <c:v>24</c:v>
                  </c:pt>
                  <c:pt idx="5">
                    <c:v>25</c:v>
                  </c:pt>
                  <c:pt idx="6">
                    <c:v>26</c:v>
                  </c:pt>
                  <c:pt idx="7">
                    <c:v>27</c:v>
                  </c:pt>
                  <c:pt idx="8">
                    <c:v>23</c:v>
                  </c:pt>
                  <c:pt idx="9">
                    <c:v>27</c:v>
                  </c:pt>
                  <c:pt idx="10">
                    <c:v>28</c:v>
                  </c:pt>
                  <c:pt idx="11">
                    <c:v>2</c:v>
                  </c:pt>
                  <c:pt idx="12">
                    <c:v>3</c:v>
                  </c:pt>
                  <c:pt idx="13">
                    <c:v>4</c:v>
                  </c:pt>
                  <c:pt idx="14">
                    <c:v>5</c:v>
                  </c:pt>
                  <c:pt idx="15">
                    <c:v>7</c:v>
                  </c:pt>
                  <c:pt idx="16">
                    <c:v>8</c:v>
                  </c:pt>
                  <c:pt idx="17">
                    <c:v>6</c:v>
                  </c:pt>
                  <c:pt idx="18">
                    <c:v>9</c:v>
                  </c:pt>
                  <c:pt idx="19">
                    <c:v>10</c:v>
                  </c:pt>
                  <c:pt idx="20">
                    <c:v>13</c:v>
                  </c:pt>
                  <c:pt idx="21">
                    <c:v>11</c:v>
                  </c:pt>
                  <c:pt idx="22">
                    <c:v>12</c:v>
                  </c:pt>
                  <c:pt idx="23">
                    <c:v>14</c:v>
                  </c:pt>
                  <c:pt idx="24">
                    <c:v>17</c:v>
                  </c:pt>
                  <c:pt idx="25">
                    <c:v>14</c:v>
                  </c:pt>
                  <c:pt idx="26">
                    <c:v>15</c:v>
                  </c:pt>
                  <c:pt idx="27">
                    <c:v>18</c:v>
                  </c:pt>
                </c:lvl>
                <c:lvl>
                  <c:pt idx="0">
                    <c:v>May</c:v>
                  </c:pt>
                  <c:pt idx="4">
                    <c:v>Jun</c:v>
                  </c:pt>
                  <c:pt idx="9">
                    <c:v>Jul</c:v>
                  </c:pt>
                  <c:pt idx="11">
                    <c:v>Jan</c:v>
                  </c:pt>
                  <c:pt idx="15">
                    <c:v>Feb</c:v>
                  </c:pt>
                  <c:pt idx="19">
                    <c:v>Mar</c:v>
                  </c:pt>
                  <c:pt idx="24">
                    <c:v>Apr</c:v>
                  </c:pt>
                </c:lvl>
              </c:multiLvlStrCache>
            </c:multiLvlStrRef>
          </c:cat>
          <c:val>
            <c:numRef>
              <c:f>Pivot!$AG$5:$AG$32</c:f>
              <c:numCache>
                <c:formatCode>General</c:formatCode>
                <c:ptCount val="28"/>
                <c:pt idx="10">
                  <c:v>6</c:v>
                </c:pt>
              </c:numCache>
            </c:numRef>
          </c:val>
          <c:extLst>
            <c:ext xmlns:c16="http://schemas.microsoft.com/office/drawing/2014/chart" uri="{C3380CC4-5D6E-409C-BE32-E72D297353CC}">
              <c16:uniqueId val="{00000002-DC2A-4815-A415-FA206485A752}"/>
            </c:ext>
          </c:extLst>
        </c:ser>
        <c:ser>
          <c:idx val="3"/>
          <c:order val="3"/>
          <c:tx>
            <c:strRef>
              <c:f>Pivot!$AH$3:$AH$4</c:f>
              <c:strCache>
                <c:ptCount val="1"/>
                <c:pt idx="0">
                  <c:v>(ว่าง)</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multiLvlStrRef>
              <c:f>Pivot!$AC$5:$AD$32</c:f>
              <c:multiLvlStrCache>
                <c:ptCount val="28"/>
                <c:lvl>
                  <c:pt idx="0">
                    <c:v>19</c:v>
                  </c:pt>
                  <c:pt idx="1">
                    <c:v>20</c:v>
                  </c:pt>
                  <c:pt idx="2">
                    <c:v>21</c:v>
                  </c:pt>
                  <c:pt idx="3">
                    <c:v>22</c:v>
                  </c:pt>
                  <c:pt idx="4">
                    <c:v>24</c:v>
                  </c:pt>
                  <c:pt idx="5">
                    <c:v>25</c:v>
                  </c:pt>
                  <c:pt idx="6">
                    <c:v>26</c:v>
                  </c:pt>
                  <c:pt idx="7">
                    <c:v>27</c:v>
                  </c:pt>
                  <c:pt idx="8">
                    <c:v>23</c:v>
                  </c:pt>
                  <c:pt idx="9">
                    <c:v>27</c:v>
                  </c:pt>
                  <c:pt idx="10">
                    <c:v>28</c:v>
                  </c:pt>
                  <c:pt idx="11">
                    <c:v>2</c:v>
                  </c:pt>
                  <c:pt idx="12">
                    <c:v>3</c:v>
                  </c:pt>
                  <c:pt idx="13">
                    <c:v>4</c:v>
                  </c:pt>
                  <c:pt idx="14">
                    <c:v>5</c:v>
                  </c:pt>
                  <c:pt idx="15">
                    <c:v>7</c:v>
                  </c:pt>
                  <c:pt idx="16">
                    <c:v>8</c:v>
                  </c:pt>
                  <c:pt idx="17">
                    <c:v>6</c:v>
                  </c:pt>
                  <c:pt idx="18">
                    <c:v>9</c:v>
                  </c:pt>
                  <c:pt idx="19">
                    <c:v>10</c:v>
                  </c:pt>
                  <c:pt idx="20">
                    <c:v>13</c:v>
                  </c:pt>
                  <c:pt idx="21">
                    <c:v>11</c:v>
                  </c:pt>
                  <c:pt idx="22">
                    <c:v>12</c:v>
                  </c:pt>
                  <c:pt idx="23">
                    <c:v>14</c:v>
                  </c:pt>
                  <c:pt idx="24">
                    <c:v>17</c:v>
                  </c:pt>
                  <c:pt idx="25">
                    <c:v>14</c:v>
                  </c:pt>
                  <c:pt idx="26">
                    <c:v>15</c:v>
                  </c:pt>
                  <c:pt idx="27">
                    <c:v>18</c:v>
                  </c:pt>
                </c:lvl>
                <c:lvl>
                  <c:pt idx="0">
                    <c:v>May</c:v>
                  </c:pt>
                  <c:pt idx="4">
                    <c:v>Jun</c:v>
                  </c:pt>
                  <c:pt idx="9">
                    <c:v>Jul</c:v>
                  </c:pt>
                  <c:pt idx="11">
                    <c:v>Jan</c:v>
                  </c:pt>
                  <c:pt idx="15">
                    <c:v>Feb</c:v>
                  </c:pt>
                  <c:pt idx="19">
                    <c:v>Mar</c:v>
                  </c:pt>
                  <c:pt idx="24">
                    <c:v>Apr</c:v>
                  </c:pt>
                </c:lvl>
              </c:multiLvlStrCache>
            </c:multiLvlStrRef>
          </c:cat>
          <c:val>
            <c:numRef>
              <c:f>Pivot!$AH$5:$AH$32</c:f>
              <c:numCache>
                <c:formatCode>General</c:formatCode>
                <c:ptCount val="28"/>
              </c:numCache>
            </c:numRef>
          </c:val>
          <c:extLst>
            <c:ext xmlns:c16="http://schemas.microsoft.com/office/drawing/2014/chart" uri="{C3380CC4-5D6E-409C-BE32-E72D297353CC}">
              <c16:uniqueId val="{00000000-53AB-48BF-BAB4-5AD896945EC3}"/>
            </c:ext>
          </c:extLst>
        </c:ser>
        <c:dLbls>
          <c:showLegendKey val="0"/>
          <c:showVal val="0"/>
          <c:showCatName val="0"/>
          <c:showSerName val="0"/>
          <c:showPercent val="0"/>
          <c:showBubbleSize val="0"/>
        </c:dLbls>
        <c:gapWidth val="100"/>
        <c:overlap val="100"/>
        <c:axId val="1823700671"/>
        <c:axId val="1823713567"/>
      </c:barChart>
      <c:catAx>
        <c:axId val="1823700671"/>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23713567"/>
        <c:crosses val="autoZero"/>
        <c:auto val="1"/>
        <c:lblAlgn val="ctr"/>
        <c:lblOffset val="100"/>
        <c:noMultiLvlLbl val="0"/>
      </c:catAx>
      <c:valAx>
        <c:axId val="1823713567"/>
        <c:scaling>
          <c:orientation val="minMax"/>
        </c:scaling>
        <c:delete val="1"/>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182370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h-TH"/>
  <c:roundedCorners val="0"/>
  <mc:AlternateContent xmlns:mc="http://schemas.openxmlformats.org/markup-compatibility/2006">
    <mc:Choice xmlns:c14="http://schemas.microsoft.com/office/drawing/2007/8/2/chart" Requires="c14">
      <c14:style val="102"/>
    </mc:Choice>
    <mc:Fallback>
      <c:style val="2"/>
    </mc:Fallback>
  </mc:AlternateContent>
  <c:pivotSource>
    <c:name>[NPI Integration Fronted task schedule2026 Rev2 -.xlsx]Pivot!PivotTable27</c:name>
    <c:fmtId val="22"/>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Task RATIO</a:t>
            </a:r>
          </a:p>
        </c:rich>
      </c:tx>
      <c:layout>
        <c:manualLayout>
          <c:xMode val="edge"/>
          <c:yMode val="edge"/>
          <c:x val="0.34412405996420259"/>
          <c:y val="0"/>
        </c:manualLayout>
      </c:layout>
      <c:overlay val="0"/>
      <c:spPr>
        <a:noFill/>
        <a:ln>
          <a:noFill/>
        </a:ln>
        <a:effectLst/>
      </c:spPr>
    </c:title>
    <c:autoTitleDeleted val="0"/>
    <c:pivotFmts>
      <c:pivotFmt>
        <c:idx val="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dLbl>
          <c:idx val="0"/>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dLbl>
          <c:idx val="0"/>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dLbl>
          <c:idx val="0"/>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dLbl>
          <c:idx val="0"/>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dLbl>
          <c:idx val="0"/>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dLbl>
          <c:idx val="0"/>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9"/>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2"/>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3"/>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4"/>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5"/>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16"/>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8"/>
        <c:spPr>
          <a:solidFill>
            <a:srgbClr val="FF99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19"/>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0"/>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1"/>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3"/>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4"/>
        <c:dLbl>
          <c:idx val="0"/>
          <c:dLblPos val="bestFit"/>
          <c:showLegendKey val="0"/>
          <c:showVal val="0"/>
          <c:showCatName val="1"/>
          <c:showSerName val="0"/>
          <c:showPercent val="1"/>
          <c:showBubbleSize val="0"/>
          <c:extLst>
            <c:ext xmlns:c15="http://schemas.microsoft.com/office/drawing/2012/chart" uri="{CE6537A1-D6FC-4f65-9D91-7224C49458BB}">
              <c15:xForSave val="1"/>
            </c:ext>
          </c:extLst>
        </c:dLbl>
      </c:pivotFmt>
      <c:pivotFmt>
        <c:idx val="25"/>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6"/>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7"/>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8"/>
        <c:dLbl>
          <c:idx val="0"/>
          <c:dLblPos val="bestFit"/>
          <c:showLegendKey val="0"/>
          <c:showVal val="0"/>
          <c:showCatName val="1"/>
          <c:showSerName val="0"/>
          <c:showPercent val="1"/>
          <c:showBubbleSize val="0"/>
          <c:extLst>
            <c:ext xmlns:c15="http://schemas.microsoft.com/office/drawing/2012/chart" uri="{CE6537A1-D6FC-4f65-9D91-7224C49458BB}"/>
          </c:extLst>
        </c:dLbl>
      </c:pivotFmt>
      <c:pivotFmt>
        <c:idx val="29"/>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0"/>
        <c:spPr>
          <a:solidFill>
            <a:srgbClr val="00B05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1"/>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2"/>
        <c:spPr>
          <a:solidFill>
            <a:schemeClr val="accent2">
              <a:lumMod val="20000"/>
              <a:lumOff val="80000"/>
            </a:schemeClr>
          </a:solidFill>
        </c:spPr>
      </c:pivotFmt>
      <c:pivotFmt>
        <c:idx val="33"/>
      </c:pivotFmt>
      <c:pivotFmt>
        <c:idx val="34"/>
        <c:spPr>
          <a:solidFill>
            <a:srgbClr val="00CCFF"/>
          </a:solidFill>
        </c:spPr>
      </c:pivotFmt>
      <c:pivotFmt>
        <c:idx val="35"/>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7"/>
        <c:spPr>
          <a:solidFill>
            <a:srgbClr val="FF99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8"/>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9"/>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1"/>
        <c:spPr>
          <a:solidFill>
            <a:srgbClr val="00B05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2"/>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3"/>
        <c:spPr>
          <a:solidFill>
            <a:schemeClr val="accent2">
              <a:lumMod val="20000"/>
              <a:lumOff val="80000"/>
            </a:schemeClr>
          </a:solidFill>
        </c:spPr>
      </c:pivotFmt>
      <c:pivotFmt>
        <c:idx val="44"/>
        <c:spPr>
          <a:solidFill>
            <a:srgbClr val="00CCFF"/>
          </a:solidFill>
        </c:spPr>
      </c:pivotFmt>
      <c:pivotFmt>
        <c:idx val="45"/>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7"/>
        <c:spPr>
          <a:solidFill>
            <a:srgbClr val="FF99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8"/>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9"/>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1"/>
        <c:spPr>
          <a:solidFill>
            <a:srgbClr val="00B05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2"/>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3"/>
        <c:spPr>
          <a:solidFill>
            <a:schemeClr val="accent2">
              <a:lumMod val="20000"/>
              <a:lumOff val="80000"/>
            </a:schemeClr>
          </a:solidFill>
        </c:spPr>
      </c:pivotFmt>
      <c:pivotFmt>
        <c:idx val="54"/>
        <c:spPr>
          <a:solidFill>
            <a:srgbClr val="00CCFF"/>
          </a:solidFill>
        </c:spPr>
      </c:pivotFmt>
      <c:pivotFmt>
        <c:idx val="55"/>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7"/>
        <c:spPr>
          <a:solidFill>
            <a:srgbClr val="FF99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8"/>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9"/>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1"/>
        <c:spPr>
          <a:solidFill>
            <a:srgbClr val="00B05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2"/>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3"/>
        <c:spPr>
          <a:solidFill>
            <a:schemeClr val="accent2">
              <a:lumMod val="20000"/>
              <a:lumOff val="80000"/>
            </a:schemeClr>
          </a:solidFill>
        </c:spPr>
      </c:pivotFmt>
      <c:pivotFmt>
        <c:idx val="64"/>
        <c:spPr>
          <a:solidFill>
            <a:srgbClr val="00CCFF"/>
          </a:solidFill>
        </c:spPr>
      </c:pivotFmt>
      <c:pivotFmt>
        <c:idx val="65"/>
        <c:marker>
          <c:symbol val="none"/>
        </c:marker>
        <c:dLbl>
          <c:idx val="0"/>
          <c:spPr>
            <a:noFill/>
            <a:ln>
              <a:noFill/>
            </a:ln>
            <a:effectLst/>
          </c:spPr>
          <c:txPr>
            <a:bodyPr wrap="square" lIns="38100" tIns="19050" rIns="38100" bIns="19050" anchor="ctr">
              <a:spAutoFit/>
            </a:bodyPr>
            <a:lstStyle/>
            <a:p>
              <a:pPr>
                <a:defRPr sz="1000" b="1" i="0">
                  <a:solidFill>
                    <a:srgbClr val="FFFFFF"/>
                  </a:solidFill>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7"/>
        <c:spPr>
          <a:solidFill>
            <a:srgbClr val="FF99FF"/>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8"/>
        <c:spPr>
          <a:solidFill>
            <a:srgbClr val="D9D9D9"/>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9"/>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1"/>
        <c:spPr>
          <a:solidFill>
            <a:srgbClr val="00B05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2"/>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3"/>
        <c:spPr>
          <a:solidFill>
            <a:schemeClr val="accent2">
              <a:lumMod val="20000"/>
              <a:lumOff val="80000"/>
            </a:schemeClr>
          </a:solidFill>
        </c:spPr>
      </c:pivotFmt>
      <c:pivotFmt>
        <c:idx val="74"/>
        <c:spPr>
          <a:solidFill>
            <a:srgbClr val="FF99FF"/>
          </a:solidFill>
        </c:spPr>
      </c:pivotFmt>
      <c:pivotFmt>
        <c:idx val="75"/>
        <c:spPr>
          <a:solidFill>
            <a:srgbClr val="0070C0"/>
          </a:solidFill>
        </c:spPr>
      </c:pivotFmt>
      <c:pivotFmt>
        <c:idx val="76"/>
        <c:spPr>
          <a:solidFill>
            <a:srgbClr val="002060"/>
          </a:solidFill>
        </c:spPr>
      </c:pivotFmt>
    </c:pivotFmts>
    <c:plotArea>
      <c:layout>
        <c:manualLayout>
          <c:layoutTarget val="inner"/>
          <c:xMode val="edge"/>
          <c:yMode val="edge"/>
          <c:x val="0.22539501649697385"/>
          <c:y val="0.17230739014766014"/>
          <c:w val="0.71138718298456127"/>
          <c:h val="0.5932869105647508"/>
        </c:manualLayout>
      </c:layout>
      <c:doughnutChart>
        <c:varyColors val="1"/>
        <c:ser>
          <c:idx val="0"/>
          <c:order val="0"/>
          <c:tx>
            <c:strRef>
              <c:f>Pivot!$D$3</c:f>
              <c:strCache>
                <c:ptCount val="1"/>
                <c:pt idx="0">
                  <c:v>ผลรวม</c:v>
                </c:pt>
              </c:strCache>
            </c:strRef>
          </c:tx>
          <c:dPt>
            <c:idx val="0"/>
            <c:bubble3D val="0"/>
            <c:spPr>
              <a:solidFill>
                <a:srgbClr val="C00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6428-4890-8448-20504B873F6A}"/>
              </c:ext>
            </c:extLst>
          </c:dPt>
          <c:dPt>
            <c:idx val="1"/>
            <c:bubble3D val="0"/>
            <c:spPr>
              <a:solidFill>
                <a:srgbClr val="002060"/>
              </a:solidFill>
            </c:spPr>
            <c:extLst>
              <c:ext xmlns:c16="http://schemas.microsoft.com/office/drawing/2014/chart" uri="{C3380CC4-5D6E-409C-BE32-E72D297353CC}">
                <c16:uniqueId val="{00000003-6428-4890-8448-20504B873F6A}"/>
              </c:ext>
            </c:extLst>
          </c:dPt>
          <c:dPt>
            <c:idx val="2"/>
            <c:bubble3D val="0"/>
            <c:spPr>
              <a:solidFill>
                <a:srgbClr val="0070C0"/>
              </a:solidFill>
            </c:spPr>
            <c:extLst>
              <c:ext xmlns:c16="http://schemas.microsoft.com/office/drawing/2014/chart" uri="{C3380CC4-5D6E-409C-BE32-E72D297353CC}">
                <c16:uniqueId val="{00000005-6428-4890-8448-20504B873F6A}"/>
              </c:ext>
            </c:extLst>
          </c:dPt>
          <c:dPt>
            <c:idx val="3"/>
            <c:bubble3D val="0"/>
            <c:spPr>
              <a:solidFill>
                <a:srgbClr val="D9D9D9"/>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6428-4890-8448-20504B873F6A}"/>
              </c:ext>
            </c:extLst>
          </c:dPt>
          <c:dPt>
            <c:idx val="4"/>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6428-4890-8448-20504B873F6A}"/>
              </c:ext>
            </c:extLst>
          </c:dPt>
          <c:dPt>
            <c:idx val="5"/>
            <c:bubble3D val="0"/>
            <c:spPr>
              <a:solidFill>
                <a:srgbClr val="00B05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6428-4890-8448-20504B873F6A}"/>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6428-4890-8448-20504B873F6A}"/>
              </c:ext>
            </c:extLst>
          </c:dPt>
          <c:dPt>
            <c:idx val="7"/>
            <c:bubble3D val="0"/>
            <c:spPr>
              <a:solidFill>
                <a:schemeClr val="accent2">
                  <a:lumMod val="20000"/>
                  <a:lumOff val="80000"/>
                </a:schemeClr>
              </a:solidFill>
            </c:spPr>
            <c:extLst>
              <c:ext xmlns:c16="http://schemas.microsoft.com/office/drawing/2014/chart" uri="{C3380CC4-5D6E-409C-BE32-E72D297353CC}">
                <c16:uniqueId val="{0000000F-6428-4890-8448-20504B873F6A}"/>
              </c:ext>
            </c:extLst>
          </c:dPt>
          <c:dPt>
            <c:idx val="8"/>
            <c:bubble3D val="0"/>
            <c:spPr>
              <a:solidFill>
                <a:srgbClr val="FF99FF"/>
              </a:solidFill>
            </c:spPr>
            <c:extLst>
              <c:ext xmlns:c16="http://schemas.microsoft.com/office/drawing/2014/chart" uri="{C3380CC4-5D6E-409C-BE32-E72D297353CC}">
                <c16:uniqueId val="{00000011-6428-4890-8448-20504B873F6A}"/>
              </c:ext>
            </c:extLst>
          </c:dPt>
          <c:dLbls>
            <c:spPr>
              <a:noFill/>
              <a:ln>
                <a:noFill/>
              </a:ln>
              <a:effectLst/>
            </c:spPr>
            <c:txPr>
              <a:bodyPr wrap="square" lIns="38100" tIns="19050" rIns="38100" bIns="19050" anchor="ctr">
                <a:spAutoFit/>
              </a:bodyPr>
              <a:lstStyle/>
              <a:p>
                <a:pPr>
                  <a:defRPr sz="1000" b="1" i="0">
                    <a:solidFill>
                      <a:srgbClr val="FFFFFF"/>
                    </a:solidFill>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Pivot!$C$4:$C$12</c:f>
              <c:strCache>
                <c:ptCount val="9"/>
                <c:pt idx="0">
                  <c:v>NPI</c:v>
                </c:pt>
                <c:pt idx="1">
                  <c:v>DFM Mold</c:v>
                </c:pt>
                <c:pt idx="2">
                  <c:v>Part DFM</c:v>
                </c:pt>
                <c:pt idx="3">
                  <c:v>MEETING</c:v>
                </c:pt>
                <c:pt idx="4">
                  <c:v>OTHER</c:v>
                </c:pt>
                <c:pt idx="5">
                  <c:v>DFA</c:v>
                </c:pt>
                <c:pt idx="6">
                  <c:v>PROJECT</c:v>
                </c:pt>
                <c:pt idx="7">
                  <c:v>RFQ</c:v>
                </c:pt>
                <c:pt idx="8">
                  <c:v>PACKING</c:v>
                </c:pt>
              </c:strCache>
            </c:strRef>
          </c:cat>
          <c:val>
            <c:numRef>
              <c:f>Pivot!$D$4:$D$12</c:f>
              <c:numCache>
                <c:formatCode>General</c:formatCode>
                <c:ptCount val="9"/>
                <c:pt idx="0">
                  <c:v>187</c:v>
                </c:pt>
                <c:pt idx="1">
                  <c:v>64</c:v>
                </c:pt>
                <c:pt idx="2">
                  <c:v>15</c:v>
                </c:pt>
                <c:pt idx="3">
                  <c:v>75</c:v>
                </c:pt>
                <c:pt idx="4">
                  <c:v>31</c:v>
                </c:pt>
                <c:pt idx="5">
                  <c:v>20</c:v>
                </c:pt>
                <c:pt idx="6">
                  <c:v>7</c:v>
                </c:pt>
                <c:pt idx="7">
                  <c:v>67</c:v>
                </c:pt>
                <c:pt idx="8">
                  <c:v>199</c:v>
                </c:pt>
              </c:numCache>
            </c:numRef>
          </c:val>
          <c:extLst>
            <c:ext xmlns:c16="http://schemas.microsoft.com/office/drawing/2014/chart" uri="{C3380CC4-5D6E-409C-BE32-E72D297353CC}">
              <c16:uniqueId val="{00000012-6428-4890-8448-20504B873F6A}"/>
            </c:ext>
          </c:extLst>
        </c:ser>
        <c:dLbls>
          <c:showLegendKey val="0"/>
          <c:showVal val="0"/>
          <c:showCatName val="0"/>
          <c:showSerName val="0"/>
          <c:showPercent val="0"/>
          <c:showBubbleSize val="0"/>
          <c:showLeaderLines val="1"/>
        </c:dLbls>
        <c:firstSliceAng val="0"/>
        <c:holeSize val="40"/>
      </c:doughnutChart>
      <c:spPr>
        <a:noFill/>
        <a:ln>
          <a:noFill/>
        </a:ln>
        <a:effectLst/>
        <a:sp3d/>
      </c:spPr>
    </c:plotArea>
    <c:legend>
      <c:legendPos val="r"/>
      <c:layout>
        <c:manualLayout>
          <c:xMode val="edge"/>
          <c:yMode val="edge"/>
          <c:x val="0.80932834267943443"/>
          <c:y val="0.14802110245131836"/>
          <c:w val="0.19067171370312991"/>
          <c:h val="0.72690792075648092"/>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absolute">
    <xdr:from>
      <xdr:col>10</xdr:col>
      <xdr:colOff>447674</xdr:colOff>
      <xdr:row>0</xdr:row>
      <xdr:rowOff>0</xdr:rowOff>
    </xdr:from>
    <xdr:to>
      <xdr:col>16</xdr:col>
      <xdr:colOff>1145070</xdr:colOff>
      <xdr:row>21</xdr:row>
      <xdr:rowOff>0</xdr:rowOff>
    </xdr:to>
    <xdr:graphicFrame macro="">
      <xdr:nvGraphicFramePr>
        <xdr:cNvPr id="3" name="Chart 2">
          <a:extLst>
            <a:ext uri="{FF2B5EF4-FFF2-40B4-BE49-F238E27FC236}">
              <a16:creationId xmlns:a16="http://schemas.microsoft.com/office/drawing/2014/main" id="{920D32A2-A170-40A6-9E94-14254526C6C7}"/>
            </a:ext>
            <a:ext uri="{147F2762-F138-4A5C-976F-8EAC2B608ADB}">
              <a16:predDERef xmlns:a16="http://schemas.microsoft.com/office/drawing/2014/main" pred="{A3F85DD1-FB6E-47DE-8A09-29A205C93B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609600</xdr:colOff>
      <xdr:row>0</xdr:row>
      <xdr:rowOff>0</xdr:rowOff>
    </xdr:from>
    <xdr:to>
      <xdr:col>2</xdr:col>
      <xdr:colOff>34925</xdr:colOff>
      <xdr:row>40</xdr:row>
      <xdr:rowOff>76200</xdr:rowOff>
    </xdr:to>
    <mc:AlternateContent xmlns:mc="http://schemas.openxmlformats.org/markup-compatibility/2006" xmlns:a14="http://schemas.microsoft.com/office/drawing/2010/main">
      <mc:Choice Requires="a14">
        <xdr:graphicFrame macro="">
          <xdr:nvGraphicFramePr>
            <xdr:cNvPr id="8" name="WW 1">
              <a:extLst>
                <a:ext uri="{FF2B5EF4-FFF2-40B4-BE49-F238E27FC236}">
                  <a16:creationId xmlns:a16="http://schemas.microsoft.com/office/drawing/2014/main" id="{9E862E09-84AE-4872-BF9F-7D797868BACA}"/>
                </a:ext>
                <a:ext uri="{147F2762-F138-4A5C-976F-8EAC2B608ADB}">
                  <a16:predDERef xmlns:a16="http://schemas.microsoft.com/office/drawing/2014/main" pred="{920D32A2-A170-40A6-9E94-14254526C6C7}"/>
                </a:ext>
              </a:extLst>
            </xdr:cNvPr>
            <xdr:cNvGraphicFramePr/>
          </xdr:nvGraphicFramePr>
          <xdr:xfrm>
            <a:off x="0" y="0"/>
            <a:ext cx="0" cy="0"/>
          </xdr:xfrm>
          <a:graphic>
            <a:graphicData uri="http://schemas.microsoft.com/office/drawing/2010/slicer">
              <sle:slicer xmlns:sle="http://schemas.microsoft.com/office/drawing/2010/slicer" name="WW 1"/>
            </a:graphicData>
          </a:graphic>
        </xdr:graphicFrame>
      </mc:Choice>
      <mc:Fallback xmlns="">
        <xdr:sp macro="" textlink="">
          <xdr:nvSpPr>
            <xdr:cNvPr id="0" name=""/>
            <xdr:cNvSpPr>
              <a:spLocks noTextEdit="1"/>
            </xdr:cNvSpPr>
          </xdr:nvSpPr>
          <xdr:spPr>
            <a:xfrm>
              <a:off x="619125" y="0"/>
              <a:ext cx="609600" cy="579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0</xdr:row>
      <xdr:rowOff>0</xdr:rowOff>
    </xdr:from>
    <xdr:to>
      <xdr:col>0</xdr:col>
      <xdr:colOff>558800</xdr:colOff>
      <xdr:row>40</xdr:row>
      <xdr:rowOff>76200</xdr:rowOff>
    </xdr:to>
    <mc:AlternateContent xmlns:mc="http://schemas.openxmlformats.org/markup-compatibility/2006" xmlns:a14="http://schemas.microsoft.com/office/drawing/2010/main">
      <mc:Choice Requires="a14">
        <xdr:graphicFrame macro="">
          <xdr:nvGraphicFramePr>
            <xdr:cNvPr id="9" name="Month 1">
              <a:extLst>
                <a:ext uri="{FF2B5EF4-FFF2-40B4-BE49-F238E27FC236}">
                  <a16:creationId xmlns:a16="http://schemas.microsoft.com/office/drawing/2014/main" id="{5D6B9F93-5314-4D19-AA2B-D51DD4E104B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9525" y="0"/>
              <a:ext cx="552450" cy="579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1847850</xdr:colOff>
      <xdr:row>42</xdr:row>
      <xdr:rowOff>47625</xdr:rowOff>
    </xdr:from>
    <xdr:ext cx="876009" cy="311496"/>
    <xdr:sp macro="" textlink="">
      <xdr:nvSpPr>
        <xdr:cNvPr id="10" name="TextBox 9">
          <a:extLst>
            <a:ext uri="{FF2B5EF4-FFF2-40B4-BE49-F238E27FC236}">
              <a16:creationId xmlns:a16="http://schemas.microsoft.com/office/drawing/2014/main" id="{755F48F9-B657-4777-B562-8FDC513837EC}"/>
            </a:ext>
            <a:ext uri="{147F2762-F138-4A5C-976F-8EAC2B608ADB}">
              <a16:predDERef xmlns:a16="http://schemas.microsoft.com/office/drawing/2014/main" pred="{08567B4E-F399-4F15-AFB9-9C2A2FA9E6F4}"/>
            </a:ext>
          </a:extLst>
        </xdr:cNvPr>
        <xdr:cNvSpPr txBox="1"/>
      </xdr:nvSpPr>
      <xdr:spPr>
        <a:xfrm>
          <a:off x="3933825" y="6048375"/>
          <a:ext cx="87600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t>On time :</a:t>
          </a:r>
        </a:p>
      </xdr:txBody>
    </xdr:sp>
    <xdr:clientData/>
  </xdr:oneCellAnchor>
  <xdr:oneCellAnchor>
    <xdr:from>
      <xdr:col>4</xdr:col>
      <xdr:colOff>1857375</xdr:colOff>
      <xdr:row>44</xdr:row>
      <xdr:rowOff>95250</xdr:rowOff>
    </xdr:from>
    <xdr:ext cx="696088" cy="311496"/>
    <xdr:sp macro="" textlink="">
      <xdr:nvSpPr>
        <xdr:cNvPr id="11" name="TextBox 10">
          <a:extLst>
            <a:ext uri="{FF2B5EF4-FFF2-40B4-BE49-F238E27FC236}">
              <a16:creationId xmlns:a16="http://schemas.microsoft.com/office/drawing/2014/main" id="{0A942624-F117-42AC-A668-E53FD05B842B}"/>
            </a:ext>
            <a:ext uri="{147F2762-F138-4A5C-976F-8EAC2B608ADB}">
              <a16:predDERef xmlns:a16="http://schemas.microsoft.com/office/drawing/2014/main" pred="{0AF131E7-C78C-4377-BB3F-F48D0267AEFD}"/>
            </a:ext>
          </a:extLst>
        </xdr:cNvPr>
        <xdr:cNvSpPr txBox="1"/>
      </xdr:nvSpPr>
      <xdr:spPr>
        <a:xfrm>
          <a:off x="3943350" y="6381750"/>
          <a:ext cx="69608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t>Delay :</a:t>
          </a:r>
        </a:p>
      </xdr:txBody>
    </xdr:sp>
    <xdr:clientData/>
  </xdr:oneCellAnchor>
  <xdr:oneCellAnchor>
    <xdr:from>
      <xdr:col>6</xdr:col>
      <xdr:colOff>171450</xdr:colOff>
      <xdr:row>41</xdr:row>
      <xdr:rowOff>133350</xdr:rowOff>
    </xdr:from>
    <xdr:ext cx="1028700" cy="371475"/>
    <xdr:sp macro="" textlink="Pivot!BB4">
      <xdr:nvSpPr>
        <xdr:cNvPr id="12" name="TextBox 11">
          <a:extLst>
            <a:ext uri="{FF2B5EF4-FFF2-40B4-BE49-F238E27FC236}">
              <a16:creationId xmlns:a16="http://schemas.microsoft.com/office/drawing/2014/main" id="{4720E0D9-847D-4AA6-A249-E3C1DF545441}"/>
            </a:ext>
            <a:ext uri="{147F2762-F138-4A5C-976F-8EAC2B608ADB}">
              <a16:predDERef xmlns:a16="http://schemas.microsoft.com/office/drawing/2014/main" pred="{6F41818A-ACB5-4318-BB1A-7A07D839F824}"/>
            </a:ext>
          </a:extLst>
        </xdr:cNvPr>
        <xdr:cNvSpPr txBox="1"/>
      </xdr:nvSpPr>
      <xdr:spPr>
        <a:xfrm>
          <a:off x="4733925" y="5991225"/>
          <a:ext cx="1028700" cy="371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fld id="{50EC429C-26DB-44D3-8BFA-713558B71BF2}" type="TxLink">
            <a:rPr lang="en-US" sz="1800" b="1" i="0" u="none" strike="noStrike">
              <a:solidFill>
                <a:srgbClr val="00B050"/>
              </a:solidFill>
              <a:latin typeface="Calibri"/>
              <a:cs typeface="Calibri"/>
            </a:rPr>
            <a:pPr algn="r"/>
            <a:t>100.0%</a:t>
          </a:fld>
          <a:endParaRPr lang="en-US" sz="3200" b="1">
            <a:solidFill>
              <a:srgbClr val="00B050"/>
            </a:solidFill>
          </a:endParaRPr>
        </a:p>
      </xdr:txBody>
    </xdr:sp>
    <xdr:clientData/>
  </xdr:oneCellAnchor>
  <xdr:oneCellAnchor>
    <xdr:from>
      <xdr:col>6</xdr:col>
      <xdr:colOff>123825</xdr:colOff>
      <xdr:row>44</xdr:row>
      <xdr:rowOff>57150</xdr:rowOff>
    </xdr:from>
    <xdr:ext cx="1076325" cy="371475"/>
    <xdr:sp macro="" textlink="Pivot!BB5">
      <xdr:nvSpPr>
        <xdr:cNvPr id="13" name="TextBox 12">
          <a:extLst>
            <a:ext uri="{FF2B5EF4-FFF2-40B4-BE49-F238E27FC236}">
              <a16:creationId xmlns:a16="http://schemas.microsoft.com/office/drawing/2014/main" id="{3658AF86-5945-47EC-960B-3ED5C7572F78}"/>
            </a:ext>
            <a:ext uri="{147F2762-F138-4A5C-976F-8EAC2B608ADB}">
              <a16:predDERef xmlns:a16="http://schemas.microsoft.com/office/drawing/2014/main" pred="{4720E0D9-847D-4AA6-A249-E3C1DF545441}"/>
            </a:ext>
          </a:extLst>
        </xdr:cNvPr>
        <xdr:cNvSpPr txBox="1"/>
      </xdr:nvSpPr>
      <xdr:spPr>
        <a:xfrm>
          <a:off x="4686300" y="6343650"/>
          <a:ext cx="1076325" cy="371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r"/>
          <a:fld id="{01AF6B91-71C9-425F-A470-B4F002284EEB}" type="TxLink">
            <a:rPr lang="en-US" sz="1800" b="1" i="0" u="none" strike="noStrike">
              <a:solidFill>
                <a:srgbClr val="FF0000"/>
              </a:solidFill>
              <a:latin typeface="Calibri"/>
              <a:ea typeface="+mn-ea"/>
              <a:cs typeface="Calibri"/>
            </a:rPr>
            <a:pPr marL="0" indent="0" algn="r"/>
            <a:t>0.0%</a:t>
          </a:fld>
          <a:endParaRPr lang="en-US" sz="1800" b="1" i="0" u="none" strike="noStrike">
            <a:solidFill>
              <a:srgbClr val="FF0000"/>
            </a:solidFill>
            <a:latin typeface="Calibri"/>
            <a:ea typeface="+mn-ea"/>
            <a:cs typeface="Calibri"/>
          </a:endParaRPr>
        </a:p>
      </xdr:txBody>
    </xdr:sp>
    <xdr:clientData/>
  </xdr:oneCellAnchor>
  <xdr:oneCellAnchor>
    <xdr:from>
      <xdr:col>2</xdr:col>
      <xdr:colOff>47625</xdr:colOff>
      <xdr:row>43</xdr:row>
      <xdr:rowOff>9525</xdr:rowOff>
    </xdr:from>
    <xdr:ext cx="1468159" cy="311496"/>
    <xdr:sp macro="" textlink="">
      <xdr:nvSpPr>
        <xdr:cNvPr id="14" name="TextBox 13">
          <a:extLst>
            <a:ext uri="{FF2B5EF4-FFF2-40B4-BE49-F238E27FC236}">
              <a16:creationId xmlns:a16="http://schemas.microsoft.com/office/drawing/2014/main" id="{60259811-9886-4CA1-A252-E8F3FE5B1705}"/>
            </a:ext>
            <a:ext uri="{147F2762-F138-4A5C-976F-8EAC2B608ADB}">
              <a16:predDERef xmlns:a16="http://schemas.microsoft.com/office/drawing/2014/main" pred="{3EC39F15-72CC-4E1A-823B-54A2A4B2FDEB}"/>
            </a:ext>
          </a:extLst>
        </xdr:cNvPr>
        <xdr:cNvSpPr txBox="1"/>
      </xdr:nvSpPr>
      <xdr:spPr>
        <a:xfrm>
          <a:off x="1228725" y="6153150"/>
          <a:ext cx="146815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t>Completed</a:t>
          </a:r>
          <a:r>
            <a:rPr lang="en-US" sz="1400" b="1" baseline="0"/>
            <a:t> Task :</a:t>
          </a:r>
          <a:endParaRPr lang="en-US" sz="1400" b="1"/>
        </a:p>
      </xdr:txBody>
    </xdr:sp>
    <xdr:clientData/>
  </xdr:oneCellAnchor>
  <xdr:oneCellAnchor>
    <xdr:from>
      <xdr:col>4</xdr:col>
      <xdr:colOff>676275</xdr:colOff>
      <xdr:row>42</xdr:row>
      <xdr:rowOff>19050</xdr:rowOff>
    </xdr:from>
    <xdr:ext cx="761125" cy="530658"/>
    <xdr:sp macro="" textlink="Pivot!BA3">
      <xdr:nvSpPr>
        <xdr:cNvPr id="15" name="TextBox 16">
          <a:extLst>
            <a:ext uri="{FF2B5EF4-FFF2-40B4-BE49-F238E27FC236}">
              <a16:creationId xmlns:a16="http://schemas.microsoft.com/office/drawing/2014/main" id="{CF3DA231-D992-435F-84BA-F8788BC65B6B}"/>
            </a:ext>
            <a:ext uri="{147F2762-F138-4A5C-976F-8EAC2B608ADB}">
              <a16:predDERef xmlns:a16="http://schemas.microsoft.com/office/drawing/2014/main" pred="{2592D9C4-6A1C-493E-8903-A50A351F3D1B}"/>
            </a:ext>
          </a:extLst>
        </xdr:cNvPr>
        <xdr:cNvSpPr txBox="1"/>
      </xdr:nvSpPr>
      <xdr:spPr>
        <a:xfrm>
          <a:off x="2762250" y="6019800"/>
          <a:ext cx="76112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r"/>
          <a:fld id="{5EAD10E9-9D7F-49E4-9233-5E29DE50ABE1}" type="TxLink">
            <a:rPr lang="en-US" sz="2800" b="1" i="0" u="none" strike="noStrike">
              <a:solidFill>
                <a:sysClr val="windowText" lastClr="000000"/>
              </a:solidFill>
              <a:latin typeface="Calibri"/>
              <a:ea typeface="+mn-ea"/>
              <a:cs typeface="Calibri"/>
            </a:rPr>
            <a:pPr marL="0" indent="0" algn="r"/>
            <a:t>659</a:t>
          </a:fld>
          <a:endParaRPr lang="en-US" sz="2800" b="1" i="0" u="none" strike="noStrike">
            <a:solidFill>
              <a:sysClr val="windowText" lastClr="000000"/>
            </a:solidFill>
            <a:latin typeface="Calibri"/>
            <a:ea typeface="+mn-ea"/>
            <a:cs typeface="Calibri"/>
          </a:endParaRPr>
        </a:p>
      </xdr:txBody>
    </xdr:sp>
    <xdr:clientData/>
  </xdr:oneCellAnchor>
  <xdr:twoCellAnchor>
    <xdr:from>
      <xdr:col>16</xdr:col>
      <xdr:colOff>1475014</xdr:colOff>
      <xdr:row>0</xdr:row>
      <xdr:rowOff>40368</xdr:rowOff>
    </xdr:from>
    <xdr:to>
      <xdr:col>21</xdr:col>
      <xdr:colOff>138793</xdr:colOff>
      <xdr:row>19</xdr:row>
      <xdr:rowOff>72118</xdr:rowOff>
    </xdr:to>
    <xdr:graphicFrame macro="">
      <xdr:nvGraphicFramePr>
        <xdr:cNvPr id="16" name="Chart 15">
          <a:extLst>
            <a:ext uri="{FF2B5EF4-FFF2-40B4-BE49-F238E27FC236}">
              <a16:creationId xmlns:a16="http://schemas.microsoft.com/office/drawing/2014/main" id="{BB40D7CB-F1EC-40AB-9F6F-8EAAD0EB3FA5}"/>
            </a:ext>
            <a:ext uri="{147F2762-F138-4A5C-976F-8EAC2B608ADB}">
              <a16:predDERef xmlns:a16="http://schemas.microsoft.com/office/drawing/2014/main" pred="{CF3DA231-D992-435F-84BA-F8788BC65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140153</xdr:colOff>
      <xdr:row>1</xdr:row>
      <xdr:rowOff>63954</xdr:rowOff>
    </xdr:from>
    <xdr:to>
      <xdr:col>31</xdr:col>
      <xdr:colOff>207735</xdr:colOff>
      <xdr:row>20</xdr:row>
      <xdr:rowOff>92529</xdr:rowOff>
    </xdr:to>
    <xdr:graphicFrame macro="">
      <xdr:nvGraphicFramePr>
        <xdr:cNvPr id="17" name="Chart 16">
          <a:extLst>
            <a:ext uri="{FF2B5EF4-FFF2-40B4-BE49-F238E27FC236}">
              <a16:creationId xmlns:a16="http://schemas.microsoft.com/office/drawing/2014/main" id="{9306481A-A724-4723-A4DB-ED7B62A6753A}"/>
            </a:ext>
            <a:ext uri="{147F2762-F138-4A5C-976F-8EAC2B608ADB}">
              <a16:predDERef xmlns:a16="http://schemas.microsoft.com/office/drawing/2014/main" pred="{BB40D7CB-F1EC-40AB-9F6F-8EAAD0EB3F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466725</xdr:colOff>
      <xdr:row>21</xdr:row>
      <xdr:rowOff>104775</xdr:rowOff>
    </xdr:from>
    <xdr:to>
      <xdr:col>10</xdr:col>
      <xdr:colOff>1304925</xdr:colOff>
      <xdr:row>41</xdr:row>
      <xdr:rowOff>0</xdr:rowOff>
    </xdr:to>
    <xdr:graphicFrame macro="">
      <xdr:nvGraphicFramePr>
        <xdr:cNvPr id="18" name="Chart 17">
          <a:extLst>
            <a:ext uri="{FF2B5EF4-FFF2-40B4-BE49-F238E27FC236}">
              <a16:creationId xmlns:a16="http://schemas.microsoft.com/office/drawing/2014/main" id="{367BD0B2-879A-4AF5-A8F9-6F07D8EA9C74}"/>
            </a:ext>
            <a:ext uri="{147F2762-F138-4A5C-976F-8EAC2B608ADB}">
              <a16:predDERef xmlns:a16="http://schemas.microsoft.com/office/drawing/2014/main" pred="{9306481A-A724-4723-A4DB-ED7B62A675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1396093</xdr:colOff>
      <xdr:row>21</xdr:row>
      <xdr:rowOff>63500</xdr:rowOff>
    </xdr:from>
    <xdr:to>
      <xdr:col>16</xdr:col>
      <xdr:colOff>1050472</xdr:colOff>
      <xdr:row>40</xdr:row>
      <xdr:rowOff>95250</xdr:rowOff>
    </xdr:to>
    <xdr:graphicFrame macro="">
      <xdr:nvGraphicFramePr>
        <xdr:cNvPr id="19" name="Chart 18">
          <a:extLst>
            <a:ext uri="{FF2B5EF4-FFF2-40B4-BE49-F238E27FC236}">
              <a16:creationId xmlns:a16="http://schemas.microsoft.com/office/drawing/2014/main" id="{EB26CAE0-BCA9-4184-AD1F-0524043A8FC3}"/>
            </a:ext>
            <a:ext uri="{147F2762-F138-4A5C-976F-8EAC2B608ADB}">
              <a16:predDERef xmlns:a16="http://schemas.microsoft.com/office/drawing/2014/main" pred="{367BD0B2-879A-4AF5-A8F9-6F07D8EA9C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1457325</xdr:colOff>
      <xdr:row>21</xdr:row>
      <xdr:rowOff>3628</xdr:rowOff>
    </xdr:from>
    <xdr:to>
      <xdr:col>20</xdr:col>
      <xdr:colOff>432253</xdr:colOff>
      <xdr:row>40</xdr:row>
      <xdr:rowOff>35378</xdr:rowOff>
    </xdr:to>
    <xdr:graphicFrame macro="">
      <xdr:nvGraphicFramePr>
        <xdr:cNvPr id="20" name="Chart 19">
          <a:extLst>
            <a:ext uri="{FF2B5EF4-FFF2-40B4-BE49-F238E27FC236}">
              <a16:creationId xmlns:a16="http://schemas.microsoft.com/office/drawing/2014/main" id="{9D205067-4844-4521-981B-E05C0C0CC915}"/>
            </a:ext>
            <a:ext uri="{147F2762-F138-4A5C-976F-8EAC2B608ADB}">
              <a16:predDERef xmlns:a16="http://schemas.microsoft.com/office/drawing/2014/main" pred="{EB26CAE0-BCA9-4184-AD1F-0524043A8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428625</xdr:colOff>
      <xdr:row>0</xdr:row>
      <xdr:rowOff>47625</xdr:rowOff>
    </xdr:from>
    <xdr:to>
      <xdr:col>9</xdr:col>
      <xdr:colOff>323850</xdr:colOff>
      <xdr:row>21</xdr:row>
      <xdr:rowOff>47625</xdr:rowOff>
    </xdr:to>
    <xdr:graphicFrame macro="">
      <xdr:nvGraphicFramePr>
        <xdr:cNvPr id="2" name="Chart 1">
          <a:extLst>
            <a:ext uri="{FF2B5EF4-FFF2-40B4-BE49-F238E27FC236}">
              <a16:creationId xmlns:a16="http://schemas.microsoft.com/office/drawing/2014/main" id="{1B9F5C0F-DFF8-4533-9FD1-2443C0BA66BA}"/>
            </a:ext>
            <a:ext uri="{147F2762-F138-4A5C-976F-8EAC2B608ADB}">
              <a16:predDERef xmlns:a16="http://schemas.microsoft.com/office/drawing/2014/main" pred="{9D205067-4844-4521-981B-E05C0C0CC9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276225</xdr:colOff>
      <xdr:row>20</xdr:row>
      <xdr:rowOff>114300</xdr:rowOff>
    </xdr:from>
    <xdr:to>
      <xdr:col>10</xdr:col>
      <xdr:colOff>504825</xdr:colOff>
      <xdr:row>41</xdr:row>
      <xdr:rowOff>104775</xdr:rowOff>
    </xdr:to>
    <xdr:graphicFrame macro="">
      <xdr:nvGraphicFramePr>
        <xdr:cNvPr id="18" name="Chart 17">
          <a:extLst>
            <a:ext uri="{FF2B5EF4-FFF2-40B4-BE49-F238E27FC236}">
              <a16:creationId xmlns:a16="http://schemas.microsoft.com/office/drawing/2014/main" id="{A3F85DD1-FB6E-47DE-8A09-29A205C93B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438150</xdr:colOff>
      <xdr:row>0</xdr:row>
      <xdr:rowOff>38100</xdr:rowOff>
    </xdr:from>
    <xdr:to>
      <xdr:col>15</xdr:col>
      <xdr:colOff>695325</xdr:colOff>
      <xdr:row>21</xdr:row>
      <xdr:rowOff>38100</xdr:rowOff>
    </xdr:to>
    <xdr:graphicFrame macro="">
      <xdr:nvGraphicFramePr>
        <xdr:cNvPr id="2" name="Chart 1">
          <a:extLst>
            <a:ext uri="{FF2B5EF4-FFF2-40B4-BE49-F238E27FC236}">
              <a16:creationId xmlns:a16="http://schemas.microsoft.com/office/drawing/2014/main" id="{79F2B26B-BCDA-47E4-A8FB-D8E7B1CE80EC}"/>
            </a:ext>
            <a:ext uri="{147F2762-F138-4A5C-976F-8EAC2B608ADB}">
              <a16:predDERef xmlns:a16="http://schemas.microsoft.com/office/drawing/2014/main" pred="{A3F85DD1-FB6E-47DE-8A09-29A205C93B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22</xdr:col>
      <xdr:colOff>217394</xdr:colOff>
      <xdr:row>1</xdr:row>
      <xdr:rowOff>36979</xdr:rowOff>
    </xdr:from>
    <xdr:to>
      <xdr:col>30</xdr:col>
      <xdr:colOff>466164</xdr:colOff>
      <xdr:row>21</xdr:row>
      <xdr:rowOff>27454</xdr:rowOff>
    </xdr:to>
    <xdr:graphicFrame macro="">
      <xdr:nvGraphicFramePr>
        <xdr:cNvPr id="3" name="Chart 2">
          <a:extLst>
            <a:ext uri="{FF2B5EF4-FFF2-40B4-BE49-F238E27FC236}">
              <a16:creationId xmlns:a16="http://schemas.microsoft.com/office/drawing/2014/main" id="{D8E434BF-2D7A-4D36-9354-BBB33E67D186}"/>
            </a:ext>
            <a:ext uri="{147F2762-F138-4A5C-976F-8EAC2B608ADB}">
              <a16:predDERef xmlns:a16="http://schemas.microsoft.com/office/drawing/2014/main" pred="{79F2B26B-BCDA-47E4-A8FB-D8E7B1CE80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16</xdr:col>
      <xdr:colOff>171450</xdr:colOff>
      <xdr:row>0</xdr:row>
      <xdr:rowOff>9525</xdr:rowOff>
    </xdr:from>
    <xdr:to>
      <xdr:col>21</xdr:col>
      <xdr:colOff>466725</xdr:colOff>
      <xdr:row>21</xdr:row>
      <xdr:rowOff>66675</xdr:rowOff>
    </xdr:to>
    <xdr:graphicFrame macro="">
      <xdr:nvGraphicFramePr>
        <xdr:cNvPr id="4" name="Chart 3">
          <a:extLst>
            <a:ext uri="{FF2B5EF4-FFF2-40B4-BE49-F238E27FC236}">
              <a16:creationId xmlns:a16="http://schemas.microsoft.com/office/drawing/2014/main" id="{6AD1F5FD-9292-4013-AB2F-A942FE8EF30C}"/>
            </a:ext>
            <a:ext uri="{147F2762-F138-4A5C-976F-8EAC2B608ADB}">
              <a16:predDERef xmlns:a16="http://schemas.microsoft.com/office/drawing/2014/main" pred="{D8E434BF-2D7A-4D36-9354-BBB33E67D1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10</xdr:col>
      <xdr:colOff>657225</xdr:colOff>
      <xdr:row>21</xdr:row>
      <xdr:rowOff>85725</xdr:rowOff>
    </xdr:from>
    <xdr:to>
      <xdr:col>16</xdr:col>
      <xdr:colOff>1219200</xdr:colOff>
      <xdr:row>43</xdr:row>
      <xdr:rowOff>0</xdr:rowOff>
    </xdr:to>
    <xdr:graphicFrame macro="">
      <xdr:nvGraphicFramePr>
        <xdr:cNvPr id="5" name="Chart 4">
          <a:extLst>
            <a:ext uri="{FF2B5EF4-FFF2-40B4-BE49-F238E27FC236}">
              <a16:creationId xmlns:a16="http://schemas.microsoft.com/office/drawing/2014/main" id="{0DB24C67-5D0C-4644-9A5B-28CD49A4E80F}"/>
            </a:ext>
            <a:ext uri="{147F2762-F138-4A5C-976F-8EAC2B608ADB}">
              <a16:predDERef xmlns:a16="http://schemas.microsoft.com/office/drawing/2014/main" pred="{6AD1F5FD-9292-4013-AB2F-A942FE8EF3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16</xdr:col>
      <xdr:colOff>1406338</xdr:colOff>
      <xdr:row>21</xdr:row>
      <xdr:rowOff>0</xdr:rowOff>
    </xdr:from>
    <xdr:to>
      <xdr:col>22</xdr:col>
      <xdr:colOff>188258</xdr:colOff>
      <xdr:row>42</xdr:row>
      <xdr:rowOff>38100</xdr:rowOff>
    </xdr:to>
    <xdr:graphicFrame macro="">
      <xdr:nvGraphicFramePr>
        <xdr:cNvPr id="8" name="Chart 7">
          <a:extLst>
            <a:ext uri="{FF2B5EF4-FFF2-40B4-BE49-F238E27FC236}">
              <a16:creationId xmlns:a16="http://schemas.microsoft.com/office/drawing/2014/main" id="{89B0E7E8-D697-4FD0-9831-740080D9A4F7}"/>
            </a:ext>
            <a:ext uri="{147F2762-F138-4A5C-976F-8EAC2B608ADB}">
              <a16:predDERef xmlns:a16="http://schemas.microsoft.com/office/drawing/2014/main" pred="{0DB24C67-5D0C-4644-9A5B-28CD49A4E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619125</xdr:colOff>
      <xdr:row>0</xdr:row>
      <xdr:rowOff>0</xdr:rowOff>
    </xdr:from>
    <xdr:to>
      <xdr:col>2</xdr:col>
      <xdr:colOff>44450</xdr:colOff>
      <xdr:row>40</xdr:row>
      <xdr:rowOff>76200</xdr:rowOff>
    </xdr:to>
    <mc:AlternateContent xmlns:mc="http://schemas.openxmlformats.org/markup-compatibility/2006" xmlns:a14="http://schemas.microsoft.com/office/drawing/2010/main">
      <mc:Choice Requires="a14">
        <xdr:graphicFrame macro="">
          <xdr:nvGraphicFramePr>
            <xdr:cNvPr id="9" name="WW">
              <a:extLst>
                <a:ext uri="{FF2B5EF4-FFF2-40B4-BE49-F238E27FC236}">
                  <a16:creationId xmlns:a16="http://schemas.microsoft.com/office/drawing/2014/main" id="{5FCECAFA-DB9F-434E-B573-55EAFE95D20E}"/>
                </a:ext>
              </a:extLst>
            </xdr:cNvPr>
            <xdr:cNvGraphicFramePr/>
          </xdr:nvGraphicFramePr>
          <xdr:xfrm>
            <a:off x="0" y="0"/>
            <a:ext cx="0" cy="0"/>
          </xdr:xfrm>
          <a:graphic>
            <a:graphicData uri="http://schemas.microsoft.com/office/drawing/2010/slicer">
              <sle:slicer xmlns:sle="http://schemas.microsoft.com/office/drawing/2010/slicer" name="WW"/>
            </a:graphicData>
          </a:graphic>
        </xdr:graphicFrame>
      </mc:Choice>
      <mc:Fallback xmlns="">
        <xdr:sp macro="" textlink="">
          <xdr:nvSpPr>
            <xdr:cNvPr id="0" name=""/>
            <xdr:cNvSpPr>
              <a:spLocks noTextEdit="1"/>
            </xdr:cNvSpPr>
          </xdr:nvSpPr>
          <xdr:spPr>
            <a:xfrm>
              <a:off x="619125" y="0"/>
              <a:ext cx="609600" cy="579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0</xdr:row>
      <xdr:rowOff>0</xdr:rowOff>
    </xdr:from>
    <xdr:to>
      <xdr:col>0</xdr:col>
      <xdr:colOff>558800</xdr:colOff>
      <xdr:row>40</xdr:row>
      <xdr:rowOff>76200</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08567B4E-F399-4F15-AFB9-9C2A2FA9E6F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525" y="0"/>
              <a:ext cx="552450" cy="579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1847850</xdr:colOff>
      <xdr:row>42</xdr:row>
      <xdr:rowOff>47625</xdr:rowOff>
    </xdr:from>
    <xdr:ext cx="876009" cy="311496"/>
    <xdr:sp macro="" textlink="">
      <xdr:nvSpPr>
        <xdr:cNvPr id="7" name="TextBox 6">
          <a:extLst>
            <a:ext uri="{FF2B5EF4-FFF2-40B4-BE49-F238E27FC236}">
              <a16:creationId xmlns:a16="http://schemas.microsoft.com/office/drawing/2014/main" id="{0AF131E7-C78C-4377-BB3F-F48D0267AEFD}"/>
            </a:ext>
            <a:ext uri="{147F2762-F138-4A5C-976F-8EAC2B608ADB}">
              <a16:predDERef xmlns:a16="http://schemas.microsoft.com/office/drawing/2014/main" pred="{08567B4E-F399-4F15-AFB9-9C2A2FA9E6F4}"/>
            </a:ext>
          </a:extLst>
        </xdr:cNvPr>
        <xdr:cNvSpPr txBox="1"/>
      </xdr:nvSpPr>
      <xdr:spPr>
        <a:xfrm>
          <a:off x="3933825" y="6048375"/>
          <a:ext cx="87600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t>On time :</a:t>
          </a:r>
        </a:p>
      </xdr:txBody>
    </xdr:sp>
    <xdr:clientData/>
  </xdr:oneCellAnchor>
  <xdr:oneCellAnchor>
    <xdr:from>
      <xdr:col>4</xdr:col>
      <xdr:colOff>1857375</xdr:colOff>
      <xdr:row>44</xdr:row>
      <xdr:rowOff>95250</xdr:rowOff>
    </xdr:from>
    <xdr:ext cx="696088" cy="311496"/>
    <xdr:sp macro="" textlink="">
      <xdr:nvSpPr>
        <xdr:cNvPr id="13" name="TextBox 12">
          <a:extLst>
            <a:ext uri="{FF2B5EF4-FFF2-40B4-BE49-F238E27FC236}">
              <a16:creationId xmlns:a16="http://schemas.microsoft.com/office/drawing/2014/main" id="{6F41818A-ACB5-4318-BB1A-7A07D839F824}"/>
            </a:ext>
            <a:ext uri="{147F2762-F138-4A5C-976F-8EAC2B608ADB}">
              <a16:predDERef xmlns:a16="http://schemas.microsoft.com/office/drawing/2014/main" pred="{0AF131E7-C78C-4377-BB3F-F48D0267AEFD}"/>
            </a:ext>
          </a:extLst>
        </xdr:cNvPr>
        <xdr:cNvSpPr txBox="1"/>
      </xdr:nvSpPr>
      <xdr:spPr>
        <a:xfrm>
          <a:off x="3943350" y="6381750"/>
          <a:ext cx="69608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t>Delay :</a:t>
          </a:r>
        </a:p>
      </xdr:txBody>
    </xdr:sp>
    <xdr:clientData/>
  </xdr:oneCellAnchor>
  <xdr:oneCellAnchor>
    <xdr:from>
      <xdr:col>6</xdr:col>
      <xdr:colOff>200025</xdr:colOff>
      <xdr:row>42</xdr:row>
      <xdr:rowOff>0</xdr:rowOff>
    </xdr:from>
    <xdr:ext cx="1028700" cy="371475"/>
    <xdr:sp macro="" textlink="Pivot!BB4">
      <xdr:nvSpPr>
        <xdr:cNvPr id="14" name="TextBox 13">
          <a:extLst>
            <a:ext uri="{FF2B5EF4-FFF2-40B4-BE49-F238E27FC236}">
              <a16:creationId xmlns:a16="http://schemas.microsoft.com/office/drawing/2014/main" id="{E7110F94-5DFD-4269-B845-58AE2DFBAAFD}"/>
            </a:ext>
            <a:ext uri="{147F2762-F138-4A5C-976F-8EAC2B608ADB}">
              <a16:predDERef xmlns:a16="http://schemas.microsoft.com/office/drawing/2014/main" pred="{6F41818A-ACB5-4318-BB1A-7A07D839F824}"/>
            </a:ext>
          </a:extLst>
        </xdr:cNvPr>
        <xdr:cNvSpPr txBox="1"/>
      </xdr:nvSpPr>
      <xdr:spPr>
        <a:xfrm>
          <a:off x="4762500" y="6000750"/>
          <a:ext cx="1028700" cy="371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r"/>
          <a:fld id="{50EC429C-26DB-44D3-8BFA-713558B71BF2}" type="TxLink">
            <a:rPr lang="en-US" sz="1800" b="1" i="0" u="none" strike="noStrike">
              <a:solidFill>
                <a:srgbClr val="00B050"/>
              </a:solidFill>
              <a:latin typeface="Calibri"/>
              <a:cs typeface="Calibri"/>
            </a:rPr>
            <a:pPr algn="r"/>
            <a:t>100.0%</a:t>
          </a:fld>
          <a:endParaRPr lang="en-US" sz="3200" b="1">
            <a:solidFill>
              <a:srgbClr val="00B050"/>
            </a:solidFill>
          </a:endParaRPr>
        </a:p>
      </xdr:txBody>
    </xdr:sp>
    <xdr:clientData/>
  </xdr:oneCellAnchor>
  <xdr:oneCellAnchor>
    <xdr:from>
      <xdr:col>6</xdr:col>
      <xdr:colOff>152400</xdr:colOff>
      <xdr:row>43</xdr:row>
      <xdr:rowOff>133350</xdr:rowOff>
    </xdr:from>
    <xdr:ext cx="1047750" cy="371475"/>
    <xdr:sp macro="" textlink="Pivot!BB5">
      <xdr:nvSpPr>
        <xdr:cNvPr id="15" name="TextBox 14">
          <a:extLst>
            <a:ext uri="{FF2B5EF4-FFF2-40B4-BE49-F238E27FC236}">
              <a16:creationId xmlns:a16="http://schemas.microsoft.com/office/drawing/2014/main" id="{3EC39F15-72CC-4E1A-823B-54A2A4B2FDEB}"/>
            </a:ext>
            <a:ext uri="{147F2762-F138-4A5C-976F-8EAC2B608ADB}">
              <a16:predDERef xmlns:a16="http://schemas.microsoft.com/office/drawing/2014/main" pred="{E7110F94-5DFD-4269-B845-58AE2DFBAAFD}"/>
            </a:ext>
          </a:extLst>
        </xdr:cNvPr>
        <xdr:cNvSpPr txBox="1"/>
      </xdr:nvSpPr>
      <xdr:spPr>
        <a:xfrm>
          <a:off x="4714875" y="6276975"/>
          <a:ext cx="1047750" cy="3714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r"/>
          <a:fld id="{01AF6B91-71C9-425F-A470-B4F002284EEB}" type="TxLink">
            <a:rPr lang="en-US" sz="1800" b="1" i="0" u="none" strike="noStrike">
              <a:solidFill>
                <a:srgbClr val="FF0000"/>
              </a:solidFill>
              <a:latin typeface="Calibri"/>
              <a:ea typeface="+mn-ea"/>
              <a:cs typeface="Calibri"/>
            </a:rPr>
            <a:pPr marL="0" indent="0" algn="r"/>
            <a:t>0.0%</a:t>
          </a:fld>
          <a:endParaRPr lang="en-US" sz="1800" b="1" i="0" u="none" strike="noStrike">
            <a:solidFill>
              <a:srgbClr val="FF0000"/>
            </a:solidFill>
            <a:latin typeface="Calibri"/>
            <a:ea typeface="+mn-ea"/>
            <a:cs typeface="Calibri"/>
          </a:endParaRPr>
        </a:p>
      </xdr:txBody>
    </xdr:sp>
    <xdr:clientData/>
  </xdr:oneCellAnchor>
  <xdr:oneCellAnchor>
    <xdr:from>
      <xdr:col>2</xdr:col>
      <xdr:colOff>47625</xdr:colOff>
      <xdr:row>43</xdr:row>
      <xdr:rowOff>9525</xdr:rowOff>
    </xdr:from>
    <xdr:ext cx="1468159" cy="311496"/>
    <xdr:sp macro="" textlink="">
      <xdr:nvSpPr>
        <xdr:cNvPr id="16" name="TextBox 15">
          <a:extLst>
            <a:ext uri="{FF2B5EF4-FFF2-40B4-BE49-F238E27FC236}">
              <a16:creationId xmlns:a16="http://schemas.microsoft.com/office/drawing/2014/main" id="{2592D9C4-6A1C-493E-8903-A50A351F3D1B}"/>
            </a:ext>
            <a:ext uri="{147F2762-F138-4A5C-976F-8EAC2B608ADB}">
              <a16:predDERef xmlns:a16="http://schemas.microsoft.com/office/drawing/2014/main" pred="{3EC39F15-72CC-4E1A-823B-54A2A4B2FDEB}"/>
            </a:ext>
          </a:extLst>
        </xdr:cNvPr>
        <xdr:cNvSpPr txBox="1"/>
      </xdr:nvSpPr>
      <xdr:spPr>
        <a:xfrm>
          <a:off x="1228725" y="6153150"/>
          <a:ext cx="146815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t>Completed</a:t>
          </a:r>
          <a:r>
            <a:rPr lang="en-US" sz="1400" b="1" baseline="0"/>
            <a:t> Task :</a:t>
          </a:r>
          <a:endParaRPr lang="en-US" sz="1400" b="1"/>
        </a:p>
      </xdr:txBody>
    </xdr:sp>
    <xdr:clientData/>
  </xdr:oneCellAnchor>
  <xdr:oneCellAnchor>
    <xdr:from>
      <xdr:col>4</xdr:col>
      <xdr:colOff>676275</xdr:colOff>
      <xdr:row>42</xdr:row>
      <xdr:rowOff>19050</xdr:rowOff>
    </xdr:from>
    <xdr:ext cx="761125" cy="530658"/>
    <xdr:sp macro="" textlink="Pivot!BA3">
      <xdr:nvSpPr>
        <xdr:cNvPr id="19" name="TextBox 16">
          <a:extLst>
            <a:ext uri="{FF2B5EF4-FFF2-40B4-BE49-F238E27FC236}">
              <a16:creationId xmlns:a16="http://schemas.microsoft.com/office/drawing/2014/main" id="{8743051A-4825-4473-8F86-F74F3F2EB61F}"/>
            </a:ext>
            <a:ext uri="{147F2762-F138-4A5C-976F-8EAC2B608ADB}">
              <a16:predDERef xmlns:a16="http://schemas.microsoft.com/office/drawing/2014/main" pred="{2592D9C4-6A1C-493E-8903-A50A351F3D1B}"/>
            </a:ext>
          </a:extLst>
        </xdr:cNvPr>
        <xdr:cNvSpPr txBox="1"/>
      </xdr:nvSpPr>
      <xdr:spPr>
        <a:xfrm>
          <a:off x="2762250" y="6019800"/>
          <a:ext cx="761125"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r"/>
          <a:fld id="{5EAD10E9-9D7F-49E4-9233-5E29DE50ABE1}" type="TxLink">
            <a:rPr lang="en-US" sz="2800" b="1" i="0" u="none" strike="noStrike">
              <a:solidFill>
                <a:sysClr val="windowText" lastClr="000000"/>
              </a:solidFill>
              <a:latin typeface="Calibri"/>
              <a:ea typeface="+mn-ea"/>
              <a:cs typeface="Calibri"/>
            </a:rPr>
            <a:pPr marL="0" indent="0" algn="r"/>
            <a:t>659</a:t>
          </a:fld>
          <a:endParaRPr lang="en-US" sz="2800" b="1" i="0" u="none" strike="noStrike">
            <a:solidFill>
              <a:sysClr val="windowText" lastClr="000000"/>
            </a:solidFill>
            <a:latin typeface="Calibri"/>
            <a:ea typeface="+mn-ea"/>
            <a:cs typeface="Calibri"/>
          </a:endParaRPr>
        </a:p>
      </xdr:txBody>
    </xdr:sp>
    <xdr:clientData/>
  </xdr:oneCellAnchor>
  <xdr:twoCellAnchor>
    <xdr:from>
      <xdr:col>2</xdr:col>
      <xdr:colOff>152400</xdr:colOff>
      <xdr:row>0</xdr:row>
      <xdr:rowOff>0</xdr:rowOff>
    </xdr:from>
    <xdr:to>
      <xdr:col>8</xdr:col>
      <xdr:colOff>400050</xdr:colOff>
      <xdr:row>20</xdr:row>
      <xdr:rowOff>114300</xdr:rowOff>
    </xdr:to>
    <xdr:graphicFrame macro="">
      <xdr:nvGraphicFramePr>
        <xdr:cNvPr id="6" name="Chart 5">
          <a:extLst>
            <a:ext uri="{FF2B5EF4-FFF2-40B4-BE49-F238E27FC236}">
              <a16:creationId xmlns:a16="http://schemas.microsoft.com/office/drawing/2014/main" id="{A941DAF0-C937-44DE-B8A8-E501745F8432}"/>
            </a:ext>
            <a:ext uri="{147F2762-F138-4A5C-976F-8EAC2B608ADB}">
              <a16:predDERef xmlns:a16="http://schemas.microsoft.com/office/drawing/2014/main" pred="{8743051A-4825-4473-8F86-F74F3F2EB6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704850</xdr:colOff>
      <xdr:row>2</xdr:row>
      <xdr:rowOff>0</xdr:rowOff>
    </xdr:from>
    <xdr:to>
      <xdr:col>3</xdr:col>
      <xdr:colOff>895350</xdr:colOff>
      <xdr:row>9</xdr:row>
      <xdr:rowOff>6350</xdr:rowOff>
    </xdr:to>
    <mc:AlternateContent xmlns:mc="http://schemas.openxmlformats.org/markup-compatibility/2006" xmlns:sle15="http://schemas.microsoft.com/office/drawing/2012/slicer">
      <mc:Choice Requires="sle15">
        <xdr:graphicFrame macro="">
          <xdr:nvGraphicFramePr>
            <xdr:cNvPr id="26" name="PIC 1">
              <a:extLst>
                <a:ext uri="{FF2B5EF4-FFF2-40B4-BE49-F238E27FC236}">
                  <a16:creationId xmlns:a16="http://schemas.microsoft.com/office/drawing/2014/main" id="{5D3EBD1D-D9FE-9F8E-7322-3D32AF14028B}"/>
                </a:ext>
                <a:ext uri="{147F2762-F138-4A5C-976F-8EAC2B608ADB}">
                  <a16:predDERef xmlns:a16="http://schemas.microsoft.com/office/drawing/2014/main" pred="{CD29C7FB-B157-85D9-1D5C-2C5C0F5863A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IC 1"/>
            </a:graphicData>
          </a:graphic>
        </xdr:graphicFrame>
      </mc:Choice>
      <mc:Fallback xmlns="">
        <xdr:sp macro="" textlink="">
          <xdr:nvSpPr>
            <xdr:cNvPr id="0" name=""/>
            <xdr:cNvSpPr>
              <a:spLocks noTextEdit="1"/>
            </xdr:cNvSpPr>
          </xdr:nvSpPr>
          <xdr:spPr>
            <a:xfrm>
              <a:off x="1388452" y="476250"/>
              <a:ext cx="1009650" cy="144076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901700</xdr:colOff>
      <xdr:row>2</xdr:row>
      <xdr:rowOff>0</xdr:rowOff>
    </xdr:from>
    <xdr:to>
      <xdr:col>4</xdr:col>
      <xdr:colOff>596900</xdr:colOff>
      <xdr:row>9</xdr:row>
      <xdr:rowOff>6350</xdr:rowOff>
    </xdr:to>
    <mc:AlternateContent xmlns:mc="http://schemas.openxmlformats.org/markup-compatibility/2006" xmlns:sle15="http://schemas.microsoft.com/office/drawing/2012/slicer">
      <mc:Choice Requires="sle15">
        <xdr:graphicFrame macro="">
          <xdr:nvGraphicFramePr>
            <xdr:cNvPr id="27" name="Status 1">
              <a:extLst>
                <a:ext uri="{FF2B5EF4-FFF2-40B4-BE49-F238E27FC236}">
                  <a16:creationId xmlns:a16="http://schemas.microsoft.com/office/drawing/2014/main" id="{2881368B-ED8F-D678-3B19-FC116779F92F}"/>
                </a:ext>
                <a:ext uri="{147F2762-F138-4A5C-976F-8EAC2B608ADB}">
                  <a16:predDERef xmlns:a16="http://schemas.microsoft.com/office/drawing/2014/main" pred="{5D3EBD1D-D9FE-9F8E-7322-3D32AF14028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2407627" y="476250"/>
              <a:ext cx="914400" cy="144076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2</xdr:row>
      <xdr:rowOff>0</xdr:rowOff>
    </xdr:from>
    <xdr:to>
      <xdr:col>2</xdr:col>
      <xdr:colOff>685800</xdr:colOff>
      <xdr:row>9</xdr:row>
      <xdr:rowOff>6350</xdr:rowOff>
    </xdr:to>
    <mc:AlternateContent xmlns:mc="http://schemas.openxmlformats.org/markup-compatibility/2006" xmlns:sle15="http://schemas.microsoft.com/office/drawing/2012/slicer">
      <mc:Choice Requires="sle15">
        <xdr:graphicFrame macro="">
          <xdr:nvGraphicFramePr>
            <xdr:cNvPr id="16" name="Type">
              <a:extLst>
                <a:ext uri="{FF2B5EF4-FFF2-40B4-BE49-F238E27FC236}">
                  <a16:creationId xmlns:a16="http://schemas.microsoft.com/office/drawing/2014/main" id="{4802B9FE-1CAC-D092-4164-B78F933E8814}"/>
                </a:ext>
                <a:ext uri="{147F2762-F138-4A5C-976F-8EAC2B608ADB}">
                  <a16:predDERef xmlns:a16="http://schemas.microsoft.com/office/drawing/2014/main" pred="{2881368B-ED8F-D678-3B19-FC116779F92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0" y="476250"/>
              <a:ext cx="1371600" cy="144486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174624</xdr:colOff>
      <xdr:row>2</xdr:row>
      <xdr:rowOff>0</xdr:rowOff>
    </xdr:from>
    <xdr:to>
      <xdr:col>8</xdr:col>
      <xdr:colOff>116418</xdr:colOff>
      <xdr:row>9</xdr:row>
      <xdr:rowOff>158750</xdr:rowOff>
    </xdr:to>
    <mc:AlternateContent xmlns:mc="http://schemas.openxmlformats.org/markup-compatibility/2006" xmlns:sle15="http://schemas.microsoft.com/office/drawing/2012/slicer">
      <mc:Choice Requires="sle15">
        <xdr:graphicFrame macro="">
          <xdr:nvGraphicFramePr>
            <xdr:cNvPr id="2" name="WW 2">
              <a:extLst>
                <a:ext uri="{FF2B5EF4-FFF2-40B4-BE49-F238E27FC236}">
                  <a16:creationId xmlns:a16="http://schemas.microsoft.com/office/drawing/2014/main" id="{EA11295E-5B06-460C-BB88-AE96D02F9998}"/>
                </a:ext>
                <a:ext uri="{147F2762-F138-4A5C-976F-8EAC2B608ADB}">
                  <a16:predDERef xmlns:a16="http://schemas.microsoft.com/office/drawing/2014/main" pred="{4802B9FE-1CAC-D092-4164-B78F933E881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WW 2"/>
            </a:graphicData>
          </a:graphic>
        </xdr:graphicFrame>
      </mc:Choice>
      <mc:Fallback xmlns="">
        <xdr:sp macro="" textlink="">
          <xdr:nvSpPr>
            <xdr:cNvPr id="0" name=""/>
            <xdr:cNvSpPr>
              <a:spLocks noTextEdit="1"/>
            </xdr:cNvSpPr>
          </xdr:nvSpPr>
          <xdr:spPr>
            <a:xfrm>
              <a:off x="5210176" y="476250"/>
              <a:ext cx="2552700" cy="12096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8</xdr:col>
      <xdr:colOff>154519</xdr:colOff>
      <xdr:row>2</xdr:row>
      <xdr:rowOff>0</xdr:rowOff>
    </xdr:from>
    <xdr:to>
      <xdr:col>9</xdr:col>
      <xdr:colOff>256493</xdr:colOff>
      <xdr:row>9</xdr:row>
      <xdr:rowOff>152400</xdr:rowOff>
    </xdr:to>
    <mc:AlternateContent xmlns:mc="http://schemas.openxmlformats.org/markup-compatibility/2006" xmlns:sle15="http://schemas.microsoft.com/office/drawing/2012/slicer">
      <mc:Choice Requires="sle15">
        <xdr:graphicFrame macro="">
          <xdr:nvGraphicFramePr>
            <xdr:cNvPr id="3" name="OverDue Aleart">
              <a:extLst>
                <a:ext uri="{FF2B5EF4-FFF2-40B4-BE49-F238E27FC236}">
                  <a16:creationId xmlns:a16="http://schemas.microsoft.com/office/drawing/2014/main" id="{0E04BF0A-CB93-4243-BC33-13D2018D3BD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OverDue Aleart"/>
            </a:graphicData>
          </a:graphic>
        </xdr:graphicFrame>
      </mc:Choice>
      <mc:Fallback xmlns="">
        <xdr:sp macro="" textlink="">
          <xdr:nvSpPr>
            <xdr:cNvPr id="0" name=""/>
            <xdr:cNvSpPr>
              <a:spLocks noTextEdit="1"/>
            </xdr:cNvSpPr>
          </xdr:nvSpPr>
          <xdr:spPr>
            <a:xfrm>
              <a:off x="7715250" y="476250"/>
              <a:ext cx="952500" cy="13525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12.731561342589" createdVersion="6" refreshedVersion="8" minRefreshableVersion="3" recordCount="6" xr:uid="{16968B27-33F9-4B82-9CFF-02577FF21AD7}">
  <cacheSource type="worksheet">
    <worksheetSource name="Table1[Name List]"/>
  </cacheSource>
  <cacheFields count="1">
    <cacheField name="Name List" numFmtId="0">
      <sharedItems count="12">
        <s v="Bunnarak"/>
        <s v="Tae"/>
        <s v="Thiti"/>
        <s v="Nattachai"/>
        <s v="Chutiporn"/>
        <s v="All"/>
        <s v="Thitiphat" u="1"/>
        <s v="Kumpon" u="1"/>
        <s v="Cable PIC" u="1"/>
        <s v="Kamonchanok" u="1"/>
        <s v="Apichon" u="1"/>
        <s v="Plastic PIC"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213.563317939814" createdVersion="7" refreshedVersion="8" minRefreshableVersion="3" recordCount="666" xr:uid="{F498EB1C-8131-4B21-A6DB-3A7A8127CD9C}">
  <cacheSource type="worksheet">
    <worksheetSource name="Table6"/>
  </cacheSource>
  <cacheFields count="41">
    <cacheField name="WW" numFmtId="0">
      <sharedItems containsSemiMixedTypes="0" containsString="0" containsNumber="1" containsInteger="1" minValue="0" maxValue="52" count="51">
        <n v="2"/>
        <n v="3"/>
        <n v="4"/>
        <n v="5"/>
        <n v="6"/>
        <n v="7"/>
        <n v="9"/>
        <n v="8"/>
        <n v="10"/>
        <n v="11"/>
        <n v="12"/>
        <n v="13"/>
        <n v="17"/>
        <n v="14"/>
        <n v="19"/>
        <n v="20"/>
        <n v="15"/>
        <n v="18"/>
        <n v="21"/>
        <n v="22"/>
        <n v="23"/>
        <n v="24"/>
        <n v="25"/>
        <n v="26"/>
        <n v="27"/>
        <n v="28"/>
        <n v="0" u="1"/>
        <n v="33" u="1"/>
        <n v="46" u="1"/>
        <n v="29" u="1"/>
        <n v="39" u="1"/>
        <n v="52" u="1"/>
        <n v="32" u="1"/>
        <n v="45" u="1"/>
        <n v="38" u="1"/>
        <n v="51" u="1"/>
        <n v="44" u="1"/>
        <n v="37" u="1"/>
        <n v="50" u="1"/>
        <n v="31" u="1"/>
        <n v="43" u="1"/>
        <n v="36" u="1"/>
        <n v="49" u="1"/>
        <n v="42" u="1"/>
        <n v="35" u="1"/>
        <n v="48" u="1"/>
        <n v="30" u="1"/>
        <n v="41" u="1"/>
        <n v="34" u="1"/>
        <n v="47" u="1"/>
        <n v="40" u="1"/>
      </sharedItems>
    </cacheField>
    <cacheField name="Month" numFmtId="0">
      <sharedItems containsBlank="1" count="13">
        <s v="Jan"/>
        <s v="Feb"/>
        <s v="Mar"/>
        <s v="Apr"/>
        <s v="May"/>
        <s v="Jun"/>
        <s v="Jul"/>
        <m u="1"/>
        <s v="Sep" u="1"/>
        <s v="Nov" u="1"/>
        <s v="Dec" u="1"/>
        <s v="Oct" u="1"/>
        <s v="Aug" u="1"/>
      </sharedItems>
    </cacheField>
    <cacheField name="Type" numFmtId="0">
      <sharedItems containsBlank="1" count="13">
        <s v="NPI"/>
        <s v="MEETING"/>
        <s v="Part DFM"/>
        <s v="DFM Mold"/>
        <s v="OTHER"/>
        <s v="PACKING"/>
        <s v="RFQ"/>
        <s v="DFA"/>
        <s v="PROJECT"/>
        <s v=""/>
        <m u="1"/>
        <s v="DFM" u="1"/>
        <s v="Internal DFM" u="1"/>
      </sharedItems>
    </cacheField>
    <cacheField name="TASK" numFmtId="0">
      <sharedItems containsBlank="1" count="44">
        <s v="NPI Technical support"/>
        <s v="Review JIG concept"/>
        <s v="Meeting"/>
        <s v="Review internal DFM "/>
        <s v="Sample assembly Support"/>
        <s v="Review DFM Part Drawing and feed back"/>
        <s v="Review DFM MOLD and feed back"/>
        <s v="Create standard document"/>
        <s v="Training"/>
        <s v="Design New Packaging"/>
        <s v="Pilot assembly Support"/>
        <s v="Support packing"/>
        <s v="RFQ Packing"/>
        <s v="Confirm packing"/>
        <s v="Create drawing"/>
        <s v="DFA Feedback to Customer and waiting customer review "/>
        <s v="Quality Issue Analysis"/>
        <s v="RFQ"/>
        <s v="Review OPL"/>
        <s v="Support register document"/>
        <s v="Review internal DFA"/>
        <s v="Review Revised Data and Final DFM Mold Approval"/>
        <s v="DFM Feedback to Customer and waiting customer review"/>
        <s v="5S meeting"/>
        <s v="Initial review custmer data for DFA"/>
        <s v="PreSerise  assembly Support"/>
        <s v="Interview candidate new member"/>
        <s v="Visit Exhibition"/>
        <s v="Initial review custmer data for DFM"/>
        <s v="KAIZEN"/>
        <s v="Prepare customer label"/>
        <s v="Trial tooling"/>
        <m/>
        <s v="Checking part trial"/>
        <s v="Prototype assembly Support" u="1"/>
        <s v="Improve working process" u="1"/>
        <s v="Review Revised Data and Final internal DFM Approval" u="1"/>
        <s v="MP assembly support" u="1"/>
        <s v="Support sample packing" u="1"/>
        <s v="Support temporary packing" u="1"/>
        <s v="Review Part and Assembly level" u="1"/>
        <s v="Planing" u="1"/>
        <s v="Process Improvement" u="1"/>
        <s v="Create assembly flow" u="1"/>
      </sharedItems>
    </cacheField>
    <cacheField name="PRODUCT/Description" numFmtId="0">
      <sharedItems/>
    </cacheField>
    <cacheField name="CUSTOMER" numFmtId="0">
      <sharedItems containsBlank="1"/>
    </cacheField>
    <cacheField name="PIC" numFmtId="0">
      <sharedItems/>
    </cacheField>
    <cacheField name="Start Date" numFmtId="168">
      <sharedItems containsSemiMixedTypes="0" containsNonDate="0" containsDate="1" containsString="0" minDate="2026-01-05T00:00:00" maxDate="2026-07-11T00:00:00"/>
    </cacheField>
    <cacheField name="Target Date" numFmtId="168">
      <sharedItems containsSemiMixedTypes="0" containsNonDate="0" containsDate="1" containsString="0" minDate="2025-05-08T00:00:00" maxDate="2026-07-15T00:00:00" count="285">
        <d v="2026-01-05T00:00:00"/>
        <d v="2026-01-06T00:00:00"/>
        <d v="2026-01-07T00:00:00"/>
        <d v="2026-01-08T00:00:00"/>
        <d v="2026-01-12T00:00:00"/>
        <d v="2026-01-13T00:00:00"/>
        <d v="2026-01-14T00:00:00"/>
        <d v="2026-01-15T00:00:00"/>
        <d v="2026-01-16T00:00:00"/>
        <d v="2026-01-20T00:00:00"/>
        <d v="2026-01-21T00:00:00"/>
        <d v="2026-01-23T00:00:00"/>
        <d v="2026-01-26T00:00:00"/>
        <d v="2026-01-27T00:00:00"/>
        <d v="2026-01-28T00:00:00"/>
        <d v="2026-01-29T00:00:00"/>
        <d v="2026-01-30T00:00:00"/>
        <d v="2026-02-02T00:00:00"/>
        <d v="2026-02-03T00:00:00"/>
        <d v="2026-02-04T00:00:00"/>
        <d v="2026-02-06T00:00:00"/>
        <d v="2026-02-11T00:00:00"/>
        <d v="2026-02-12T00:00:00"/>
        <d v="2026-02-25T00:00:00"/>
        <d v="2026-02-17T00:00:00"/>
        <d v="2026-03-05T00:00:00"/>
        <d v="2026-01-09T00:00:00"/>
        <d v="2026-01-22T00:00:00"/>
        <d v="2026-03-06T00:00:00"/>
        <d v="2026-02-09T00:00:00"/>
        <d v="2026-02-10T00:00:00"/>
        <d v="2026-02-13T00:00:00"/>
        <d v="2026-02-05T00:00:00"/>
        <d v="2026-02-19T00:00:00"/>
        <d v="2026-02-16T00:00:00"/>
        <d v="2026-02-18T00:00:00"/>
        <d v="2026-02-20T00:00:00"/>
        <d v="2026-02-24T00:00:00"/>
        <d v="2026-02-27T00:00:00"/>
        <d v="2026-02-23T00:00:00"/>
        <d v="2026-02-26T00:00:00"/>
        <d v="2026-03-03T00:00:00"/>
        <d v="2026-03-04T00:00:00"/>
        <d v="2026-03-02T00:00:00"/>
        <d v="2026-03-09T00:00:00"/>
        <d v="2026-03-10T00:00:00"/>
        <d v="2026-03-11T00:00:00"/>
        <d v="2026-03-12T00:00:00"/>
        <d v="2026-03-13T00:00:00"/>
        <d v="2026-03-18T00:00:00"/>
        <d v="2026-03-16T00:00:00"/>
        <d v="2026-03-17T00:00:00"/>
        <d v="2026-03-20T00:00:00"/>
        <d v="2026-03-25T00:00:00"/>
        <d v="2026-04-22T00:00:00"/>
        <d v="2026-03-19T00:00:00"/>
        <d v="2026-03-24T00:00:00"/>
        <d v="2026-03-31T00:00:00"/>
        <d v="2026-03-27T00:00:00"/>
        <d v="2026-03-23T00:00:00"/>
        <d v="2026-03-26T00:00:00"/>
        <d v="2026-03-30T00:00:00"/>
        <d v="2026-04-01T00:00:00"/>
        <d v="2026-04-02T00:00:00"/>
        <d v="2026-04-03T00:00:00"/>
        <d v="2026-05-08T00:00:00"/>
        <d v="2026-05-12T00:00:00"/>
        <d v="2026-05-13T00:00:00"/>
        <d v="2026-05-15T00:00:00"/>
        <d v="2026-05-06T00:00:00"/>
        <d v="2026-05-07T00:00:00"/>
        <d v="2026-04-06T00:00:00"/>
        <d v="2026-04-07T00:00:00"/>
        <d v="2026-04-09T00:00:00"/>
        <d v="2026-04-10T00:00:00"/>
        <d v="2026-04-21T00:00:00"/>
        <d v="2026-04-08T00:00:00"/>
        <d v="2026-04-20T00:00:00"/>
        <d v="2026-04-23T00:00:00"/>
        <d v="2026-04-30T00:00:00"/>
        <d v="2026-04-29T00:00:00"/>
        <d v="2026-04-24T00:00:00"/>
        <d v="2026-04-28T00:00:00"/>
        <d v="2026-05-19T00:00:00"/>
        <d v="2026-04-27T00:00:00"/>
        <d v="2026-05-05T00:00:00"/>
        <d v="2026-05-11T00:00:00"/>
        <d v="2026-05-18T00:00:00"/>
        <d v="2026-05-14T00:00:00"/>
        <d v="2026-05-21T00:00:00"/>
        <d v="2026-05-22T00:00:00"/>
        <d v="2026-05-20T00:00:00"/>
        <d v="2026-05-25T00:00:00"/>
        <d v="2026-05-26T00:00:00"/>
        <d v="2026-05-27T00:00:00"/>
        <d v="2026-05-29T00:00:00"/>
        <d v="2026-05-28T00:00:00"/>
        <d v="2026-06-05T00:00:00"/>
        <d v="2026-06-02T00:00:00"/>
        <d v="2026-06-08T00:00:00"/>
        <d v="2026-06-04T00:00:00"/>
        <d v="2026-06-12T00:00:00"/>
        <d v="2026-06-09T00:00:00"/>
        <d v="2026-06-01T00:00:00"/>
        <d v="2026-06-10T00:00:00"/>
        <d v="2026-06-19T00:00:00"/>
        <d v="2026-06-11T00:00:00"/>
        <d v="2026-06-17T00:00:00"/>
        <d v="2026-06-16T00:00:00"/>
        <d v="2026-06-18T00:00:00"/>
        <d v="2026-06-15T00:00:00"/>
        <d v="2026-06-23T00:00:00"/>
        <d v="2026-06-24T00:00:00"/>
        <d v="2026-06-25T00:00:00"/>
        <d v="2026-06-26T00:00:00"/>
        <d v="2026-06-22T00:00:00"/>
        <d v="2026-06-29T00:00:00"/>
        <d v="2026-06-30T00:00:00"/>
        <d v="2026-07-01T00:00:00"/>
        <d v="2026-07-02T00:00:00"/>
        <d v="2026-07-03T00:00:00"/>
        <d v="2026-07-07T00:00:00"/>
        <d v="2026-07-08T00:00:00"/>
        <d v="2026-07-10T00:00:00"/>
        <d v="2026-07-06T00:00:00"/>
        <d v="2026-07-09T00:00:00"/>
        <d v="2026-07-14T00:00:00"/>
        <d v="2025-08-11T00:00:00" u="1"/>
        <d v="2025-11-13T00:00:00" u="1"/>
        <d v="2025-10-28T00:00:00" u="1"/>
        <d v="2025-08-07T00:00:00" u="1"/>
        <d v="2025-07-22T00:00:00" u="1"/>
        <d v="2025-10-24T00:00:00" u="1"/>
        <d v="2025-11-05T00:00:00" u="1"/>
        <d v="2025-07-18T00:00:00" u="1"/>
        <d v="2025-10-20T00:00:00" u="1"/>
        <d v="2025-10-16T00:00:00" u="1"/>
        <d v="2025-06-25T00:00:00" u="1"/>
        <d v="2025-10-08T00:00:00" u="1"/>
        <d v="2025-09-23T00:00:00" u="1"/>
        <d v="2025-07-02T00:00:00" u="1"/>
        <d v="2025-12-25T00:00:00" u="1"/>
        <d v="2025-06-17T00:00:00" u="1"/>
        <d v="2025-09-19T00:00:00" u="1"/>
        <d v="2025-06-13T00:00:00" u="1"/>
        <d v="2025-09-15T00:00:00" u="1"/>
        <d v="2025-05-28T00:00:00" u="1"/>
        <d v="2025-12-17T00:00:00" u="1"/>
        <d v="2025-09-11T00:00:00" u="1"/>
        <d v="2025-08-26T00:00:00" u="1"/>
        <d v="2025-11-28T00:00:00" u="1"/>
        <d v="2025-05-20T00:00:00" u="1"/>
        <d v="2025-12-09T00:00:00" u="1"/>
        <d v="2025-08-22T00:00:00" u="1"/>
        <d v="2025-11-24T00:00:00" u="1"/>
        <d v="2025-09-03T00:00:00" u="1"/>
        <d v="2025-05-16T00:00:00" u="1"/>
        <d v="2025-08-18T00:00:00" u="1"/>
        <d v="2025-11-20T00:00:00" u="1"/>
        <d v="2025-05-12T00:00:00" u="1"/>
        <d v="2025-12-01T00:00:00" u="1"/>
        <d v="2025-08-14T00:00:00" u="1"/>
        <d v="2025-07-29T00:00:00" u="1"/>
        <d v="2025-05-08T00:00:00" u="1"/>
        <d v="2025-10-31T00:00:00" u="1"/>
        <d v="2025-11-12T00:00:00" u="1"/>
        <d v="2025-07-25T00:00:00" u="1"/>
        <d v="2025-10-27T00:00:00" u="1"/>
        <d v="2025-08-06T00:00:00" u="1"/>
        <d v="2025-07-21T00:00:00" u="1"/>
        <d v="2025-10-23T00:00:00" u="1"/>
        <d v="2025-11-04T00:00:00" u="1"/>
        <d v="2025-07-17T00:00:00" u="1"/>
        <d v="2025-10-15T00:00:00" u="1"/>
        <d v="2025-09-30T00:00:00" u="1"/>
        <d v="2025-07-09T00:00:00" u="1"/>
        <d v="2025-06-24T00:00:00" u="1"/>
        <d v="2025-09-26T00:00:00" u="1"/>
        <d v="2025-10-07T00:00:00" u="1"/>
        <d v="2025-06-20T00:00:00" u="1"/>
        <d v="2025-09-22T00:00:00" u="1"/>
        <d v="2025-07-01T00:00:00" u="1"/>
        <d v="2025-12-24T00:00:00" u="1"/>
        <d v="2025-10-03T00:00:00" u="1"/>
        <d v="2025-06-16T00:00:00" u="1"/>
        <d v="2025-09-18T00:00:00" u="1"/>
        <d v="2025-05-27T00:00:00" u="1"/>
        <d v="2025-12-16T00:00:00" u="1"/>
        <d v="2025-08-29T00:00:00" u="1"/>
        <d v="2025-09-10T00:00:00" u="1"/>
        <d v="2025-05-23T00:00:00" u="1"/>
        <d v="2025-12-12T00:00:00" u="1"/>
        <d v="2025-08-25T00:00:00" u="1"/>
        <d v="2025-06-04T00:00:00" u="1"/>
        <d v="2025-11-27T00:00:00" u="1"/>
        <d v="2025-09-06T00:00:00" u="1"/>
        <d v="2025-05-19T00:00:00" u="1"/>
        <d v="2025-12-08T00:00:00" u="1"/>
        <d v="2025-08-21T00:00:00" u="1"/>
        <d v="2025-09-02T00:00:00" u="1"/>
        <d v="2025-05-15T00:00:00" u="1"/>
        <d v="2025-12-04T00:00:00" u="1"/>
        <d v="2025-11-19T00:00:00" u="1"/>
        <d v="2025-08-13T00:00:00" u="1"/>
        <d v="2025-10-30T00:00:00" u="1"/>
        <d v="2025-11-11T00:00:00" u="1"/>
        <d v="2025-07-24T00:00:00" u="1"/>
        <d v="2025-08-05T00:00:00" u="1"/>
        <d v="2025-11-07T00:00:00" u="1"/>
        <d v="2025-10-22T00:00:00" u="1"/>
        <d v="2025-08-01T00:00:00" u="1"/>
        <d v="2025-07-16T00:00:00" u="1"/>
        <d v="2025-10-14T00:00:00" u="1"/>
        <d v="2025-06-27T00:00:00" u="1"/>
        <d v="2025-09-29T00:00:00" u="1"/>
        <d v="2025-07-08T00:00:00" u="1"/>
        <d v="2025-10-10T00:00:00" u="1"/>
        <d v="2025-06-23T00:00:00" u="1"/>
        <d v="2025-09-25T00:00:00" u="1"/>
        <d v="2025-07-04T00:00:00" u="1"/>
        <d v="2025-10-06T00:00:00" u="1"/>
        <d v="2025-06-19T00:00:00" u="1"/>
        <d v="2025-12-23T00:00:00" u="1"/>
        <d v="2025-10-02T00:00:00" u="1"/>
        <d v="2025-09-17T00:00:00" u="1"/>
        <d v="2025-05-30T00:00:00" u="1"/>
        <d v="2025-12-19T00:00:00" u="1"/>
        <d v="2025-06-11T00:00:00" u="1"/>
        <d v="2025-05-26T00:00:00" u="1"/>
        <d v="2025-12-15T00:00:00" u="1"/>
        <d v="2025-08-28T00:00:00" u="1"/>
        <d v="2025-09-09T00:00:00" u="1"/>
        <d v="2025-05-22T00:00:00" u="1"/>
        <d v="2025-12-11T00:00:00" u="1"/>
        <d v="2025-11-26T00:00:00" u="1"/>
        <d v="2025-09-05T00:00:00" u="1"/>
        <d v="2025-08-20T00:00:00" u="1"/>
        <d v="2025-09-01T00:00:00" u="1"/>
        <d v="2025-05-14T00:00:00" u="1"/>
        <d v="2025-12-03T00:00:00" u="1"/>
        <d v="2025-11-18T00:00:00" u="1"/>
        <d v="2025-07-31T00:00:00" u="1"/>
        <d v="2025-11-14T00:00:00" u="1"/>
        <d v="2025-10-29T00:00:00" u="1"/>
        <d v="2025-08-08T00:00:00" u="1"/>
        <d v="2026-01-19T00:00:00" u="1"/>
        <d v="2025-11-10T00:00:00" u="1"/>
        <d v="2025-07-23T00:00:00" u="1"/>
        <d v="2025-08-04T00:00:00" u="1"/>
        <d v="2025-11-06T00:00:00" u="1"/>
        <d v="2025-10-21T00:00:00" u="1"/>
        <d v="2025-07-15T00:00:00" u="1"/>
        <d v="2025-10-17T00:00:00" u="1"/>
        <d v="2025-06-30T00:00:00" u="1"/>
        <d v="2025-07-11T00:00:00" u="1"/>
        <d v="2025-10-13T00:00:00" u="1"/>
        <d v="2025-06-26T00:00:00" u="1"/>
        <d v="2025-07-07T00:00:00" u="1"/>
        <d v="2025-10-09T00:00:00" u="1"/>
        <d v="2025-09-24T00:00:00" u="1"/>
        <d v="2025-07-03T00:00:00" u="1"/>
        <d v="2025-12-26T00:00:00" u="1"/>
        <d v="2025-06-18T00:00:00" u="1"/>
        <d v="2025-12-22T00:00:00" u="1"/>
        <d v="2025-10-01T00:00:00" u="1"/>
        <d v="2025-09-16T00:00:00" u="1"/>
        <d v="2025-05-29T00:00:00" u="1"/>
        <d v="2025-12-18T00:00:00" u="1"/>
        <d v="2025-06-10T00:00:00" u="1"/>
        <d v="2025-09-12T00:00:00" u="1"/>
        <d v="2025-08-27T00:00:00" u="1"/>
        <d v="2025-06-06T00:00:00" u="1"/>
        <d v="2025-09-08T00:00:00" u="1"/>
        <d v="2025-05-21T00:00:00" u="1"/>
        <d v="2025-12-10T00:00:00" u="1"/>
        <d v="2025-11-25T00:00:00" u="1"/>
        <d v="2025-09-04T00:00:00" u="1"/>
        <d v="2025-08-19T00:00:00" u="1"/>
        <d v="2025-11-21T00:00:00" u="1"/>
        <d v="2025-05-13T00:00:00" u="1"/>
        <d v="2025-12-02T00:00:00" u="1"/>
        <d v="2025-08-15T00:00:00" u="1"/>
        <d v="2025-11-17T00:00:00" u="1"/>
        <d v="2025-07-30T00:00:00" u="1"/>
        <d v="2025-05-09T00:00:00" u="1"/>
      </sharedItems>
    </cacheField>
    <cacheField name="Finish Date" numFmtId="0">
      <sharedItems containsNonDate="0" containsDate="1" containsString="0" containsBlank="1" minDate="2025-12-26T00:00:00" maxDate="2026-07-10T00:00:00"/>
    </cacheField>
    <cacheField name="Status" numFmtId="0">
      <sharedItems containsBlank="1" count="3">
        <s v="Close"/>
        <s v="On process"/>
        <m u="1"/>
      </sharedItems>
    </cacheField>
    <cacheField name="OverDue Aleart" numFmtId="0">
      <sharedItems containsBlank="1" count="4">
        <s v="Closed"/>
        <s v="On time"/>
        <s v="Overdue" u="1"/>
        <m u="1"/>
      </sharedItems>
    </cacheField>
    <cacheField name="Performace_x000a_status" numFmtId="0">
      <sharedItems containsBlank="1" count="4">
        <s v="On Time"/>
        <s v="Delay"/>
        <s v=""/>
        <m u="1"/>
      </sharedItems>
    </cacheField>
    <cacheField name="Column1" numFmtId="0">
      <sharedItems containsNonDate="0" containsString="0" containsBlank="1"/>
    </cacheField>
    <cacheField name="Column12" numFmtId="0">
      <sharedItems containsNonDate="0" containsString="0" containsBlank="1"/>
    </cacheField>
    <cacheField name="Column13" numFmtId="0">
      <sharedItems containsNonDate="0" containsString="0" containsBlank="1"/>
    </cacheField>
    <cacheField name="Column14" numFmtId="0">
      <sharedItems containsNonDate="0" containsString="0" containsBlank="1"/>
    </cacheField>
    <cacheField name="Column15" numFmtId="0">
      <sharedItems containsNonDate="0" containsString="0" containsBlank="1"/>
    </cacheField>
    <cacheField name="Column16" numFmtId="0">
      <sharedItems containsNonDate="0" containsString="0" containsBlank="1"/>
    </cacheField>
    <cacheField name="Column17" numFmtId="0">
      <sharedItems containsNonDate="0" containsString="0" containsBlank="1"/>
    </cacheField>
    <cacheField name="Column18" numFmtId="0">
      <sharedItems containsNonDate="0" containsString="0" containsBlank="1"/>
    </cacheField>
    <cacheField name="Column19" numFmtId="0">
      <sharedItems containsNonDate="0" containsString="0" containsBlank="1"/>
    </cacheField>
    <cacheField name="Column110" numFmtId="0">
      <sharedItems containsNonDate="0" containsString="0" containsBlank="1"/>
    </cacheField>
    <cacheField name="Column111" numFmtId="0">
      <sharedItems containsNonDate="0" containsString="0" containsBlank="1"/>
    </cacheField>
    <cacheField name="Column112" numFmtId="0">
      <sharedItems containsNonDate="0" containsString="0" containsBlank="1"/>
    </cacheField>
    <cacheField name="Column113" numFmtId="0">
      <sharedItems containsNonDate="0" containsString="0" containsBlank="1"/>
    </cacheField>
    <cacheField name="Column114" numFmtId="0">
      <sharedItems containsNonDate="0" containsString="0" containsBlank="1"/>
    </cacheField>
    <cacheField name="Column115" numFmtId="0">
      <sharedItems containsNonDate="0" containsString="0" containsBlank="1"/>
    </cacheField>
    <cacheField name="Column116" numFmtId="0">
      <sharedItems containsNonDate="0" containsString="0" containsBlank="1"/>
    </cacheField>
    <cacheField name="Column117" numFmtId="0">
      <sharedItems containsNonDate="0" containsString="0" containsBlank="1"/>
    </cacheField>
    <cacheField name="Column118" numFmtId="0">
      <sharedItems containsNonDate="0" containsString="0" containsBlank="1"/>
    </cacheField>
    <cacheField name="Column119" numFmtId="0">
      <sharedItems containsNonDate="0" containsString="0" containsBlank="1"/>
    </cacheField>
    <cacheField name="Column120" numFmtId="0">
      <sharedItems containsNonDate="0" containsString="0" containsBlank="1"/>
    </cacheField>
    <cacheField name="Column121" numFmtId="0">
      <sharedItems containsNonDate="0" containsString="0" containsBlank="1"/>
    </cacheField>
    <cacheField name="Column122" numFmtId="0">
      <sharedItems containsNonDate="0" containsString="0" containsBlank="1"/>
    </cacheField>
    <cacheField name="Column123" numFmtId="0">
      <sharedItems containsNonDate="0" containsString="0" containsBlank="1"/>
    </cacheField>
    <cacheField name="Column124" numFmtId="0">
      <sharedItems containsNonDate="0" containsString="0" containsBlank="1"/>
    </cacheField>
    <cacheField name="Column125" numFmtId="0">
      <sharedItems containsNonDate="0" containsString="0" containsBlank="1"/>
    </cacheField>
    <cacheField name="Column126" numFmtId="0">
      <sharedItems containsNonDate="0" containsString="0" containsBlank="1"/>
    </cacheField>
    <cacheField name="Column127" numFmtId="0">
      <sharedItems containsNonDate="0" containsString="0" containsBlank="1"/>
    </cacheField>
    <cacheField name="Column128" numFmtId="0">
      <sharedItems containsNonDate="0" containsString="0" containsBlank="1"/>
    </cacheField>
  </cacheFields>
  <extLst>
    <ext xmlns:x14="http://schemas.microsoft.com/office/spreadsheetml/2009/9/main" uri="{725AE2AE-9491-48be-B2B4-4EB974FC3084}">
      <x14:pivotCacheDefinition pivotCacheId="20146455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r>
  <r>
    <x v="1"/>
  </r>
  <r>
    <x v="2"/>
  </r>
  <r>
    <x v="3"/>
  </r>
  <r>
    <x v="4"/>
  </r>
  <r>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6">
  <r>
    <x v="0"/>
    <x v="0"/>
    <x v="0"/>
    <x v="0"/>
    <s v="AMW 03457 Follow  up customer comment about dimension outspec or not of part screen protection"/>
    <s v="Numworks"/>
    <s v="Thiti"/>
    <d v="2026-01-05T00:00:00"/>
    <x v="0"/>
    <d v="2026-01-05T00:00:00"/>
    <x v="0"/>
    <x v="0"/>
    <x v="0"/>
    <m/>
    <m/>
    <m/>
    <m/>
    <m/>
    <m/>
    <m/>
    <m/>
    <m/>
    <m/>
    <m/>
    <m/>
    <m/>
    <m/>
    <m/>
    <m/>
    <m/>
    <m/>
    <m/>
    <m/>
    <m/>
    <m/>
    <m/>
    <m/>
    <m/>
    <m/>
    <m/>
    <m/>
  </r>
  <r>
    <x v="0"/>
    <x v="0"/>
    <x v="0"/>
    <x v="0"/>
    <s v="Confirm drawing to SRC about area texture on logo of part BOX of JRI model "/>
    <s v="JRI"/>
    <s v="Thiti"/>
    <d v="2026-01-06T00:00:00"/>
    <x v="1"/>
    <d v="2026-01-06T00:00:00"/>
    <x v="0"/>
    <x v="0"/>
    <x v="0"/>
    <m/>
    <m/>
    <m/>
    <m/>
    <m/>
    <m/>
    <m/>
    <m/>
    <m/>
    <m/>
    <m/>
    <m/>
    <m/>
    <m/>
    <m/>
    <m/>
    <m/>
    <m/>
    <m/>
    <m/>
    <m/>
    <m/>
    <m/>
    <m/>
    <m/>
    <m/>
    <m/>
    <m/>
  </r>
  <r>
    <x v="0"/>
    <x v="0"/>
    <x v="0"/>
    <x v="0"/>
    <s v="Support made 2D drawing printing detial of Numworks school Property project"/>
    <s v="Numworks"/>
    <s v="Thiti"/>
    <d v="2026-01-06T00:00:00"/>
    <x v="2"/>
    <d v="2026-01-07T00:00:00"/>
    <x v="0"/>
    <x v="0"/>
    <x v="0"/>
    <m/>
    <m/>
    <m/>
    <m/>
    <m/>
    <m/>
    <m/>
    <m/>
    <m/>
    <m/>
    <m/>
    <m/>
    <m/>
    <m/>
    <m/>
    <m/>
    <m/>
    <m/>
    <m/>
    <m/>
    <m/>
    <m/>
    <m/>
    <m/>
    <m/>
    <m/>
    <m/>
    <m/>
  </r>
  <r>
    <x v="0"/>
    <x v="0"/>
    <x v="0"/>
    <x v="0"/>
    <s v="AMW 03457 Support SRC review cost laser engraving JIG"/>
    <s v="Numworks"/>
    <s v="Thiti"/>
    <d v="2026-01-07T00:00:00"/>
    <x v="3"/>
    <d v="2026-01-08T00:00:00"/>
    <x v="0"/>
    <x v="0"/>
    <x v="0"/>
    <m/>
    <m/>
    <m/>
    <m/>
    <m/>
    <m/>
    <m/>
    <m/>
    <m/>
    <m/>
    <m/>
    <m/>
    <m/>
    <m/>
    <m/>
    <m/>
    <m/>
    <m/>
    <m/>
    <m/>
    <m/>
    <m/>
    <m/>
    <m/>
    <m/>
    <m/>
    <m/>
    <m/>
  </r>
  <r>
    <x v="0"/>
    <x v="0"/>
    <x v="0"/>
    <x v="1"/>
    <s v="AMW 03457 Review concept jig design for attached foam screen"/>
    <s v="Numworks"/>
    <s v="Thiti"/>
    <d v="2026-01-07T00:00:00"/>
    <x v="2"/>
    <d v="2026-01-07T00:00:00"/>
    <x v="0"/>
    <x v="0"/>
    <x v="0"/>
    <m/>
    <m/>
    <m/>
    <m/>
    <m/>
    <m/>
    <m/>
    <m/>
    <m/>
    <m/>
    <m/>
    <m/>
    <m/>
    <m/>
    <m/>
    <m/>
    <m/>
    <m/>
    <m/>
    <m/>
    <m/>
    <m/>
    <m/>
    <m/>
    <m/>
    <m/>
    <m/>
    <m/>
  </r>
  <r>
    <x v="0"/>
    <x v="0"/>
    <x v="1"/>
    <x v="2"/>
    <s v="AMW 03457 N0102 Numworks weekly progress"/>
    <s v="Numworks"/>
    <s v="Thiti"/>
    <d v="2026-01-08T00:00:00"/>
    <x v="3"/>
    <d v="2026-01-08T00:00:00"/>
    <x v="0"/>
    <x v="0"/>
    <x v="0"/>
    <m/>
    <m/>
    <m/>
    <m/>
    <m/>
    <m/>
    <m/>
    <m/>
    <m/>
    <m/>
    <m/>
    <m/>
    <m/>
    <m/>
    <m/>
    <m/>
    <m/>
    <m/>
    <m/>
    <m/>
    <m/>
    <m/>
    <m/>
    <m/>
    <m/>
    <m/>
    <m/>
    <m/>
  </r>
  <r>
    <x v="1"/>
    <x v="0"/>
    <x v="0"/>
    <x v="0"/>
    <s v="Confirm handmafe sample modify idea of Jointpile "/>
    <s v="JRI"/>
    <s v="Thiti"/>
    <d v="2026-01-12T00:00:00"/>
    <x v="4"/>
    <d v="2026-01-12T00:00:00"/>
    <x v="0"/>
    <x v="0"/>
    <x v="0"/>
    <m/>
    <m/>
    <m/>
    <m/>
    <m/>
    <m/>
    <m/>
    <m/>
    <m/>
    <m/>
    <m/>
    <m/>
    <m/>
    <m/>
    <m/>
    <m/>
    <m/>
    <m/>
    <m/>
    <m/>
    <m/>
    <m/>
    <m/>
    <m/>
    <m/>
    <m/>
    <m/>
    <m/>
  </r>
  <r>
    <x v="1"/>
    <x v="0"/>
    <x v="0"/>
    <x v="0"/>
    <s v="Study overmold concept for new JRI project"/>
    <s v="JRI"/>
    <s v="Thiti"/>
    <d v="2026-01-12T00:00:00"/>
    <x v="4"/>
    <d v="2026-01-12T00:00:00"/>
    <x v="0"/>
    <x v="0"/>
    <x v="0"/>
    <m/>
    <m/>
    <m/>
    <m/>
    <m/>
    <m/>
    <m/>
    <m/>
    <m/>
    <m/>
    <m/>
    <m/>
    <m/>
    <m/>
    <m/>
    <m/>
    <m/>
    <m/>
    <m/>
    <m/>
    <m/>
    <m/>
    <m/>
    <m/>
    <m/>
    <m/>
    <m/>
    <m/>
  </r>
  <r>
    <x v="1"/>
    <x v="0"/>
    <x v="0"/>
    <x v="0"/>
    <s v="Visit new supplier Tontec"/>
    <m/>
    <s v="Thiti"/>
    <d v="2026-01-13T00:00:00"/>
    <x v="5"/>
    <d v="2026-01-13T00:00:00"/>
    <x v="0"/>
    <x v="0"/>
    <x v="0"/>
    <m/>
    <m/>
    <m/>
    <m/>
    <m/>
    <m/>
    <m/>
    <m/>
    <m/>
    <m/>
    <m/>
    <m/>
    <m/>
    <m/>
    <m/>
    <m/>
    <m/>
    <m/>
    <m/>
    <m/>
    <m/>
    <m/>
    <m/>
    <m/>
    <m/>
    <m/>
    <m/>
    <m/>
  </r>
  <r>
    <x v="1"/>
    <x v="0"/>
    <x v="0"/>
    <x v="0"/>
    <s v="Review modify cost for Laser Engraving base jig JRI"/>
    <s v="JRI"/>
    <s v="Thiti"/>
    <d v="2026-01-14T00:00:00"/>
    <x v="6"/>
    <d v="2026-01-14T00:00:00"/>
    <x v="0"/>
    <x v="0"/>
    <x v="0"/>
    <m/>
    <m/>
    <m/>
    <m/>
    <m/>
    <m/>
    <m/>
    <m/>
    <m/>
    <m/>
    <m/>
    <m/>
    <m/>
    <m/>
    <m/>
    <m/>
    <m/>
    <m/>
    <m/>
    <m/>
    <m/>
    <m/>
    <m/>
    <m/>
    <m/>
    <m/>
    <m/>
    <m/>
  </r>
  <r>
    <x v="1"/>
    <x v="0"/>
    <x v="0"/>
    <x v="0"/>
    <s v="AMW 03457 Review inspection report of NW ( 6 parts ) and judgement for using in assembly"/>
    <s v="Numworks"/>
    <s v="Thiti"/>
    <d v="2026-01-14T00:00:00"/>
    <x v="7"/>
    <d v="2026-01-15T00:00:00"/>
    <x v="0"/>
    <x v="0"/>
    <x v="0"/>
    <m/>
    <m/>
    <m/>
    <m/>
    <m/>
    <m/>
    <m/>
    <m/>
    <m/>
    <m/>
    <m/>
    <m/>
    <m/>
    <m/>
    <m/>
    <m/>
    <m/>
    <m/>
    <m/>
    <m/>
    <m/>
    <m/>
    <m/>
    <m/>
    <m/>
    <m/>
    <m/>
    <m/>
  </r>
  <r>
    <x v="1"/>
    <x v="0"/>
    <x v="1"/>
    <x v="2"/>
    <s v="JRI weekly meeting"/>
    <s v="JRI"/>
    <s v="Thiti"/>
    <d v="2026-01-14T00:00:00"/>
    <x v="6"/>
    <d v="2026-01-14T00:00:00"/>
    <x v="0"/>
    <x v="0"/>
    <x v="0"/>
    <m/>
    <m/>
    <m/>
    <m/>
    <m/>
    <m/>
    <m/>
    <m/>
    <m/>
    <m/>
    <m/>
    <m/>
    <m/>
    <m/>
    <m/>
    <m/>
    <m/>
    <m/>
    <m/>
    <m/>
    <m/>
    <m/>
    <m/>
    <m/>
    <m/>
    <m/>
    <m/>
    <m/>
  </r>
  <r>
    <x v="1"/>
    <x v="0"/>
    <x v="0"/>
    <x v="0"/>
    <s v="Confirm handmafe sample modify idea of Jointpile rev2"/>
    <s v="JRI"/>
    <s v="Thiti"/>
    <d v="2026-01-16T00:00:00"/>
    <x v="8"/>
    <d v="2026-01-16T00:00:00"/>
    <x v="0"/>
    <x v="0"/>
    <x v="0"/>
    <m/>
    <m/>
    <m/>
    <m/>
    <m/>
    <m/>
    <m/>
    <m/>
    <m/>
    <m/>
    <m/>
    <m/>
    <m/>
    <m/>
    <m/>
    <m/>
    <m/>
    <m/>
    <m/>
    <m/>
    <m/>
    <m/>
    <m/>
    <m/>
    <m/>
    <m/>
    <m/>
    <m/>
  </r>
  <r>
    <x v="2"/>
    <x v="0"/>
    <x v="2"/>
    <x v="3"/>
    <s v="AMW 03667 Review New JRI Digital Sensor mode"/>
    <s v="JRI"/>
    <s v="Thiti"/>
    <d v="2026-01-19T00:00:00"/>
    <x v="9"/>
    <d v="2026-01-20T00:00:00"/>
    <x v="0"/>
    <x v="0"/>
    <x v="0"/>
    <m/>
    <m/>
    <m/>
    <m/>
    <m/>
    <m/>
    <m/>
    <m/>
    <m/>
    <m/>
    <m/>
    <m/>
    <m/>
    <m/>
    <m/>
    <m/>
    <m/>
    <m/>
    <m/>
    <m/>
    <m/>
    <m/>
    <m/>
    <m/>
    <m/>
    <m/>
    <m/>
    <m/>
  </r>
  <r>
    <x v="2"/>
    <x v="0"/>
    <x v="2"/>
    <x v="3"/>
    <s v="AMW 03668 Review New JRI Digital Sensor mode"/>
    <s v="JRI"/>
    <s v="Thiti"/>
    <d v="2026-01-19T00:00:00"/>
    <x v="9"/>
    <d v="2026-01-20T00:00:00"/>
    <x v="0"/>
    <x v="0"/>
    <x v="0"/>
    <m/>
    <m/>
    <m/>
    <m/>
    <m/>
    <m/>
    <m/>
    <m/>
    <m/>
    <m/>
    <m/>
    <m/>
    <m/>
    <m/>
    <m/>
    <m/>
    <m/>
    <m/>
    <m/>
    <m/>
    <m/>
    <m/>
    <m/>
    <m/>
    <m/>
    <m/>
    <m/>
    <m/>
  </r>
  <r>
    <x v="2"/>
    <x v="0"/>
    <x v="2"/>
    <x v="3"/>
    <s v="AMW 03669 Review New JRI Digital Sensor model"/>
    <s v="JRI"/>
    <s v="Thiti"/>
    <d v="2026-01-20T00:00:00"/>
    <x v="10"/>
    <d v="2026-01-20T00:00:00"/>
    <x v="0"/>
    <x v="0"/>
    <x v="0"/>
    <m/>
    <m/>
    <m/>
    <m/>
    <m/>
    <m/>
    <m/>
    <m/>
    <m/>
    <m/>
    <m/>
    <m/>
    <m/>
    <m/>
    <m/>
    <m/>
    <m/>
    <m/>
    <m/>
    <m/>
    <m/>
    <m/>
    <m/>
    <m/>
    <m/>
    <m/>
    <m/>
    <m/>
  </r>
  <r>
    <x v="2"/>
    <x v="0"/>
    <x v="2"/>
    <x v="3"/>
    <s v="AMW 036670 Review New JRI Digital Sensor model"/>
    <s v="JRI"/>
    <s v="Thiti"/>
    <d v="2026-01-20T00:00:00"/>
    <x v="10"/>
    <d v="2026-01-20T00:00:00"/>
    <x v="0"/>
    <x v="0"/>
    <x v="0"/>
    <m/>
    <m/>
    <m/>
    <m/>
    <m/>
    <m/>
    <m/>
    <m/>
    <m/>
    <m/>
    <m/>
    <m/>
    <m/>
    <m/>
    <m/>
    <m/>
    <m/>
    <m/>
    <m/>
    <m/>
    <m/>
    <m/>
    <m/>
    <m/>
    <m/>
    <m/>
    <m/>
    <m/>
  </r>
  <r>
    <x v="2"/>
    <x v="0"/>
    <x v="0"/>
    <x v="4"/>
    <s v="AMW 03457 Numworks final sample assembly 12 pcs. (PCBA Assy with Plastic T2)"/>
    <s v="Numworks"/>
    <s v="Thiti"/>
    <d v="2026-01-23T00:00:00"/>
    <x v="11"/>
    <d v="2026-01-23T00:00:00"/>
    <x v="0"/>
    <x v="0"/>
    <x v="0"/>
    <m/>
    <m/>
    <m/>
    <m/>
    <m/>
    <m/>
    <m/>
    <m/>
    <m/>
    <m/>
    <m/>
    <m/>
    <m/>
    <m/>
    <m/>
    <m/>
    <m/>
    <m/>
    <m/>
    <m/>
    <m/>
    <m/>
    <m/>
    <m/>
    <m/>
    <m/>
    <m/>
    <m/>
  </r>
  <r>
    <x v="2"/>
    <x v="0"/>
    <x v="0"/>
    <x v="0"/>
    <s v="JRI Prepare modification report of JRI-Trapp"/>
    <s v="JRI"/>
    <s v="Thiti"/>
    <d v="2026-01-23T00:00:00"/>
    <x v="11"/>
    <d v="2026-01-23T00:00:00"/>
    <x v="0"/>
    <x v="0"/>
    <x v="0"/>
    <m/>
    <m/>
    <m/>
    <m/>
    <m/>
    <m/>
    <m/>
    <m/>
    <m/>
    <m/>
    <m/>
    <m/>
    <m/>
    <m/>
    <m/>
    <m/>
    <m/>
    <m/>
    <m/>
    <m/>
    <m/>
    <m/>
    <m/>
    <m/>
    <m/>
    <m/>
    <m/>
    <m/>
  </r>
  <r>
    <x v="3"/>
    <x v="0"/>
    <x v="1"/>
    <x v="2"/>
    <s v="JRI Weekly progress"/>
    <s v="JRI"/>
    <s v="Thiti"/>
    <d v="2026-01-26T00:00:00"/>
    <x v="12"/>
    <d v="2026-01-26T00:00:00"/>
    <x v="0"/>
    <x v="0"/>
    <x v="0"/>
    <m/>
    <m/>
    <m/>
    <m/>
    <m/>
    <m/>
    <m/>
    <m/>
    <m/>
    <m/>
    <m/>
    <m/>
    <m/>
    <m/>
    <m/>
    <m/>
    <m/>
    <m/>
    <m/>
    <m/>
    <m/>
    <m/>
    <m/>
    <m/>
    <m/>
    <m/>
    <m/>
    <m/>
  </r>
  <r>
    <x v="3"/>
    <x v="0"/>
    <x v="0"/>
    <x v="0"/>
    <s v="JRI GDS Review update drawing from customer and R&amp;D"/>
    <s v="JRI"/>
    <s v="Thiti"/>
    <d v="2026-01-26T00:00:00"/>
    <x v="13"/>
    <d v="2026-01-27T00:00:00"/>
    <x v="0"/>
    <x v="0"/>
    <x v="0"/>
    <m/>
    <m/>
    <m/>
    <m/>
    <m/>
    <m/>
    <m/>
    <m/>
    <m/>
    <m/>
    <m/>
    <m/>
    <m/>
    <m/>
    <m/>
    <m/>
    <m/>
    <m/>
    <m/>
    <m/>
    <m/>
    <m/>
    <m/>
    <m/>
    <m/>
    <m/>
    <m/>
    <m/>
  </r>
  <r>
    <x v="3"/>
    <x v="0"/>
    <x v="3"/>
    <x v="5"/>
    <s v="AMW 03577 Review DFM part"/>
    <s v="FONROCHE"/>
    <s v="Thiti"/>
    <d v="2026-01-27T00:00:00"/>
    <x v="14"/>
    <d v="2026-01-28T00:00:00"/>
    <x v="0"/>
    <x v="0"/>
    <x v="0"/>
    <m/>
    <m/>
    <m/>
    <m/>
    <m/>
    <m/>
    <m/>
    <m/>
    <m/>
    <m/>
    <m/>
    <m/>
    <m/>
    <m/>
    <m/>
    <m/>
    <m/>
    <m/>
    <m/>
    <m/>
    <m/>
    <m/>
    <m/>
    <m/>
    <m/>
    <m/>
    <m/>
    <m/>
  </r>
  <r>
    <x v="3"/>
    <x v="0"/>
    <x v="0"/>
    <x v="0"/>
    <s v="AMW 03211 Rubber Button no click, _x000a_Follow measurement shore result and solution to increase shore"/>
    <s v="Enersys"/>
    <s v="Thiti"/>
    <d v="2026-01-27T00:00:00"/>
    <x v="15"/>
    <d v="2026-01-29T00:00:00"/>
    <x v="0"/>
    <x v="0"/>
    <x v="0"/>
    <m/>
    <m/>
    <m/>
    <m/>
    <m/>
    <m/>
    <m/>
    <m/>
    <m/>
    <m/>
    <m/>
    <m/>
    <m/>
    <m/>
    <m/>
    <m/>
    <m/>
    <m/>
    <m/>
    <m/>
    <m/>
    <m/>
    <m/>
    <m/>
    <m/>
    <m/>
    <m/>
    <m/>
  </r>
  <r>
    <x v="3"/>
    <x v="0"/>
    <x v="0"/>
    <x v="0"/>
    <s v="AMW 03210,03211 Support eng. trial part ring for fine solution to improve ring not lock."/>
    <s v="Enersys"/>
    <s v="Thiti"/>
    <d v="2026-01-28T00:00:00"/>
    <x v="14"/>
    <d v="2026-01-28T00:00:00"/>
    <x v="0"/>
    <x v="0"/>
    <x v="0"/>
    <m/>
    <m/>
    <m/>
    <m/>
    <m/>
    <m/>
    <m/>
    <m/>
    <m/>
    <m/>
    <m/>
    <m/>
    <m/>
    <m/>
    <m/>
    <m/>
    <m/>
    <m/>
    <m/>
    <m/>
    <m/>
    <m/>
    <m/>
    <m/>
    <m/>
    <m/>
    <m/>
    <m/>
  </r>
  <r>
    <x v="3"/>
    <x v="0"/>
    <x v="0"/>
    <x v="0"/>
    <s v="JRI waiting customer confirm modification report of JRI-Trapp"/>
    <m/>
    <s v="Thiti"/>
    <d v="2026-01-29T00:00:00"/>
    <x v="15"/>
    <d v="2026-01-29T00:00:00"/>
    <x v="0"/>
    <x v="0"/>
    <x v="0"/>
    <m/>
    <m/>
    <m/>
    <m/>
    <m/>
    <m/>
    <m/>
    <m/>
    <m/>
    <m/>
    <m/>
    <m/>
    <m/>
    <m/>
    <m/>
    <m/>
    <m/>
    <m/>
    <m/>
    <m/>
    <m/>
    <m/>
    <m/>
    <m/>
    <m/>
    <m/>
    <m/>
    <m/>
  </r>
  <r>
    <x v="3"/>
    <x v="0"/>
    <x v="1"/>
    <x v="2"/>
    <s v="Numworks weekly meeting"/>
    <s v="Numworks"/>
    <s v="Thiti"/>
    <d v="2026-01-29T00:00:00"/>
    <x v="15"/>
    <d v="2026-01-29T00:00:00"/>
    <x v="0"/>
    <x v="0"/>
    <x v="0"/>
    <m/>
    <m/>
    <m/>
    <m/>
    <m/>
    <m/>
    <m/>
    <m/>
    <m/>
    <m/>
    <m/>
    <m/>
    <m/>
    <m/>
    <m/>
    <m/>
    <m/>
    <m/>
    <m/>
    <m/>
    <m/>
    <m/>
    <m/>
    <m/>
    <m/>
    <m/>
    <m/>
    <m/>
  </r>
  <r>
    <x v="3"/>
    <x v="0"/>
    <x v="3"/>
    <x v="6"/>
    <s v="AMW 03577 DFM mold  meeting "/>
    <s v="FONROCHE"/>
    <s v="Thiti"/>
    <d v="2026-01-29T00:00:00"/>
    <x v="15"/>
    <d v="2026-01-29T00:00:00"/>
    <x v="0"/>
    <x v="0"/>
    <x v="0"/>
    <m/>
    <m/>
    <m/>
    <m/>
    <m/>
    <m/>
    <m/>
    <m/>
    <m/>
    <m/>
    <m/>
    <m/>
    <m/>
    <m/>
    <m/>
    <m/>
    <m/>
    <m/>
    <m/>
    <m/>
    <m/>
    <m/>
    <m/>
    <m/>
    <m/>
    <m/>
    <m/>
    <m/>
  </r>
  <r>
    <x v="3"/>
    <x v="0"/>
    <x v="0"/>
    <x v="0"/>
    <s v="JRI Request supplier addition sheet protect for ultrasonic weldding, follow up result."/>
    <s v="JRI"/>
    <s v="Thiti"/>
    <d v="2026-01-30T00:00:00"/>
    <x v="16"/>
    <d v="2026-01-30T00:00:00"/>
    <x v="0"/>
    <x v="0"/>
    <x v="0"/>
    <m/>
    <m/>
    <m/>
    <m/>
    <m/>
    <m/>
    <m/>
    <m/>
    <m/>
    <m/>
    <m/>
    <m/>
    <m/>
    <m/>
    <m/>
    <m/>
    <m/>
    <m/>
    <m/>
    <m/>
    <m/>
    <m/>
    <m/>
    <m/>
    <m/>
    <m/>
    <m/>
    <m/>
  </r>
  <r>
    <x v="4"/>
    <x v="1"/>
    <x v="0"/>
    <x v="0"/>
    <s v="Go to supplier to discuss idea improve foam screen packing standard for MP"/>
    <s v="Numworks"/>
    <s v="Thiti"/>
    <d v="2026-02-02T00:00:00"/>
    <x v="17"/>
    <d v="2026-02-02T00:00:00"/>
    <x v="0"/>
    <x v="0"/>
    <x v="0"/>
    <m/>
    <m/>
    <m/>
    <m/>
    <m/>
    <m/>
    <m/>
    <m/>
    <m/>
    <m/>
    <m/>
    <m/>
    <m/>
    <m/>
    <m/>
    <m/>
    <m/>
    <m/>
    <m/>
    <m/>
    <m/>
    <m/>
    <m/>
    <m/>
    <m/>
    <m/>
    <m/>
    <m/>
  </r>
  <r>
    <x v="4"/>
    <x v="1"/>
    <x v="0"/>
    <x v="0"/>
    <s v="JRI, Support SRC review modify cost of trape"/>
    <s v="JRI"/>
    <s v="Thiti"/>
    <d v="2026-02-03T00:00:00"/>
    <x v="18"/>
    <d v="2026-02-03T00:00:00"/>
    <x v="0"/>
    <x v="0"/>
    <x v="0"/>
    <m/>
    <m/>
    <m/>
    <m/>
    <m/>
    <m/>
    <m/>
    <m/>
    <m/>
    <m/>
    <m/>
    <m/>
    <m/>
    <m/>
    <m/>
    <m/>
    <m/>
    <m/>
    <m/>
    <m/>
    <m/>
    <m/>
    <m/>
    <m/>
    <m/>
    <m/>
    <m/>
    <m/>
  </r>
  <r>
    <x v="4"/>
    <x v="1"/>
    <x v="4"/>
    <x v="7"/>
    <s v="Make New part control sheet document for viper 6 bay"/>
    <s v="Enersys"/>
    <s v="Thiti"/>
    <d v="2026-02-04T00:00:00"/>
    <x v="19"/>
    <d v="2026-02-04T00:00:00"/>
    <x v="0"/>
    <x v="0"/>
    <x v="0"/>
    <m/>
    <m/>
    <m/>
    <m/>
    <m/>
    <m/>
    <m/>
    <m/>
    <m/>
    <m/>
    <m/>
    <m/>
    <m/>
    <m/>
    <m/>
    <m/>
    <m/>
    <m/>
    <m/>
    <m/>
    <m/>
    <m/>
    <m/>
    <m/>
    <m/>
    <m/>
    <m/>
    <m/>
  </r>
  <r>
    <x v="4"/>
    <x v="1"/>
    <x v="1"/>
    <x v="2"/>
    <s v="Numworks pilot build plan meeting"/>
    <s v="Numworks"/>
    <s v="Thiti"/>
    <d v="2026-02-04T00:00:00"/>
    <x v="19"/>
    <d v="2026-02-04T00:00:00"/>
    <x v="0"/>
    <x v="0"/>
    <x v="0"/>
    <m/>
    <m/>
    <m/>
    <m/>
    <m/>
    <m/>
    <m/>
    <m/>
    <m/>
    <m/>
    <m/>
    <m/>
    <m/>
    <m/>
    <m/>
    <m/>
    <m/>
    <m/>
    <m/>
    <m/>
    <m/>
    <m/>
    <m/>
    <m/>
    <m/>
    <m/>
    <m/>
    <m/>
  </r>
  <r>
    <x v="4"/>
    <x v="1"/>
    <x v="0"/>
    <x v="0"/>
    <s v="JRI, Clear concept modify trappe"/>
    <s v="JRI"/>
    <s v="Thiti"/>
    <d v="2026-02-06T00:00:00"/>
    <x v="20"/>
    <d v="2026-02-06T00:00:00"/>
    <x v="0"/>
    <x v="0"/>
    <x v="0"/>
    <m/>
    <m/>
    <m/>
    <m/>
    <m/>
    <m/>
    <m/>
    <m/>
    <m/>
    <m/>
    <m/>
    <m/>
    <m/>
    <m/>
    <m/>
    <m/>
    <m/>
    <m/>
    <m/>
    <m/>
    <m/>
    <m/>
    <m/>
    <m/>
    <m/>
    <m/>
    <m/>
    <m/>
  </r>
  <r>
    <x v="5"/>
    <x v="1"/>
    <x v="4"/>
    <x v="8"/>
    <s v="Training Solidworks: Assembly modeling"/>
    <m/>
    <s v="Thiti"/>
    <d v="2026-02-09T00:00:00"/>
    <x v="21"/>
    <d v="2026-02-11T00:00:00"/>
    <x v="0"/>
    <x v="0"/>
    <x v="0"/>
    <m/>
    <m/>
    <m/>
    <m/>
    <m/>
    <m/>
    <m/>
    <m/>
    <m/>
    <m/>
    <m/>
    <m/>
    <m/>
    <m/>
    <m/>
    <m/>
    <m/>
    <m/>
    <m/>
    <m/>
    <m/>
    <m/>
    <m/>
    <m/>
    <m/>
    <m/>
    <m/>
    <m/>
  </r>
  <r>
    <x v="5"/>
    <x v="1"/>
    <x v="0"/>
    <x v="0"/>
    <s v="AMW 03457 confirm foam screen new sample"/>
    <s v="Numworks"/>
    <s v="Thiti"/>
    <d v="2026-02-12T00:00:00"/>
    <x v="22"/>
    <d v="2026-02-12T00:00:00"/>
    <x v="0"/>
    <x v="0"/>
    <x v="0"/>
    <m/>
    <m/>
    <m/>
    <m/>
    <m/>
    <m/>
    <m/>
    <m/>
    <m/>
    <m/>
    <m/>
    <m/>
    <m/>
    <m/>
    <m/>
    <m/>
    <m/>
    <m/>
    <m/>
    <m/>
    <m/>
    <m/>
    <m/>
    <m/>
    <m/>
    <m/>
    <m/>
    <m/>
  </r>
  <r>
    <x v="5"/>
    <x v="1"/>
    <x v="0"/>
    <x v="0"/>
    <s v="AMW 03210,03211 Trial Main door improve gap problem"/>
    <s v="Enersys"/>
    <s v="Thiti"/>
    <d v="2026-02-12T00:00:00"/>
    <x v="22"/>
    <d v="2026-02-12T00:00:00"/>
    <x v="0"/>
    <x v="0"/>
    <x v="0"/>
    <m/>
    <m/>
    <m/>
    <m/>
    <m/>
    <m/>
    <m/>
    <m/>
    <m/>
    <m/>
    <m/>
    <m/>
    <m/>
    <m/>
    <m/>
    <m/>
    <m/>
    <m/>
    <m/>
    <m/>
    <m/>
    <m/>
    <m/>
    <m/>
    <m/>
    <m/>
    <m/>
    <m/>
  </r>
  <r>
    <x v="5"/>
    <x v="1"/>
    <x v="1"/>
    <x v="2"/>
    <s v="Numworks weekly meeting"/>
    <s v="Numworks"/>
    <s v="Thiti"/>
    <d v="2026-02-12T00:00:00"/>
    <x v="22"/>
    <d v="2026-02-12T00:00:00"/>
    <x v="0"/>
    <x v="0"/>
    <x v="0"/>
    <m/>
    <m/>
    <m/>
    <m/>
    <m/>
    <m/>
    <m/>
    <m/>
    <m/>
    <m/>
    <m/>
    <m/>
    <m/>
    <m/>
    <m/>
    <m/>
    <m/>
    <m/>
    <m/>
    <m/>
    <m/>
    <m/>
    <m/>
    <m/>
    <m/>
    <m/>
    <m/>
    <m/>
  </r>
  <r>
    <x v="6"/>
    <x v="1"/>
    <x v="5"/>
    <x v="9"/>
    <s v="Request SCN update part packing in process_IES 50kw"/>
    <s v="IES"/>
    <s v="Kamonchanok"/>
    <d v="2026-02-25T00:00:00"/>
    <x v="23"/>
    <d v="2026-02-25T00:00:00"/>
    <x v="0"/>
    <x v="0"/>
    <x v="0"/>
    <m/>
    <m/>
    <m/>
    <m/>
    <m/>
    <m/>
    <m/>
    <m/>
    <m/>
    <m/>
    <m/>
    <m/>
    <m/>
    <m/>
    <m/>
    <m/>
    <m/>
    <m/>
    <m/>
    <m/>
    <m/>
    <m/>
    <m/>
    <m/>
    <m/>
    <m/>
    <m/>
    <m/>
  </r>
  <r>
    <x v="7"/>
    <x v="1"/>
    <x v="4"/>
    <x v="8"/>
    <s v="Training Solidworks: Surface modeling"/>
    <m/>
    <s v="Thiti"/>
    <d v="2026-02-16T00:00:00"/>
    <x v="24"/>
    <d v="2026-02-17T00:00:00"/>
    <x v="0"/>
    <x v="0"/>
    <x v="0"/>
    <m/>
    <m/>
    <m/>
    <m/>
    <m/>
    <m/>
    <m/>
    <m/>
    <m/>
    <m/>
    <m/>
    <m/>
    <m/>
    <m/>
    <m/>
    <m/>
    <m/>
    <m/>
    <m/>
    <m/>
    <m/>
    <m/>
    <m/>
    <m/>
    <m/>
    <m/>
    <m/>
    <m/>
  </r>
  <r>
    <x v="8"/>
    <x v="2"/>
    <x v="4"/>
    <x v="8"/>
    <s v="Training Solidworks: Drawing"/>
    <m/>
    <s v="Thiti"/>
    <d v="2026-03-04T00:00:00"/>
    <x v="25"/>
    <d v="2026-03-05T00:00:00"/>
    <x v="0"/>
    <x v="0"/>
    <x v="0"/>
    <m/>
    <m/>
    <m/>
    <m/>
    <m/>
    <m/>
    <m/>
    <m/>
    <m/>
    <m/>
    <m/>
    <m/>
    <m/>
    <m/>
    <m/>
    <m/>
    <m/>
    <m/>
    <m/>
    <m/>
    <m/>
    <m/>
    <m/>
    <m/>
    <m/>
    <m/>
    <m/>
    <m/>
  </r>
  <r>
    <x v="0"/>
    <x v="0"/>
    <x v="0"/>
    <x v="10"/>
    <s v="AMW QUO866 _project 4020 SIREM"/>
    <s v="Enersys"/>
    <s v="Kamonchanok"/>
    <d v="2026-01-07T00:00:00"/>
    <x v="3"/>
    <d v="2025-12-26T00:00:00"/>
    <x v="0"/>
    <x v="0"/>
    <x v="0"/>
    <m/>
    <m/>
    <m/>
    <m/>
    <m/>
    <m/>
    <m/>
    <m/>
    <m/>
    <m/>
    <m/>
    <m/>
    <m/>
    <m/>
    <m/>
    <m/>
    <m/>
    <m/>
    <m/>
    <m/>
    <m/>
    <m/>
    <m/>
    <m/>
    <m/>
    <m/>
    <m/>
    <m/>
  </r>
  <r>
    <x v="0"/>
    <x v="0"/>
    <x v="5"/>
    <x v="11"/>
    <s v="AMW 03314 Support customer audit: Packing part"/>
    <s v="LEACH"/>
    <s v="Kamonchanok"/>
    <d v="2026-01-07T00:00:00"/>
    <x v="2"/>
    <d v="2026-01-07T00:00:00"/>
    <x v="0"/>
    <x v="0"/>
    <x v="0"/>
    <m/>
    <m/>
    <m/>
    <m/>
    <m/>
    <m/>
    <m/>
    <m/>
    <m/>
    <m/>
    <m/>
    <m/>
    <m/>
    <m/>
    <m/>
    <m/>
    <m/>
    <m/>
    <m/>
    <m/>
    <m/>
    <m/>
    <m/>
    <m/>
    <m/>
    <m/>
    <m/>
    <m/>
  </r>
  <r>
    <x v="0"/>
    <x v="0"/>
    <x v="6"/>
    <x v="12"/>
    <s v="AMW-QUO874 RFQ Packing"/>
    <s v="JRI"/>
    <s v="Kamonchanok"/>
    <d v="2026-01-08T00:00:00"/>
    <x v="26"/>
    <d v="2026-01-08T00:00:00"/>
    <x v="0"/>
    <x v="0"/>
    <x v="0"/>
    <m/>
    <m/>
    <m/>
    <m/>
    <m/>
    <m/>
    <m/>
    <m/>
    <m/>
    <m/>
    <m/>
    <m/>
    <m/>
    <m/>
    <m/>
    <m/>
    <m/>
    <m/>
    <m/>
    <m/>
    <m/>
    <m/>
    <m/>
    <m/>
    <m/>
    <m/>
    <m/>
    <m/>
  </r>
  <r>
    <x v="0"/>
    <x v="0"/>
    <x v="5"/>
    <x v="11"/>
    <s v="AMW 03513 Support packing &gt;&gt; 4 Pcs"/>
    <s v="IES"/>
    <s v="Kamonchanok"/>
    <d v="2026-01-08T00:00:00"/>
    <x v="3"/>
    <d v="2026-01-08T00:00:00"/>
    <x v="0"/>
    <x v="0"/>
    <x v="0"/>
    <m/>
    <m/>
    <m/>
    <m/>
    <m/>
    <m/>
    <m/>
    <m/>
    <m/>
    <m/>
    <m/>
    <m/>
    <m/>
    <m/>
    <m/>
    <m/>
    <m/>
    <m/>
    <m/>
    <m/>
    <m/>
    <m/>
    <m/>
    <m/>
    <m/>
    <m/>
    <m/>
    <m/>
  </r>
  <r>
    <x v="0"/>
    <x v="0"/>
    <x v="5"/>
    <x v="11"/>
    <s v="AMW 03512 Support packing &gt;&gt; 2 Pcs"/>
    <s v="IES"/>
    <s v="Kamonchanok"/>
    <d v="2026-01-08T00:00:00"/>
    <x v="3"/>
    <d v="2026-01-08T00:00:00"/>
    <x v="0"/>
    <x v="0"/>
    <x v="0"/>
    <m/>
    <m/>
    <m/>
    <m/>
    <m/>
    <m/>
    <m/>
    <m/>
    <m/>
    <m/>
    <m/>
    <m/>
    <m/>
    <m/>
    <m/>
    <m/>
    <m/>
    <m/>
    <m/>
    <m/>
    <m/>
    <m/>
    <m/>
    <m/>
    <m/>
    <m/>
    <m/>
    <m/>
  </r>
  <r>
    <x v="0"/>
    <x v="0"/>
    <x v="5"/>
    <x v="9"/>
    <s v="Request supplier join AMW to improve Cabinet box new design with actual cabinet_x000a_"/>
    <s v="Enersys"/>
    <s v="Kamonchanok"/>
    <d v="2026-01-08T00:00:00"/>
    <x v="3"/>
    <d v="2026-01-08T00:00:00"/>
    <x v="0"/>
    <x v="0"/>
    <x v="0"/>
    <m/>
    <m/>
    <m/>
    <m/>
    <m/>
    <m/>
    <m/>
    <m/>
    <m/>
    <m/>
    <m/>
    <m/>
    <m/>
    <m/>
    <m/>
    <m/>
    <m/>
    <m/>
    <m/>
    <m/>
    <m/>
    <m/>
    <m/>
    <m/>
    <m/>
    <m/>
    <m/>
    <m/>
  </r>
  <r>
    <x v="0"/>
    <x v="0"/>
    <x v="5"/>
    <x v="11"/>
    <s v="AMW 03189 Support customer audit: Packing part"/>
    <s v="LEACH"/>
    <s v="Kamonchanok"/>
    <d v="2026-01-08T00:00:00"/>
    <x v="3"/>
    <d v="2026-01-08T00:00:00"/>
    <x v="0"/>
    <x v="0"/>
    <x v="0"/>
    <m/>
    <m/>
    <m/>
    <m/>
    <m/>
    <m/>
    <m/>
    <m/>
    <m/>
    <m/>
    <m/>
    <m/>
    <m/>
    <m/>
    <m/>
    <m/>
    <m/>
    <m/>
    <m/>
    <m/>
    <m/>
    <m/>
    <m/>
    <m/>
    <m/>
    <m/>
    <m/>
    <m/>
  </r>
  <r>
    <x v="1"/>
    <x v="0"/>
    <x v="4"/>
    <x v="8"/>
    <s v="Training Solidworks: Essentials"/>
    <m/>
    <s v="Kamonchanok"/>
    <d v="2026-01-12T00:00:00"/>
    <x v="7"/>
    <d v="2026-01-15T00:00:00"/>
    <x v="0"/>
    <x v="0"/>
    <x v="0"/>
    <m/>
    <m/>
    <m/>
    <m/>
    <m/>
    <m/>
    <m/>
    <m/>
    <m/>
    <m/>
    <m/>
    <m/>
    <m/>
    <m/>
    <m/>
    <m/>
    <m/>
    <m/>
    <m/>
    <m/>
    <m/>
    <m/>
    <m/>
    <m/>
    <m/>
    <m/>
    <m/>
    <m/>
  </r>
  <r>
    <x v="1"/>
    <x v="0"/>
    <x v="6"/>
    <x v="12"/>
    <s v="AMW QUO878 RFQ Pacaking (PCBA)"/>
    <s v="Says electric"/>
    <s v="Kamonchanok"/>
    <d v="2026-01-14T00:00:00"/>
    <x v="7"/>
    <d v="2026-01-14T00:00:00"/>
    <x v="0"/>
    <x v="0"/>
    <x v="0"/>
    <m/>
    <m/>
    <m/>
    <m/>
    <m/>
    <m/>
    <m/>
    <m/>
    <m/>
    <m/>
    <m/>
    <m/>
    <m/>
    <m/>
    <m/>
    <m/>
    <m/>
    <m/>
    <m/>
    <m/>
    <m/>
    <m/>
    <m/>
    <m/>
    <m/>
    <m/>
    <m/>
    <m/>
  </r>
  <r>
    <x v="1"/>
    <x v="0"/>
    <x v="5"/>
    <x v="11"/>
    <s v="Support MP BESS packing process 1 pcs"/>
    <s v="Enersys"/>
    <s v="Kamonchanok"/>
    <d v="2026-01-16T00:00:00"/>
    <x v="8"/>
    <d v="2026-01-16T00:00:00"/>
    <x v="0"/>
    <x v="0"/>
    <x v="0"/>
    <m/>
    <m/>
    <m/>
    <m/>
    <m/>
    <m/>
    <m/>
    <m/>
    <m/>
    <m/>
    <m/>
    <m/>
    <m/>
    <m/>
    <m/>
    <m/>
    <m/>
    <m/>
    <m/>
    <m/>
    <m/>
    <m/>
    <m/>
    <m/>
    <m/>
    <m/>
    <m/>
    <m/>
  </r>
  <r>
    <x v="1"/>
    <x v="0"/>
    <x v="6"/>
    <x v="12"/>
    <s v="AMW QUO818 Rev 3 Packaging RFQ"/>
    <s v="Gutor"/>
    <s v="Kamonchanok"/>
    <d v="2026-01-16T00:00:00"/>
    <x v="8"/>
    <d v="2026-01-16T00:00:00"/>
    <x v="0"/>
    <x v="0"/>
    <x v="0"/>
    <m/>
    <m/>
    <m/>
    <m/>
    <m/>
    <m/>
    <m/>
    <m/>
    <m/>
    <m/>
    <m/>
    <m/>
    <m/>
    <m/>
    <m/>
    <m/>
    <m/>
    <m/>
    <m/>
    <m/>
    <m/>
    <m/>
    <m/>
    <m/>
    <m/>
    <m/>
    <m/>
    <m/>
  </r>
  <r>
    <x v="1"/>
    <x v="0"/>
    <x v="5"/>
    <x v="11"/>
    <s v="AMW 03211 support packing pre series show current concept to Director of development division"/>
    <s v="Enersys"/>
    <s v="Kamonchanok"/>
    <d v="2026-01-16T00:00:00"/>
    <x v="8"/>
    <d v="2026-01-16T00:00:00"/>
    <x v="0"/>
    <x v="0"/>
    <x v="0"/>
    <m/>
    <m/>
    <m/>
    <m/>
    <m/>
    <m/>
    <m/>
    <m/>
    <m/>
    <m/>
    <m/>
    <m/>
    <m/>
    <m/>
    <m/>
    <m/>
    <m/>
    <m/>
    <m/>
    <m/>
    <m/>
    <m/>
    <m/>
    <m/>
    <m/>
    <m/>
    <m/>
    <m/>
  </r>
  <r>
    <x v="1"/>
    <x v="0"/>
    <x v="5"/>
    <x v="11"/>
    <s v="AMW 03211 Support Packing PanelUnit send to Customer"/>
    <m/>
    <s v="Kamonchanok"/>
    <d v="2026-01-16T00:00:00"/>
    <x v="8"/>
    <d v="2026-01-16T00:00:00"/>
    <x v="0"/>
    <x v="0"/>
    <x v="0"/>
    <m/>
    <m/>
    <m/>
    <m/>
    <m/>
    <m/>
    <m/>
    <m/>
    <m/>
    <m/>
    <m/>
    <m/>
    <m/>
    <m/>
    <m/>
    <m/>
    <m/>
    <m/>
    <m/>
    <m/>
    <m/>
    <m/>
    <m/>
    <m/>
    <m/>
    <m/>
    <m/>
    <m/>
  </r>
  <r>
    <x v="2"/>
    <x v="0"/>
    <x v="5"/>
    <x v="9"/>
    <s v="AMW 03501 Packaging design"/>
    <s v="Maatel"/>
    <s v="Kamonchanok"/>
    <d v="2026-01-19T00:00:00"/>
    <x v="9"/>
    <d v="2026-01-19T00:00:00"/>
    <x v="0"/>
    <x v="0"/>
    <x v="0"/>
    <m/>
    <m/>
    <m/>
    <m/>
    <m/>
    <m/>
    <m/>
    <m/>
    <m/>
    <m/>
    <m/>
    <m/>
    <m/>
    <m/>
    <m/>
    <m/>
    <m/>
    <m/>
    <m/>
    <m/>
    <m/>
    <m/>
    <m/>
    <m/>
    <m/>
    <m/>
    <m/>
    <m/>
  </r>
  <r>
    <x v="2"/>
    <x v="0"/>
    <x v="5"/>
    <x v="9"/>
    <s v="AMW 03502 Packaging design"/>
    <s v="Maatel"/>
    <s v="Kamonchanok"/>
    <d v="2026-01-19T00:00:00"/>
    <x v="9"/>
    <d v="2026-01-19T00:00:00"/>
    <x v="0"/>
    <x v="0"/>
    <x v="0"/>
    <m/>
    <m/>
    <m/>
    <m/>
    <m/>
    <m/>
    <m/>
    <m/>
    <m/>
    <m/>
    <m/>
    <m/>
    <m/>
    <m/>
    <m/>
    <m/>
    <m/>
    <m/>
    <m/>
    <m/>
    <m/>
    <m/>
    <m/>
    <m/>
    <m/>
    <m/>
    <m/>
    <m/>
  </r>
  <r>
    <x v="2"/>
    <x v="0"/>
    <x v="5"/>
    <x v="9"/>
    <s v="AMW 03503 Packaging design"/>
    <s v="Maatel"/>
    <s v="Kamonchanok"/>
    <d v="2026-01-19T00:00:00"/>
    <x v="9"/>
    <d v="2026-01-19T00:00:00"/>
    <x v="0"/>
    <x v="0"/>
    <x v="0"/>
    <m/>
    <m/>
    <m/>
    <m/>
    <m/>
    <m/>
    <m/>
    <m/>
    <m/>
    <m/>
    <m/>
    <m/>
    <m/>
    <m/>
    <m/>
    <m/>
    <m/>
    <m/>
    <m/>
    <m/>
    <m/>
    <m/>
    <m/>
    <m/>
    <m/>
    <m/>
    <m/>
    <m/>
  </r>
  <r>
    <x v="2"/>
    <x v="0"/>
    <x v="5"/>
    <x v="9"/>
    <s v="AMW 03396 Packaging design"/>
    <s v="Maatel"/>
    <s v="Kamonchanok"/>
    <d v="2026-01-19T00:00:00"/>
    <x v="9"/>
    <d v="2026-01-19T00:00:00"/>
    <x v="0"/>
    <x v="0"/>
    <x v="0"/>
    <m/>
    <m/>
    <m/>
    <m/>
    <m/>
    <m/>
    <m/>
    <m/>
    <m/>
    <m/>
    <m/>
    <m/>
    <m/>
    <m/>
    <m/>
    <m/>
    <m/>
    <m/>
    <m/>
    <m/>
    <m/>
    <m/>
    <m/>
    <m/>
    <m/>
    <m/>
    <m/>
    <m/>
  </r>
  <r>
    <x v="2"/>
    <x v="0"/>
    <x v="5"/>
    <x v="9"/>
    <s v="AMW 03210,03211 Review box for cabinet after supplier improve"/>
    <s v="Enersys"/>
    <s v="Kamonchanok"/>
    <d v="2026-01-20T00:00:00"/>
    <x v="9"/>
    <d v="2026-01-20T00:00:00"/>
    <x v="0"/>
    <x v="0"/>
    <x v="0"/>
    <m/>
    <m/>
    <m/>
    <m/>
    <m/>
    <m/>
    <m/>
    <m/>
    <m/>
    <m/>
    <m/>
    <m/>
    <m/>
    <m/>
    <m/>
    <m/>
    <m/>
    <m/>
    <m/>
    <m/>
    <m/>
    <m/>
    <m/>
    <m/>
    <m/>
    <m/>
    <m/>
    <m/>
  </r>
  <r>
    <x v="2"/>
    <x v="0"/>
    <x v="5"/>
    <x v="11"/>
    <s v="AMW 03210,03211 Support packing stand to customer"/>
    <s v="Enersys"/>
    <s v="Kamonchanok"/>
    <d v="2026-01-20T00:00:00"/>
    <x v="9"/>
    <d v="2026-01-20T00:00:00"/>
    <x v="0"/>
    <x v="0"/>
    <x v="0"/>
    <m/>
    <m/>
    <m/>
    <m/>
    <m/>
    <m/>
    <m/>
    <m/>
    <m/>
    <m/>
    <m/>
    <m/>
    <m/>
    <m/>
    <m/>
    <m/>
    <m/>
    <m/>
    <m/>
    <m/>
    <m/>
    <m/>
    <m/>
    <m/>
    <m/>
    <m/>
    <m/>
    <m/>
  </r>
  <r>
    <x v="2"/>
    <x v="0"/>
    <x v="6"/>
    <x v="12"/>
    <s v="AMW QUO882 Viper StandAlone PCBA Packing RFQ_x000a_(3 PCBA)"/>
    <s v="Enersys"/>
    <s v="Kamonchanok"/>
    <d v="2026-01-20T00:00:00"/>
    <x v="10"/>
    <d v="2026-01-21T00:00:00"/>
    <x v="0"/>
    <x v="0"/>
    <x v="0"/>
    <m/>
    <m/>
    <m/>
    <m/>
    <m/>
    <m/>
    <m/>
    <m/>
    <m/>
    <m/>
    <m/>
    <m/>
    <m/>
    <m/>
    <m/>
    <m/>
    <m/>
    <m/>
    <m/>
    <m/>
    <m/>
    <m/>
    <m/>
    <m/>
    <m/>
    <m/>
    <m/>
    <m/>
  </r>
  <r>
    <x v="2"/>
    <x v="0"/>
    <x v="5"/>
    <x v="11"/>
    <s v="AMW 03210,03211 Support packing stand to customer (USA)"/>
    <s v="Enersys"/>
    <s v="Kamonchanok"/>
    <d v="2026-01-21T00:00:00"/>
    <x v="10"/>
    <d v="2026-01-21T00:00:00"/>
    <x v="0"/>
    <x v="0"/>
    <x v="0"/>
    <m/>
    <m/>
    <m/>
    <m/>
    <m/>
    <m/>
    <m/>
    <m/>
    <m/>
    <m/>
    <m/>
    <m/>
    <m/>
    <m/>
    <m/>
    <m/>
    <m/>
    <m/>
    <m/>
    <m/>
    <m/>
    <m/>
    <m/>
    <m/>
    <m/>
    <m/>
    <m/>
    <m/>
  </r>
  <r>
    <x v="2"/>
    <x v="0"/>
    <x v="5"/>
    <x v="9"/>
    <s v="AMW 03210,03211 Feed back to customer about Arrow printing on foam for protect Screen of Cabinet"/>
    <s v="Enersys"/>
    <s v="Kamonchanok"/>
    <d v="2026-01-22T00:00:00"/>
    <x v="27"/>
    <d v="2026-01-22T00:00:00"/>
    <x v="0"/>
    <x v="0"/>
    <x v="0"/>
    <m/>
    <m/>
    <m/>
    <m/>
    <m/>
    <m/>
    <m/>
    <m/>
    <m/>
    <m/>
    <m/>
    <m/>
    <m/>
    <m/>
    <m/>
    <m/>
    <m/>
    <m/>
    <m/>
    <m/>
    <m/>
    <m/>
    <m/>
    <m/>
    <m/>
    <m/>
    <m/>
    <m/>
  </r>
  <r>
    <x v="8"/>
    <x v="2"/>
    <x v="4"/>
    <x v="8"/>
    <s v="Training Solidworks: Assembly modeling"/>
    <m/>
    <s v="Kamonchanok"/>
    <d v="2026-03-04T00:00:00"/>
    <x v="28"/>
    <d v="2026-03-06T00:00:00"/>
    <x v="0"/>
    <x v="0"/>
    <x v="0"/>
    <m/>
    <m/>
    <m/>
    <m/>
    <m/>
    <m/>
    <m/>
    <m/>
    <m/>
    <m/>
    <m/>
    <m/>
    <m/>
    <m/>
    <m/>
    <m/>
    <m/>
    <m/>
    <m/>
    <m/>
    <m/>
    <m/>
    <m/>
    <m/>
    <m/>
    <m/>
    <m/>
    <m/>
  </r>
  <r>
    <x v="2"/>
    <x v="0"/>
    <x v="5"/>
    <x v="13"/>
    <s v="AMW 02715 Confirm packing part "/>
    <s v="AEG"/>
    <s v="Kamonchanok"/>
    <d v="2026-01-23T00:00:00"/>
    <x v="11"/>
    <d v="2026-01-23T00:00:00"/>
    <x v="0"/>
    <x v="0"/>
    <x v="0"/>
    <m/>
    <m/>
    <m/>
    <m/>
    <m/>
    <m/>
    <m/>
    <m/>
    <m/>
    <m/>
    <m/>
    <m/>
    <m/>
    <m/>
    <m/>
    <m/>
    <m/>
    <m/>
    <m/>
    <m/>
    <m/>
    <m/>
    <m/>
    <m/>
    <m/>
    <m/>
    <m/>
    <m/>
  </r>
  <r>
    <x v="3"/>
    <x v="0"/>
    <x v="5"/>
    <x v="11"/>
    <s v="AMW 03520, 03521 support packing"/>
    <s v="FONROCHE"/>
    <s v="Kamonchanok"/>
    <d v="2026-01-26T00:00:00"/>
    <x v="12"/>
    <d v="2026-01-26T00:00:00"/>
    <x v="0"/>
    <x v="0"/>
    <x v="0"/>
    <m/>
    <m/>
    <m/>
    <m/>
    <m/>
    <m/>
    <m/>
    <m/>
    <m/>
    <m/>
    <m/>
    <m/>
    <m/>
    <m/>
    <m/>
    <m/>
    <m/>
    <m/>
    <m/>
    <m/>
    <m/>
    <m/>
    <m/>
    <m/>
    <m/>
    <m/>
    <m/>
    <m/>
  </r>
  <r>
    <x v="3"/>
    <x v="0"/>
    <x v="5"/>
    <x v="9"/>
    <s v="AMW 03210,03211 Review box for cabinet after supplier improve"/>
    <s v="Enersys"/>
    <s v="Kamonchanok"/>
    <d v="2026-01-26T00:00:00"/>
    <x v="13"/>
    <d v="2026-01-27T00:00:00"/>
    <x v="0"/>
    <x v="0"/>
    <x v="0"/>
    <m/>
    <m/>
    <m/>
    <m/>
    <m/>
    <m/>
    <m/>
    <m/>
    <m/>
    <m/>
    <m/>
    <m/>
    <m/>
    <m/>
    <m/>
    <m/>
    <m/>
    <m/>
    <m/>
    <m/>
    <m/>
    <m/>
    <m/>
    <m/>
    <m/>
    <m/>
    <m/>
    <m/>
  </r>
  <r>
    <x v="3"/>
    <x v="0"/>
    <x v="6"/>
    <x v="12"/>
    <s v="AMW QUO890 RFQ packing"/>
    <s v="Maatel"/>
    <s v="Kamonchanok"/>
    <d v="2026-01-28T00:00:00"/>
    <x v="15"/>
    <d v="2026-01-26T00:00:00"/>
    <x v="0"/>
    <x v="0"/>
    <x v="0"/>
    <m/>
    <m/>
    <m/>
    <m/>
    <m/>
    <m/>
    <m/>
    <m/>
    <m/>
    <m/>
    <m/>
    <m/>
    <m/>
    <m/>
    <m/>
    <m/>
    <m/>
    <m/>
    <m/>
    <m/>
    <m/>
    <m/>
    <m/>
    <m/>
    <m/>
    <m/>
    <m/>
    <m/>
  </r>
  <r>
    <x v="3"/>
    <x v="0"/>
    <x v="0"/>
    <x v="0"/>
    <s v="confirm date to Fagerdala support pilot assembly shirnk wrap fix plan"/>
    <s v="Numworks"/>
    <s v="Kamonchanok"/>
    <d v="2026-01-30T00:00:00"/>
    <x v="16"/>
    <d v="2026-01-30T00:00:00"/>
    <x v="0"/>
    <x v="0"/>
    <x v="0"/>
    <m/>
    <m/>
    <m/>
    <m/>
    <m/>
    <m/>
    <m/>
    <m/>
    <m/>
    <m/>
    <m/>
    <m/>
    <m/>
    <m/>
    <m/>
    <m/>
    <m/>
    <m/>
    <m/>
    <m/>
    <m/>
    <m/>
    <m/>
    <m/>
    <m/>
    <m/>
    <m/>
    <m/>
  </r>
  <r>
    <x v="3"/>
    <x v="0"/>
    <x v="5"/>
    <x v="11"/>
    <s v="AMW 03457 Numworks support packing final sample"/>
    <s v="Numworks"/>
    <s v="Kamonchanok"/>
    <d v="2026-01-30T00:00:00"/>
    <x v="16"/>
    <d v="2026-01-30T00:00:00"/>
    <x v="0"/>
    <x v="0"/>
    <x v="0"/>
    <m/>
    <m/>
    <m/>
    <m/>
    <m/>
    <m/>
    <m/>
    <m/>
    <m/>
    <m/>
    <m/>
    <m/>
    <m/>
    <m/>
    <m/>
    <m/>
    <m/>
    <m/>
    <m/>
    <m/>
    <m/>
    <m/>
    <m/>
    <m/>
    <m/>
    <m/>
    <m/>
    <m/>
  </r>
  <r>
    <x v="3"/>
    <x v="0"/>
    <x v="5"/>
    <x v="11"/>
    <s v="AMW 03132 support packing 3 unit"/>
    <m/>
    <s v="Kamonchanok"/>
    <d v="2026-01-30T00:00:00"/>
    <x v="16"/>
    <d v="2026-01-30T00:00:00"/>
    <x v="0"/>
    <x v="0"/>
    <x v="0"/>
    <m/>
    <m/>
    <m/>
    <m/>
    <m/>
    <m/>
    <m/>
    <m/>
    <m/>
    <m/>
    <m/>
    <m/>
    <m/>
    <m/>
    <m/>
    <m/>
    <m/>
    <m/>
    <m/>
    <m/>
    <m/>
    <m/>
    <m/>
    <m/>
    <m/>
    <m/>
    <m/>
    <m/>
  </r>
  <r>
    <x v="3"/>
    <x v="0"/>
    <x v="5"/>
    <x v="11"/>
    <s v="AMW 03275 Support packing"/>
    <s v="AEG"/>
    <s v="Kamonchanok"/>
    <d v="2026-01-30T00:00:00"/>
    <x v="16"/>
    <d v="2026-01-30T00:00:00"/>
    <x v="0"/>
    <x v="0"/>
    <x v="0"/>
    <m/>
    <m/>
    <m/>
    <m/>
    <m/>
    <m/>
    <m/>
    <m/>
    <m/>
    <m/>
    <m/>
    <m/>
    <m/>
    <m/>
    <m/>
    <m/>
    <m/>
    <m/>
    <m/>
    <m/>
    <m/>
    <m/>
    <m/>
    <m/>
    <m/>
    <m/>
    <m/>
    <m/>
  </r>
  <r>
    <x v="4"/>
    <x v="1"/>
    <x v="6"/>
    <x v="12"/>
    <s v="AMW QUO889 RFQ Packing"/>
    <s v="LEACH"/>
    <s v="Kamonchanok"/>
    <d v="2026-02-02T00:00:00"/>
    <x v="17"/>
    <d v="2026-01-23T00:00:00"/>
    <x v="0"/>
    <x v="0"/>
    <x v="0"/>
    <m/>
    <m/>
    <m/>
    <m/>
    <m/>
    <m/>
    <m/>
    <m/>
    <m/>
    <m/>
    <m/>
    <m/>
    <m/>
    <m/>
    <m/>
    <m/>
    <m/>
    <m/>
    <m/>
    <m/>
    <m/>
    <m/>
    <m/>
    <m/>
    <m/>
    <m/>
    <m/>
    <m/>
  </r>
  <r>
    <x v="4"/>
    <x v="1"/>
    <x v="5"/>
    <x v="9"/>
    <s v="Share packing concept AEG:BUSBAR 100A - Packing items of AMW 03132 &amp; AMW 03134"/>
    <s v="AEG"/>
    <s v="Kamonchanok"/>
    <d v="2026-02-04T00:00:00"/>
    <x v="19"/>
    <d v="2026-02-04T00:00:00"/>
    <x v="0"/>
    <x v="0"/>
    <x v="0"/>
    <m/>
    <m/>
    <m/>
    <m/>
    <m/>
    <m/>
    <m/>
    <m/>
    <m/>
    <m/>
    <m/>
    <m/>
    <m/>
    <m/>
    <m/>
    <m/>
    <m/>
    <m/>
    <m/>
    <m/>
    <m/>
    <m/>
    <m/>
    <m/>
    <m/>
    <m/>
    <m/>
    <m/>
  </r>
  <r>
    <x v="4"/>
    <x v="1"/>
    <x v="5"/>
    <x v="11"/>
    <s v="AMW 03520 support packing 22 pcs"/>
    <s v="FONROCHE"/>
    <s v="Kamonchanok"/>
    <d v="2026-02-04T00:00:00"/>
    <x v="19"/>
    <d v="2026-02-04T00:00:00"/>
    <x v="0"/>
    <x v="0"/>
    <x v="0"/>
    <m/>
    <m/>
    <m/>
    <m/>
    <m/>
    <m/>
    <m/>
    <m/>
    <m/>
    <m/>
    <m/>
    <m/>
    <m/>
    <m/>
    <m/>
    <m/>
    <m/>
    <m/>
    <m/>
    <m/>
    <m/>
    <m/>
    <m/>
    <m/>
    <m/>
    <m/>
    <m/>
    <m/>
  </r>
  <r>
    <x v="4"/>
    <x v="1"/>
    <x v="5"/>
    <x v="11"/>
    <s v="AMW 03521 support packing 14 pcs"/>
    <s v="FONROCHE"/>
    <s v="Kamonchanok"/>
    <d v="2026-02-04T00:00:00"/>
    <x v="19"/>
    <d v="2026-02-04T00:00:00"/>
    <x v="0"/>
    <x v="0"/>
    <x v="0"/>
    <m/>
    <m/>
    <m/>
    <m/>
    <m/>
    <m/>
    <m/>
    <m/>
    <m/>
    <m/>
    <m/>
    <m/>
    <m/>
    <m/>
    <m/>
    <m/>
    <m/>
    <m/>
    <m/>
    <m/>
    <m/>
    <m/>
    <m/>
    <m/>
    <m/>
    <m/>
    <m/>
    <m/>
  </r>
  <r>
    <x v="4"/>
    <x v="1"/>
    <x v="5"/>
    <x v="11"/>
    <s v="PCBA PFC MIP 3kW support packing"/>
    <m/>
    <s v="Kamonchanok"/>
    <d v="2026-02-06T00:00:00"/>
    <x v="20"/>
    <d v="2026-02-06T00:00:00"/>
    <x v="0"/>
    <x v="0"/>
    <x v="0"/>
    <m/>
    <m/>
    <m/>
    <m/>
    <m/>
    <m/>
    <m/>
    <m/>
    <m/>
    <m/>
    <m/>
    <m/>
    <m/>
    <m/>
    <m/>
    <m/>
    <m/>
    <m/>
    <m/>
    <m/>
    <m/>
    <m/>
    <m/>
    <m/>
    <m/>
    <m/>
    <m/>
    <m/>
  </r>
  <r>
    <x v="4"/>
    <x v="1"/>
    <x v="6"/>
    <x v="12"/>
    <s v="AMW QUO902 RFQ packing"/>
    <s v="Statron"/>
    <s v="Kamonchanok"/>
    <d v="2026-02-06T00:00:00"/>
    <x v="20"/>
    <d v="2026-02-04T00:00:00"/>
    <x v="0"/>
    <x v="0"/>
    <x v="0"/>
    <m/>
    <m/>
    <m/>
    <m/>
    <m/>
    <m/>
    <m/>
    <m/>
    <m/>
    <m/>
    <m/>
    <m/>
    <m/>
    <m/>
    <m/>
    <m/>
    <m/>
    <m/>
    <m/>
    <m/>
    <m/>
    <m/>
    <m/>
    <m/>
    <m/>
    <m/>
    <m/>
    <m/>
  </r>
  <r>
    <x v="4"/>
    <x v="1"/>
    <x v="5"/>
    <x v="11"/>
    <s v="AMW 03286-B7.1 support packing "/>
    <s v="Enersys"/>
    <s v="Kamonchanok"/>
    <d v="2026-02-06T00:00:00"/>
    <x v="20"/>
    <d v="2026-02-06T00:00:00"/>
    <x v="0"/>
    <x v="0"/>
    <x v="0"/>
    <m/>
    <m/>
    <m/>
    <m/>
    <m/>
    <m/>
    <m/>
    <m/>
    <m/>
    <m/>
    <m/>
    <m/>
    <m/>
    <m/>
    <m/>
    <m/>
    <m/>
    <m/>
    <m/>
    <m/>
    <m/>
    <m/>
    <m/>
    <m/>
    <m/>
    <m/>
    <m/>
    <m/>
  </r>
  <r>
    <x v="5"/>
    <x v="1"/>
    <x v="6"/>
    <x v="12"/>
    <s v="AMW QUO905 RFQ paCking"/>
    <s v="STIWA"/>
    <s v="Kamonchanok"/>
    <d v="2026-02-09T00:00:00"/>
    <x v="29"/>
    <d v="2026-02-06T00:00:00"/>
    <x v="0"/>
    <x v="0"/>
    <x v="0"/>
    <m/>
    <m/>
    <m/>
    <m/>
    <m/>
    <m/>
    <m/>
    <m/>
    <m/>
    <m/>
    <m/>
    <m/>
    <m/>
    <m/>
    <m/>
    <m/>
    <m/>
    <m/>
    <m/>
    <m/>
    <m/>
    <m/>
    <m/>
    <m/>
    <m/>
    <m/>
    <m/>
    <m/>
  </r>
  <r>
    <x v="5"/>
    <x v="1"/>
    <x v="5"/>
    <x v="11"/>
    <s v="AMW 03685 Design packing concept"/>
    <s v="AEG"/>
    <s v="Kamonchanok"/>
    <d v="2026-02-09T00:00:00"/>
    <x v="29"/>
    <d v="2026-02-09T00:00:00"/>
    <x v="0"/>
    <x v="0"/>
    <x v="0"/>
    <m/>
    <m/>
    <m/>
    <m/>
    <m/>
    <m/>
    <m/>
    <m/>
    <m/>
    <m/>
    <m/>
    <m/>
    <m/>
    <m/>
    <m/>
    <m/>
    <m/>
    <m/>
    <m/>
    <m/>
    <m/>
    <m/>
    <m/>
    <m/>
    <m/>
    <m/>
    <m/>
    <m/>
  </r>
  <r>
    <x v="5"/>
    <x v="1"/>
    <x v="6"/>
    <x v="12"/>
    <s v="AMW QUO895 RFQ packing"/>
    <s v="Chloride"/>
    <s v="Kamonchanok"/>
    <d v="2026-02-09T00:00:00"/>
    <x v="30"/>
    <d v="2026-01-28T00:00:00"/>
    <x v="0"/>
    <x v="0"/>
    <x v="0"/>
    <m/>
    <m/>
    <m/>
    <m/>
    <m/>
    <m/>
    <m/>
    <m/>
    <m/>
    <m/>
    <m/>
    <m/>
    <m/>
    <m/>
    <m/>
    <m/>
    <m/>
    <m/>
    <m/>
    <m/>
    <m/>
    <m/>
    <m/>
    <m/>
    <m/>
    <m/>
    <m/>
    <m/>
  </r>
  <r>
    <x v="0"/>
    <x v="0"/>
    <x v="4"/>
    <x v="8"/>
    <s v="Training Solidworks: Assembly modeling"/>
    <m/>
    <s v="Kumpon"/>
    <d v="2026-01-05T00:00:00"/>
    <x v="2"/>
    <d v="2026-01-07T00:00:00"/>
    <x v="0"/>
    <x v="0"/>
    <x v="0"/>
    <m/>
    <m/>
    <m/>
    <m/>
    <m/>
    <m/>
    <m/>
    <m/>
    <m/>
    <m/>
    <m/>
    <m/>
    <m/>
    <m/>
    <m/>
    <m/>
    <m/>
    <m/>
    <m/>
    <m/>
    <m/>
    <m/>
    <m/>
    <m/>
    <m/>
    <m/>
    <m/>
    <m/>
  </r>
  <r>
    <x v="1"/>
    <x v="0"/>
    <x v="0"/>
    <x v="4"/>
    <s v="MP BESS prepare torque spec"/>
    <s v="Enersys"/>
    <s v="Kumpon"/>
    <d v="2026-01-12T00:00:00"/>
    <x v="5"/>
    <d v="2026-01-13T00:00:00"/>
    <x v="0"/>
    <x v="0"/>
    <x v="0"/>
    <m/>
    <m/>
    <m/>
    <m/>
    <m/>
    <m/>
    <m/>
    <m/>
    <m/>
    <m/>
    <m/>
    <m/>
    <m/>
    <m/>
    <m/>
    <m/>
    <m/>
    <m/>
    <m/>
    <m/>
    <m/>
    <m/>
    <m/>
    <m/>
    <m/>
    <m/>
    <m/>
    <m/>
  </r>
  <r>
    <x v="0"/>
    <x v="0"/>
    <x v="0"/>
    <x v="0"/>
    <s v="Support MP BESS training and assembly "/>
    <s v="Enersys"/>
    <s v="Kumpon"/>
    <d v="2026-01-08T00:00:00"/>
    <x v="7"/>
    <d v="2026-01-15T00:00:00"/>
    <x v="0"/>
    <x v="0"/>
    <x v="0"/>
    <m/>
    <m/>
    <m/>
    <m/>
    <m/>
    <m/>
    <m/>
    <m/>
    <m/>
    <m/>
    <m/>
    <m/>
    <m/>
    <m/>
    <m/>
    <m/>
    <m/>
    <m/>
    <m/>
    <m/>
    <m/>
    <m/>
    <m/>
    <m/>
    <m/>
    <m/>
    <m/>
    <m/>
  </r>
  <r>
    <x v="1"/>
    <x v="0"/>
    <x v="0"/>
    <x v="14"/>
    <s v="Crate Drawing of Bracket BCU (Revise to use PEM)"/>
    <s v="Enersys"/>
    <s v="Kumpon"/>
    <d v="2026-01-15T00:00:00"/>
    <x v="7"/>
    <d v="2026-01-15T00:00:00"/>
    <x v="0"/>
    <x v="0"/>
    <x v="0"/>
    <m/>
    <m/>
    <m/>
    <m/>
    <m/>
    <m/>
    <m/>
    <m/>
    <m/>
    <m/>
    <m/>
    <m/>
    <m/>
    <m/>
    <m/>
    <m/>
    <m/>
    <m/>
    <m/>
    <m/>
    <m/>
    <m/>
    <m/>
    <m/>
    <m/>
    <m/>
    <m/>
    <m/>
  </r>
  <r>
    <x v="1"/>
    <x v="0"/>
    <x v="2"/>
    <x v="3"/>
    <s v="AMW 03545 Review 3D data (OBC)"/>
    <s v="IES"/>
    <s v="Kumpon"/>
    <d v="2026-01-15T00:00:00"/>
    <x v="9"/>
    <d v="2026-01-19T00:00:00"/>
    <x v="0"/>
    <x v="0"/>
    <x v="0"/>
    <m/>
    <m/>
    <m/>
    <m/>
    <m/>
    <m/>
    <m/>
    <m/>
    <m/>
    <m/>
    <m/>
    <m/>
    <m/>
    <m/>
    <m/>
    <m/>
    <m/>
    <m/>
    <m/>
    <m/>
    <m/>
    <m/>
    <m/>
    <m/>
    <m/>
    <m/>
    <m/>
    <m/>
  </r>
  <r>
    <x v="2"/>
    <x v="0"/>
    <x v="0"/>
    <x v="0"/>
    <s v="AMW 03210,03211 support assembly and trial new sampl hinge to reduce gap assembly of product"/>
    <s v="Enersys"/>
    <s v="Kumpon"/>
    <d v="2026-01-19T00:00:00"/>
    <x v="9"/>
    <d v="2026-01-19T00:00:00"/>
    <x v="0"/>
    <x v="0"/>
    <x v="0"/>
    <m/>
    <m/>
    <m/>
    <m/>
    <m/>
    <m/>
    <m/>
    <m/>
    <m/>
    <m/>
    <m/>
    <m/>
    <m/>
    <m/>
    <m/>
    <m/>
    <m/>
    <m/>
    <m/>
    <m/>
    <m/>
    <m/>
    <m/>
    <m/>
    <m/>
    <m/>
    <m/>
    <m/>
  </r>
  <r>
    <x v="2"/>
    <x v="0"/>
    <x v="3"/>
    <x v="6"/>
    <s v="Traco Tib Review DFM Mold of part 24100162-R00_x000a_(HeatSink sub)"/>
    <s v="Traco"/>
    <s v="Kumpon"/>
    <d v="2026-01-19T00:00:00"/>
    <x v="9"/>
    <d v="2026-01-20T00:00:00"/>
    <x v="0"/>
    <x v="0"/>
    <x v="0"/>
    <m/>
    <m/>
    <m/>
    <m/>
    <m/>
    <m/>
    <m/>
    <m/>
    <m/>
    <m/>
    <m/>
    <m/>
    <m/>
    <m/>
    <m/>
    <m/>
    <m/>
    <m/>
    <m/>
    <m/>
    <m/>
    <m/>
    <m/>
    <m/>
    <m/>
    <m/>
    <m/>
    <m/>
  </r>
  <r>
    <x v="2"/>
    <x v="0"/>
    <x v="7"/>
    <x v="15"/>
    <s v="AMW 03545 Review assembly from customer sample (OBC)"/>
    <s v="IES"/>
    <s v="Kumpon"/>
    <d v="2026-01-20T00:00:00"/>
    <x v="27"/>
    <d v="2026-01-22T00:00:00"/>
    <x v="0"/>
    <x v="0"/>
    <x v="0"/>
    <m/>
    <m/>
    <m/>
    <m/>
    <m/>
    <m/>
    <m/>
    <m/>
    <m/>
    <m/>
    <m/>
    <m/>
    <m/>
    <m/>
    <m/>
    <m/>
    <m/>
    <m/>
    <m/>
    <m/>
    <m/>
    <m/>
    <m/>
    <m/>
    <m/>
    <m/>
    <m/>
    <m/>
  </r>
  <r>
    <x v="2"/>
    <x v="0"/>
    <x v="4"/>
    <x v="8"/>
    <s v="Training Solidworks: weldment"/>
    <m/>
    <s v="Kumpon"/>
    <d v="2026-01-21T00:00:00"/>
    <x v="10"/>
    <d v="2026-01-21T00:00:00"/>
    <x v="0"/>
    <x v="0"/>
    <x v="0"/>
    <m/>
    <m/>
    <m/>
    <m/>
    <m/>
    <m/>
    <m/>
    <m/>
    <m/>
    <m/>
    <m/>
    <m/>
    <m/>
    <m/>
    <m/>
    <m/>
    <m/>
    <m/>
    <m/>
    <m/>
    <m/>
    <m/>
    <m/>
    <m/>
    <m/>
    <m/>
    <m/>
    <m/>
  </r>
  <r>
    <x v="0"/>
    <x v="0"/>
    <x v="1"/>
    <x v="2"/>
    <s v="MP BESS update status"/>
    <s v="Enersys"/>
    <s v="Bunnarak"/>
    <d v="2026-01-05T00:00:00"/>
    <x v="0"/>
    <d v="2026-01-05T00:00:00"/>
    <x v="0"/>
    <x v="0"/>
    <x v="0"/>
    <m/>
    <m/>
    <m/>
    <m/>
    <m/>
    <m/>
    <m/>
    <m/>
    <m/>
    <m/>
    <m/>
    <m/>
    <m/>
    <m/>
    <m/>
    <m/>
    <m/>
    <m/>
    <m/>
    <m/>
    <m/>
    <m/>
    <m/>
    <m/>
    <m/>
    <m/>
    <m/>
    <m/>
  </r>
  <r>
    <x v="0"/>
    <x v="0"/>
    <x v="0"/>
    <x v="16"/>
    <s v="AMW 03314 Product dimension out spec, Confirm measurement data and Jig assembly"/>
    <s v="LEACH"/>
    <s v="Bunnarak"/>
    <d v="2026-01-05T00:00:00"/>
    <x v="1"/>
    <d v="2026-01-06T00:00:00"/>
    <x v="0"/>
    <x v="0"/>
    <x v="0"/>
    <m/>
    <m/>
    <m/>
    <m/>
    <m/>
    <m/>
    <m/>
    <m/>
    <m/>
    <m/>
    <m/>
    <m/>
    <m/>
    <m/>
    <m/>
    <m/>
    <m/>
    <m/>
    <m/>
    <m/>
    <m/>
    <m/>
    <m/>
    <m/>
    <m/>
    <m/>
    <m/>
    <m/>
  </r>
  <r>
    <x v="0"/>
    <x v="0"/>
    <x v="0"/>
    <x v="0"/>
    <s v="AMW 03314 Follow up Base plate progress to close OPL MP trouble "/>
    <s v="Enersys"/>
    <s v="Bunnarak"/>
    <d v="2026-01-06T00:00:00"/>
    <x v="1"/>
    <d v="2026-01-06T00:00:00"/>
    <x v="0"/>
    <x v="0"/>
    <x v="0"/>
    <m/>
    <m/>
    <m/>
    <m/>
    <m/>
    <m/>
    <m/>
    <m/>
    <m/>
    <m/>
    <m/>
    <m/>
    <m/>
    <m/>
    <m/>
    <m/>
    <m/>
    <m/>
    <m/>
    <m/>
    <m/>
    <m/>
    <m/>
    <m/>
    <m/>
    <m/>
    <m/>
    <m/>
  </r>
  <r>
    <x v="0"/>
    <x v="0"/>
    <x v="0"/>
    <x v="0"/>
    <s v="AMW QUO874 support make 3D saperate part for SRC"/>
    <s v="JRI"/>
    <s v="Bunnarak"/>
    <d v="2026-01-06T00:00:00"/>
    <x v="2"/>
    <d v="2026-01-07T00:00:00"/>
    <x v="0"/>
    <x v="0"/>
    <x v="0"/>
    <m/>
    <m/>
    <m/>
    <m/>
    <m/>
    <m/>
    <m/>
    <m/>
    <m/>
    <m/>
    <m/>
    <m/>
    <m/>
    <m/>
    <m/>
    <m/>
    <m/>
    <m/>
    <m/>
    <m/>
    <m/>
    <m/>
    <m/>
    <m/>
    <m/>
    <m/>
    <m/>
    <m/>
  </r>
  <r>
    <x v="0"/>
    <x v="0"/>
    <x v="1"/>
    <x v="2"/>
    <s v="AMW 03457 N0102 Numworks weekly progress"/>
    <s v="Numworks"/>
    <s v="Bunnarak"/>
    <d v="2026-01-08T00:00:00"/>
    <x v="3"/>
    <d v="2026-01-08T00:00:00"/>
    <x v="0"/>
    <x v="0"/>
    <x v="0"/>
    <m/>
    <m/>
    <m/>
    <m/>
    <m/>
    <m/>
    <m/>
    <m/>
    <m/>
    <m/>
    <m/>
    <m/>
    <m/>
    <m/>
    <m/>
    <m/>
    <m/>
    <m/>
    <m/>
    <m/>
    <m/>
    <m/>
    <m/>
    <m/>
    <m/>
    <m/>
    <m/>
    <m/>
  </r>
  <r>
    <x v="1"/>
    <x v="0"/>
    <x v="4"/>
    <x v="8"/>
    <s v="Training Solidworks: Drawing"/>
    <m/>
    <s v="Bunnarak"/>
    <d v="2026-01-12T00:00:00"/>
    <x v="5"/>
    <d v="2026-01-13T00:00:00"/>
    <x v="0"/>
    <x v="0"/>
    <x v="0"/>
    <m/>
    <m/>
    <m/>
    <m/>
    <m/>
    <m/>
    <m/>
    <m/>
    <m/>
    <m/>
    <m/>
    <m/>
    <m/>
    <m/>
    <m/>
    <m/>
    <m/>
    <m/>
    <m/>
    <m/>
    <m/>
    <m/>
    <m/>
    <m/>
    <m/>
    <m/>
    <m/>
    <m/>
  </r>
  <r>
    <x v="1"/>
    <x v="0"/>
    <x v="1"/>
    <x v="2"/>
    <s v="Numworks weekly meeting"/>
    <s v="Numworks"/>
    <s v="Bunnarak"/>
    <d v="2026-01-15T00:00:00"/>
    <x v="7"/>
    <d v="2026-01-15T00:00:00"/>
    <x v="0"/>
    <x v="0"/>
    <x v="0"/>
    <m/>
    <m/>
    <m/>
    <m/>
    <m/>
    <m/>
    <m/>
    <m/>
    <m/>
    <m/>
    <m/>
    <m/>
    <m/>
    <m/>
    <m/>
    <m/>
    <m/>
    <m/>
    <m/>
    <m/>
    <m/>
    <m/>
    <m/>
    <m/>
    <m/>
    <m/>
    <m/>
    <m/>
  </r>
  <r>
    <x v="1"/>
    <x v="0"/>
    <x v="0"/>
    <x v="0"/>
    <s v="AMW 03457 Confirm measure point for IQC "/>
    <s v="Numworks"/>
    <s v="Bunnarak"/>
    <d v="2026-01-15T00:00:00"/>
    <x v="7"/>
    <d v="2026-01-15T00:00:00"/>
    <x v="0"/>
    <x v="0"/>
    <x v="0"/>
    <m/>
    <m/>
    <m/>
    <m/>
    <m/>
    <m/>
    <m/>
    <m/>
    <m/>
    <m/>
    <m/>
    <m/>
    <m/>
    <m/>
    <m/>
    <m/>
    <m/>
    <m/>
    <m/>
    <m/>
    <m/>
    <m/>
    <m/>
    <m/>
    <m/>
    <m/>
    <m/>
    <m/>
  </r>
  <r>
    <x v="1"/>
    <x v="0"/>
    <x v="6"/>
    <x v="17"/>
    <s v="AMW-QUO874 NPI Q'ty requirment"/>
    <s v="JRI"/>
    <s v="Bunnarak"/>
    <d v="2026-01-15T00:00:00"/>
    <x v="8"/>
    <d v="2026-01-07T00:00:00"/>
    <x v="0"/>
    <x v="0"/>
    <x v="0"/>
    <m/>
    <m/>
    <m/>
    <m/>
    <m/>
    <m/>
    <m/>
    <m/>
    <m/>
    <m/>
    <m/>
    <m/>
    <m/>
    <m/>
    <m/>
    <m/>
    <m/>
    <m/>
    <m/>
    <m/>
    <m/>
    <m/>
    <m/>
    <m/>
    <m/>
    <m/>
    <m/>
    <m/>
  </r>
  <r>
    <x v="1"/>
    <x v="0"/>
    <x v="0"/>
    <x v="0"/>
    <s v="Discuss abour assembly concept with LPI for RFQ AMW QUO818 Rev 3"/>
    <m/>
    <s v="Bunnarak"/>
    <d v="2026-01-16T00:00:00"/>
    <x v="8"/>
    <d v="2026-01-16T00:00:00"/>
    <x v="0"/>
    <x v="0"/>
    <x v="0"/>
    <m/>
    <m/>
    <m/>
    <m/>
    <m/>
    <m/>
    <m/>
    <m/>
    <m/>
    <m/>
    <m/>
    <m/>
    <m/>
    <m/>
    <m/>
    <m/>
    <m/>
    <m/>
    <m/>
    <m/>
    <m/>
    <m/>
    <m/>
    <m/>
    <m/>
    <m/>
    <m/>
    <m/>
  </r>
  <r>
    <x v="1"/>
    <x v="0"/>
    <x v="4"/>
    <x v="8"/>
    <s v="7 habit"/>
    <m/>
    <s v="All"/>
    <d v="2026-01-16T00:00:00"/>
    <x v="8"/>
    <d v="2026-01-16T00:00:00"/>
    <x v="0"/>
    <x v="0"/>
    <x v="0"/>
    <m/>
    <m/>
    <m/>
    <m/>
    <m/>
    <m/>
    <m/>
    <m/>
    <m/>
    <m/>
    <m/>
    <m/>
    <m/>
    <m/>
    <m/>
    <m/>
    <m/>
    <m/>
    <m/>
    <m/>
    <m/>
    <m/>
    <m/>
    <m/>
    <m/>
    <m/>
    <m/>
    <m/>
  </r>
  <r>
    <x v="5"/>
    <x v="1"/>
    <x v="5"/>
    <x v="9"/>
    <s v="Review new foam top for reduce cost"/>
    <s v="Enersys"/>
    <s v="Kamonchanok"/>
    <d v="2026-02-09T00:00:00"/>
    <x v="30"/>
    <d v="2026-02-10T00:00:00"/>
    <x v="0"/>
    <x v="0"/>
    <x v="0"/>
    <m/>
    <m/>
    <m/>
    <m/>
    <m/>
    <m/>
    <m/>
    <m/>
    <m/>
    <m/>
    <m/>
    <m/>
    <m/>
    <m/>
    <m/>
    <m/>
    <m/>
    <m/>
    <m/>
    <m/>
    <m/>
    <m/>
    <m/>
    <m/>
    <m/>
    <m/>
    <m/>
    <m/>
  </r>
  <r>
    <x v="5"/>
    <x v="1"/>
    <x v="5"/>
    <x v="9"/>
    <s v="Trial color box at supplier"/>
    <s v="Numworks"/>
    <s v="Kamonchanok"/>
    <d v="2026-02-10T00:00:00"/>
    <x v="30"/>
    <d v="2026-02-10T00:00:00"/>
    <x v="0"/>
    <x v="0"/>
    <x v="0"/>
    <m/>
    <m/>
    <m/>
    <m/>
    <m/>
    <m/>
    <m/>
    <m/>
    <m/>
    <m/>
    <m/>
    <m/>
    <m/>
    <m/>
    <m/>
    <m/>
    <m/>
    <m/>
    <m/>
    <m/>
    <m/>
    <m/>
    <m/>
    <m/>
    <m/>
    <m/>
    <m/>
    <m/>
  </r>
  <r>
    <x v="5"/>
    <x v="1"/>
    <x v="5"/>
    <x v="11"/>
    <s v="AMW 03577 Support packing 80 pcs."/>
    <s v="FONROCHE"/>
    <s v="Kamonchanok"/>
    <d v="2026-02-12T00:00:00"/>
    <x v="31"/>
    <d v="2026-02-12T00:00:00"/>
    <x v="0"/>
    <x v="0"/>
    <x v="0"/>
    <m/>
    <m/>
    <m/>
    <m/>
    <m/>
    <m/>
    <m/>
    <m/>
    <m/>
    <m/>
    <m/>
    <m/>
    <m/>
    <m/>
    <m/>
    <m/>
    <m/>
    <m/>
    <m/>
    <m/>
    <m/>
    <m/>
    <m/>
    <m/>
    <m/>
    <m/>
    <m/>
    <m/>
  </r>
  <r>
    <x v="5"/>
    <x v="1"/>
    <x v="5"/>
    <x v="11"/>
    <s v="AMW 03519 support packing "/>
    <s v="FONROCHE"/>
    <s v="Kamonchanok"/>
    <d v="2026-02-12T00:00:00"/>
    <x v="31"/>
    <d v="2026-02-12T00:00:00"/>
    <x v="0"/>
    <x v="0"/>
    <x v="0"/>
    <m/>
    <m/>
    <m/>
    <m/>
    <m/>
    <m/>
    <m/>
    <m/>
    <m/>
    <m/>
    <m/>
    <m/>
    <m/>
    <m/>
    <m/>
    <m/>
    <m/>
    <m/>
    <m/>
    <m/>
    <m/>
    <m/>
    <m/>
    <m/>
    <m/>
    <m/>
    <m/>
    <m/>
  </r>
  <r>
    <x v="7"/>
    <x v="1"/>
    <x v="5"/>
    <x v="11"/>
    <s v="AMW 03457 Pilot packing "/>
    <s v="Numworks"/>
    <s v="Kamonchanok"/>
    <d v="2026-02-16T00:00:00"/>
    <x v="24"/>
    <d v="2026-02-16T00:00:00"/>
    <x v="0"/>
    <x v="0"/>
    <x v="0"/>
    <m/>
    <m/>
    <m/>
    <m/>
    <m/>
    <m/>
    <m/>
    <m/>
    <m/>
    <m/>
    <m/>
    <m/>
    <m/>
    <m/>
    <m/>
    <m/>
    <m/>
    <m/>
    <m/>
    <m/>
    <m/>
    <m/>
    <m/>
    <m/>
    <m/>
    <m/>
    <m/>
    <m/>
  </r>
  <r>
    <x v="5"/>
    <x v="1"/>
    <x v="6"/>
    <x v="12"/>
    <s v="AMW QUO907 RFQ Packing "/>
    <s v="MG Development"/>
    <s v="Kamonchanok"/>
    <d v="2026-02-13T00:00:00"/>
    <x v="31"/>
    <d v="2026-02-12T00:00:00"/>
    <x v="0"/>
    <x v="0"/>
    <x v="0"/>
    <m/>
    <m/>
    <m/>
    <m/>
    <m/>
    <m/>
    <m/>
    <m/>
    <m/>
    <m/>
    <m/>
    <m/>
    <m/>
    <m/>
    <m/>
    <m/>
    <m/>
    <m/>
    <m/>
    <m/>
    <m/>
    <m/>
    <m/>
    <m/>
    <m/>
    <m/>
    <m/>
    <m/>
  </r>
  <r>
    <x v="3"/>
    <x v="0"/>
    <x v="0"/>
    <x v="18"/>
    <s v="OPL Meeting"/>
    <m/>
    <s v="Kumpon"/>
    <d v="2026-01-26T00:00:00"/>
    <x v="12"/>
    <d v="2026-01-26T00:00:00"/>
    <x v="0"/>
    <x v="0"/>
    <x v="0"/>
    <m/>
    <m/>
    <m/>
    <m/>
    <m/>
    <m/>
    <m/>
    <m/>
    <m/>
    <m/>
    <m/>
    <m/>
    <m/>
    <m/>
    <m/>
    <m/>
    <m/>
    <m/>
    <m/>
    <m/>
    <m/>
    <m/>
    <m/>
    <m/>
    <m/>
    <m/>
    <m/>
    <m/>
  </r>
  <r>
    <x v="3"/>
    <x v="0"/>
    <x v="4"/>
    <x v="19"/>
    <s v="Adjust CAD layout of coating room"/>
    <m/>
    <s v="Kumpon"/>
    <d v="2026-01-26T00:00:00"/>
    <x v="13"/>
    <d v="2026-01-26T00:00:00"/>
    <x v="0"/>
    <x v="0"/>
    <x v="0"/>
    <m/>
    <m/>
    <m/>
    <m/>
    <m/>
    <m/>
    <m/>
    <m/>
    <m/>
    <m/>
    <m/>
    <m/>
    <m/>
    <m/>
    <m/>
    <m/>
    <m/>
    <m/>
    <m/>
    <m/>
    <m/>
    <m/>
    <m/>
    <m/>
    <m/>
    <m/>
    <m/>
    <m/>
  </r>
  <r>
    <x v="3"/>
    <x v="0"/>
    <x v="0"/>
    <x v="0"/>
    <s v="AMW 03210, Rubber Button difficult to click,_x000a_Support print 3D follow execute team design"/>
    <s v="Enersys"/>
    <s v="Kumpon"/>
    <d v="2026-01-26T00:00:00"/>
    <x v="13"/>
    <d v="2026-01-27T00:00:00"/>
    <x v="0"/>
    <x v="0"/>
    <x v="0"/>
    <m/>
    <m/>
    <m/>
    <m/>
    <m/>
    <m/>
    <m/>
    <m/>
    <m/>
    <m/>
    <m/>
    <m/>
    <m/>
    <m/>
    <m/>
    <m/>
    <m/>
    <m/>
    <m/>
    <m/>
    <m/>
    <m/>
    <m/>
    <m/>
    <m/>
    <m/>
    <m/>
    <m/>
  </r>
  <r>
    <x v="3"/>
    <x v="0"/>
    <x v="0"/>
    <x v="0"/>
    <s v="MP BESS support assembly and test water proof"/>
    <s v="Enersys"/>
    <s v="Kumpon"/>
    <d v="2026-01-26T00:00:00"/>
    <x v="16"/>
    <d v="2026-01-30T00:00:00"/>
    <x v="0"/>
    <x v="0"/>
    <x v="0"/>
    <m/>
    <m/>
    <m/>
    <m/>
    <m/>
    <m/>
    <m/>
    <m/>
    <m/>
    <m/>
    <m/>
    <m/>
    <m/>
    <m/>
    <m/>
    <m/>
    <m/>
    <m/>
    <m/>
    <m/>
    <m/>
    <m/>
    <m/>
    <m/>
    <m/>
    <m/>
    <m/>
    <m/>
  </r>
  <r>
    <x v="5"/>
    <x v="1"/>
    <x v="6"/>
    <x v="12"/>
    <s v="AMW QUO906 RFQ packing "/>
    <s v="STIWA"/>
    <s v="Kamonchanok"/>
    <d v="2026-02-13T00:00:00"/>
    <x v="31"/>
    <d v="2026-02-12T00:00:00"/>
    <x v="0"/>
    <x v="0"/>
    <x v="0"/>
    <m/>
    <m/>
    <m/>
    <m/>
    <m/>
    <m/>
    <m/>
    <m/>
    <m/>
    <m/>
    <m/>
    <m/>
    <m/>
    <m/>
    <m/>
    <m/>
    <m/>
    <m/>
    <m/>
    <m/>
    <m/>
    <m/>
    <m/>
    <m/>
    <m/>
    <m/>
    <m/>
    <m/>
  </r>
  <r>
    <x v="5"/>
    <x v="1"/>
    <x v="6"/>
    <x v="17"/>
    <s v="AMW QUO906 RFQ NPI requirment"/>
    <s v="STIWA"/>
    <s v="Kamonchanok"/>
    <d v="2026-02-13T00:00:00"/>
    <x v="31"/>
    <d v="2026-02-12T00:00:00"/>
    <x v="0"/>
    <x v="0"/>
    <x v="0"/>
    <m/>
    <m/>
    <m/>
    <m/>
    <m/>
    <m/>
    <m/>
    <m/>
    <m/>
    <m/>
    <m/>
    <m/>
    <m/>
    <m/>
    <m/>
    <m/>
    <m/>
    <m/>
    <m/>
    <m/>
    <m/>
    <m/>
    <m/>
    <m/>
    <m/>
    <m/>
    <m/>
    <m/>
  </r>
  <r>
    <x v="5"/>
    <x v="1"/>
    <x v="6"/>
    <x v="12"/>
    <s v="AMW QUO910 RFQ packing"/>
    <s v="Maatel"/>
    <s v="Kamonchanok"/>
    <d v="2026-02-12T00:00:00"/>
    <x v="31"/>
    <d v="2026-02-12T00:00:00"/>
    <x v="0"/>
    <x v="0"/>
    <x v="0"/>
    <m/>
    <m/>
    <m/>
    <m/>
    <m/>
    <m/>
    <m/>
    <m/>
    <m/>
    <m/>
    <m/>
    <m/>
    <m/>
    <m/>
    <m/>
    <m/>
    <m/>
    <m/>
    <m/>
    <m/>
    <m/>
    <m/>
    <m/>
    <m/>
    <m/>
    <m/>
    <m/>
    <m/>
  </r>
  <r>
    <x v="4"/>
    <x v="1"/>
    <x v="0"/>
    <x v="0"/>
    <s v="MP BESS support assembly and test water proof"/>
    <s v="Enersys"/>
    <s v="Kumpon"/>
    <d v="2026-02-02T00:00:00"/>
    <x v="20"/>
    <d v="2026-02-06T00:00:00"/>
    <x v="0"/>
    <x v="0"/>
    <x v="0"/>
    <m/>
    <m/>
    <m/>
    <m/>
    <m/>
    <m/>
    <m/>
    <m/>
    <m/>
    <m/>
    <m/>
    <m/>
    <m/>
    <m/>
    <m/>
    <m/>
    <m/>
    <m/>
    <m/>
    <m/>
    <m/>
    <m/>
    <m/>
    <m/>
    <m/>
    <m/>
    <m/>
    <m/>
  </r>
  <r>
    <x v="2"/>
    <x v="0"/>
    <x v="7"/>
    <x v="15"/>
    <s v="AMW 03667 DFA New JRI Digital Sensor model"/>
    <s v="JRI"/>
    <s v="Bunnarak"/>
    <d v="2026-01-19T00:00:00"/>
    <x v="10"/>
    <d v="2026-01-21T00:00:00"/>
    <x v="0"/>
    <x v="0"/>
    <x v="0"/>
    <m/>
    <m/>
    <m/>
    <m/>
    <m/>
    <m/>
    <m/>
    <m/>
    <m/>
    <m/>
    <m/>
    <m/>
    <m/>
    <m/>
    <m/>
    <m/>
    <m/>
    <m/>
    <m/>
    <m/>
    <m/>
    <m/>
    <m/>
    <m/>
    <m/>
    <m/>
    <m/>
    <m/>
  </r>
  <r>
    <x v="2"/>
    <x v="0"/>
    <x v="7"/>
    <x v="15"/>
    <s v="AMW 03668 DFA New JRI Digital Sensor model"/>
    <s v="JRI"/>
    <s v="Bunnarak"/>
    <d v="2026-01-19T00:00:00"/>
    <x v="10"/>
    <d v="2026-01-21T00:00:00"/>
    <x v="0"/>
    <x v="0"/>
    <x v="0"/>
    <m/>
    <m/>
    <m/>
    <m/>
    <m/>
    <m/>
    <m/>
    <m/>
    <m/>
    <m/>
    <m/>
    <m/>
    <m/>
    <m/>
    <m/>
    <m/>
    <m/>
    <m/>
    <m/>
    <m/>
    <m/>
    <m/>
    <m/>
    <m/>
    <m/>
    <m/>
    <m/>
    <m/>
  </r>
  <r>
    <x v="2"/>
    <x v="0"/>
    <x v="7"/>
    <x v="15"/>
    <s v="AMW 03669 DFA New JRI Digital Sensor model"/>
    <s v="JRI"/>
    <s v="Bunnarak"/>
    <d v="2026-01-21T00:00:00"/>
    <x v="11"/>
    <d v="2026-01-23T00:00:00"/>
    <x v="0"/>
    <x v="0"/>
    <x v="0"/>
    <m/>
    <m/>
    <m/>
    <m/>
    <m/>
    <m/>
    <m/>
    <m/>
    <m/>
    <m/>
    <m/>
    <m/>
    <m/>
    <m/>
    <m/>
    <m/>
    <m/>
    <m/>
    <m/>
    <m/>
    <m/>
    <m/>
    <m/>
    <m/>
    <m/>
    <m/>
    <m/>
    <m/>
  </r>
  <r>
    <x v="2"/>
    <x v="0"/>
    <x v="7"/>
    <x v="15"/>
    <s v="AMW 03670 DFA New JRI Digital Sensor model"/>
    <s v="JRI"/>
    <s v="Bunnarak"/>
    <d v="2026-01-21T00:00:00"/>
    <x v="11"/>
    <d v="2026-01-23T00:00:00"/>
    <x v="0"/>
    <x v="0"/>
    <x v="0"/>
    <m/>
    <m/>
    <m/>
    <m/>
    <m/>
    <m/>
    <m/>
    <m/>
    <m/>
    <m/>
    <m/>
    <m/>
    <m/>
    <m/>
    <m/>
    <m/>
    <m/>
    <m/>
    <m/>
    <m/>
    <m/>
    <m/>
    <m/>
    <m/>
    <m/>
    <m/>
    <m/>
    <m/>
  </r>
  <r>
    <x v="2"/>
    <x v="0"/>
    <x v="0"/>
    <x v="0"/>
    <s v="JRI confirm air leak test for hanmade part trapper for use this result to modfiy tooling"/>
    <s v="JRI"/>
    <s v="Bunnarak"/>
    <d v="2026-01-21T00:00:00"/>
    <x v="10"/>
    <d v="2026-01-21T00:00:00"/>
    <x v="0"/>
    <x v="0"/>
    <x v="0"/>
    <m/>
    <m/>
    <m/>
    <m/>
    <m/>
    <m/>
    <m/>
    <m/>
    <m/>
    <m/>
    <m/>
    <m/>
    <m/>
    <m/>
    <m/>
    <m/>
    <m/>
    <m/>
    <m/>
    <m/>
    <m/>
    <m/>
    <m/>
    <m/>
    <m/>
    <m/>
    <m/>
    <m/>
  </r>
  <r>
    <x v="2"/>
    <x v="0"/>
    <x v="1"/>
    <x v="2"/>
    <s v="AMW 03457 Numworks weekly meeting"/>
    <s v="Numworks"/>
    <s v="Bunnarak"/>
    <d v="2026-01-22T00:00:00"/>
    <x v="27"/>
    <d v="2026-01-22T00:00:00"/>
    <x v="0"/>
    <x v="0"/>
    <x v="0"/>
    <m/>
    <m/>
    <m/>
    <m/>
    <m/>
    <m/>
    <m/>
    <m/>
    <m/>
    <m/>
    <m/>
    <m/>
    <m/>
    <m/>
    <m/>
    <m/>
    <m/>
    <m/>
    <m/>
    <m/>
    <m/>
    <m/>
    <m/>
    <m/>
    <m/>
    <m/>
    <m/>
    <m/>
  </r>
  <r>
    <x v="4"/>
    <x v="1"/>
    <x v="0"/>
    <x v="0"/>
    <s v="GO to Aurum to improve grile viper warp problem"/>
    <s v="Enersys"/>
    <s v="Kumpon"/>
    <d v="2026-02-06T00:00:00"/>
    <x v="20"/>
    <d v="2026-02-06T00:00:00"/>
    <x v="0"/>
    <x v="0"/>
    <x v="0"/>
    <m/>
    <m/>
    <m/>
    <m/>
    <m/>
    <m/>
    <m/>
    <m/>
    <m/>
    <m/>
    <m/>
    <m/>
    <m/>
    <m/>
    <m/>
    <m/>
    <m/>
    <m/>
    <m/>
    <m/>
    <m/>
    <m/>
    <m/>
    <m/>
    <m/>
    <m/>
    <m/>
    <m/>
  </r>
  <r>
    <x v="5"/>
    <x v="1"/>
    <x v="7"/>
    <x v="20"/>
    <s v="Viper 6Bays DFA review"/>
    <s v="Enersys"/>
    <s v="Kumpon"/>
    <d v="2026-02-09T00:00:00"/>
    <x v="31"/>
    <d v="2026-02-13T00:00:00"/>
    <x v="0"/>
    <x v="0"/>
    <x v="0"/>
    <m/>
    <m/>
    <m/>
    <m/>
    <m/>
    <m/>
    <m/>
    <m/>
    <m/>
    <m/>
    <m/>
    <m/>
    <m/>
    <m/>
    <m/>
    <m/>
    <m/>
    <m/>
    <m/>
    <m/>
    <m/>
    <m/>
    <m/>
    <m/>
    <m/>
    <m/>
    <m/>
    <m/>
  </r>
  <r>
    <x v="5"/>
    <x v="1"/>
    <x v="0"/>
    <x v="10"/>
    <s v="AMW 03457 support preparation line"/>
    <s v="Numworks"/>
    <s v="Kumpon"/>
    <d v="2026-02-10T00:00:00"/>
    <x v="30"/>
    <d v="2026-02-10T00:00:00"/>
    <x v="0"/>
    <x v="0"/>
    <x v="0"/>
    <m/>
    <m/>
    <m/>
    <m/>
    <m/>
    <m/>
    <m/>
    <m/>
    <m/>
    <m/>
    <m/>
    <m/>
    <m/>
    <m/>
    <m/>
    <m/>
    <m/>
    <m/>
    <m/>
    <m/>
    <m/>
    <m/>
    <m/>
    <m/>
    <m/>
    <m/>
    <m/>
    <m/>
  </r>
  <r>
    <x v="5"/>
    <x v="1"/>
    <x v="0"/>
    <x v="0"/>
    <s v="AMW 03210,03211 Trial Main door improve gap problem"/>
    <s v="Enersys"/>
    <s v="Kumpon"/>
    <d v="2026-02-12T00:00:00"/>
    <x v="22"/>
    <d v="2026-02-12T00:00:00"/>
    <x v="0"/>
    <x v="0"/>
    <x v="0"/>
    <m/>
    <m/>
    <m/>
    <m/>
    <m/>
    <m/>
    <m/>
    <m/>
    <m/>
    <m/>
    <m/>
    <m/>
    <m/>
    <m/>
    <m/>
    <m/>
    <m/>
    <m/>
    <m/>
    <m/>
    <m/>
    <m/>
    <m/>
    <m/>
    <m/>
    <m/>
    <m/>
    <m/>
  </r>
  <r>
    <x v="3"/>
    <x v="0"/>
    <x v="0"/>
    <x v="0"/>
    <s v="AMW 03210,03211 LightGuide rattle noise._x000a_Fine the glue for use to fix lightguide"/>
    <s v="Enersys"/>
    <s v="Bunnarak"/>
    <d v="2026-01-26T00:00:00"/>
    <x v="12"/>
    <d v="2026-01-26T00:00:00"/>
    <x v="0"/>
    <x v="0"/>
    <x v="0"/>
    <m/>
    <m/>
    <m/>
    <m/>
    <m/>
    <m/>
    <m/>
    <m/>
    <m/>
    <m/>
    <m/>
    <m/>
    <m/>
    <m/>
    <m/>
    <m/>
    <m/>
    <m/>
    <m/>
    <m/>
    <m/>
    <m/>
    <m/>
    <m/>
    <m/>
    <m/>
    <m/>
    <m/>
  </r>
  <r>
    <x v="3"/>
    <x v="0"/>
    <x v="7"/>
    <x v="20"/>
    <s v="AMW 03577 Review DFA"/>
    <s v="FONROCHE"/>
    <s v="Bunnarak"/>
    <d v="2026-01-27T00:00:00"/>
    <x v="14"/>
    <d v="2026-01-28T00:00:00"/>
    <x v="0"/>
    <x v="0"/>
    <x v="0"/>
    <m/>
    <m/>
    <m/>
    <m/>
    <m/>
    <m/>
    <m/>
    <m/>
    <m/>
    <m/>
    <m/>
    <m/>
    <m/>
    <m/>
    <m/>
    <m/>
    <m/>
    <m/>
    <m/>
    <m/>
    <m/>
    <m/>
    <m/>
    <m/>
    <m/>
    <m/>
    <m/>
    <m/>
  </r>
  <r>
    <x v="3"/>
    <x v="0"/>
    <x v="3"/>
    <x v="6"/>
    <s v="AMW 03577 check DFM mold document confirmation"/>
    <s v="FONROCHE"/>
    <s v="Bunnarak"/>
    <d v="2026-01-28T00:00:00"/>
    <x v="14"/>
    <d v="2026-01-28T00:00:00"/>
    <x v="0"/>
    <x v="0"/>
    <x v="0"/>
    <m/>
    <m/>
    <m/>
    <m/>
    <m/>
    <m/>
    <m/>
    <m/>
    <m/>
    <m/>
    <m/>
    <m/>
    <m/>
    <m/>
    <m/>
    <m/>
    <m/>
    <m/>
    <m/>
    <m/>
    <m/>
    <m/>
    <m/>
    <m/>
    <m/>
    <m/>
    <m/>
    <m/>
  </r>
  <r>
    <x v="3"/>
    <x v="0"/>
    <x v="0"/>
    <x v="0"/>
    <s v="AMW 03210,03211 LightGuide rattle noise._x000a_Follow up part modify status(LightGuide)"/>
    <s v="Enersys"/>
    <s v="Bunnarak"/>
    <d v="2026-01-29T00:00:00"/>
    <x v="15"/>
    <d v="2026-01-29T00:00:00"/>
    <x v="0"/>
    <x v="0"/>
    <x v="0"/>
    <m/>
    <m/>
    <m/>
    <m/>
    <m/>
    <m/>
    <m/>
    <m/>
    <m/>
    <m/>
    <m/>
    <m/>
    <m/>
    <m/>
    <m/>
    <m/>
    <m/>
    <m/>
    <m/>
    <m/>
    <m/>
    <m/>
    <m/>
    <m/>
    <m/>
    <m/>
    <m/>
    <m/>
  </r>
  <r>
    <x v="3"/>
    <x v="0"/>
    <x v="1"/>
    <x v="2"/>
    <s v="Numworks weekly meeting"/>
    <s v="Numworks"/>
    <s v="Bunnarak"/>
    <d v="2026-01-29T00:00:00"/>
    <x v="15"/>
    <d v="2026-01-29T00:00:00"/>
    <x v="0"/>
    <x v="0"/>
    <x v="0"/>
    <m/>
    <m/>
    <m/>
    <m/>
    <m/>
    <m/>
    <m/>
    <m/>
    <m/>
    <m/>
    <m/>
    <m/>
    <m/>
    <m/>
    <m/>
    <m/>
    <m/>
    <m/>
    <m/>
    <m/>
    <m/>
    <m/>
    <m/>
    <m/>
    <m/>
    <m/>
    <m/>
    <m/>
  </r>
  <r>
    <x v="3"/>
    <x v="0"/>
    <x v="3"/>
    <x v="5"/>
    <s v="Review update 3D data from RND model  A14 camelet"/>
    <s v="FONROCHE"/>
    <s v="Bunnarak"/>
    <d v="2026-01-29T00:00:00"/>
    <x v="15"/>
    <d v="2026-01-29T00:00:00"/>
    <x v="0"/>
    <x v="0"/>
    <x v="0"/>
    <m/>
    <m/>
    <m/>
    <m/>
    <m/>
    <m/>
    <m/>
    <m/>
    <m/>
    <m/>
    <m/>
    <m/>
    <m/>
    <m/>
    <m/>
    <m/>
    <m/>
    <m/>
    <m/>
    <m/>
    <m/>
    <m/>
    <m/>
    <m/>
    <m/>
    <m/>
    <m/>
    <m/>
  </r>
  <r>
    <x v="3"/>
    <x v="0"/>
    <x v="3"/>
    <x v="21"/>
    <s v="Confirm revised DFM Mold of A14 camelet"/>
    <s v="FONROCHE"/>
    <s v="Bunnarak"/>
    <d v="2026-01-30T00:00:00"/>
    <x v="16"/>
    <d v="2026-01-30T00:00:00"/>
    <x v="0"/>
    <x v="0"/>
    <x v="0"/>
    <m/>
    <m/>
    <m/>
    <m/>
    <m/>
    <m/>
    <m/>
    <m/>
    <m/>
    <m/>
    <m/>
    <m/>
    <m/>
    <m/>
    <m/>
    <m/>
    <m/>
    <m/>
    <m/>
    <m/>
    <m/>
    <m/>
    <m/>
    <m/>
    <m/>
    <m/>
    <m/>
    <m/>
  </r>
  <r>
    <x v="4"/>
    <x v="1"/>
    <x v="1"/>
    <x v="2"/>
    <s v="Viper assembly drawing review and feedback"/>
    <s v="Enersys"/>
    <s v="Bunnarak"/>
    <d v="2026-02-02T00:00:00"/>
    <x v="17"/>
    <d v="2026-02-02T00:00:00"/>
    <x v="0"/>
    <x v="0"/>
    <x v="0"/>
    <m/>
    <m/>
    <m/>
    <m/>
    <m/>
    <m/>
    <m/>
    <m/>
    <m/>
    <m/>
    <m/>
    <m/>
    <m/>
    <m/>
    <m/>
    <m/>
    <m/>
    <m/>
    <m/>
    <m/>
    <m/>
    <m/>
    <m/>
    <m/>
    <m/>
    <m/>
    <m/>
    <m/>
  </r>
  <r>
    <x v="4"/>
    <x v="1"/>
    <x v="3"/>
    <x v="22"/>
    <s v="Pre-DFM part viper 6-Bay"/>
    <s v="Enersys"/>
    <s v="Bunnarak"/>
    <d v="2026-02-02T00:00:00"/>
    <x v="20"/>
    <d v="2026-02-06T00:00:00"/>
    <x v="0"/>
    <x v="0"/>
    <x v="0"/>
    <m/>
    <m/>
    <m/>
    <m/>
    <m/>
    <m/>
    <m/>
    <m/>
    <m/>
    <m/>
    <m/>
    <m/>
    <m/>
    <m/>
    <m/>
    <m/>
    <m/>
    <m/>
    <m/>
    <m/>
    <m/>
    <m/>
    <m/>
    <m/>
    <m/>
    <m/>
    <m/>
    <m/>
  </r>
  <r>
    <x v="4"/>
    <x v="1"/>
    <x v="4"/>
    <x v="8"/>
    <s v="Trianing conflict management"/>
    <m/>
    <s v="All"/>
    <d v="2026-02-05T00:00:00"/>
    <x v="32"/>
    <d v="2026-02-05T00:00:00"/>
    <x v="0"/>
    <x v="0"/>
    <x v="0"/>
    <m/>
    <m/>
    <m/>
    <m/>
    <m/>
    <m/>
    <m/>
    <m/>
    <m/>
    <m/>
    <m/>
    <m/>
    <m/>
    <m/>
    <m/>
    <m/>
    <m/>
    <m/>
    <m/>
    <m/>
    <m/>
    <m/>
    <m/>
    <m/>
    <m/>
    <m/>
    <m/>
    <m/>
  </r>
  <r>
    <x v="5"/>
    <x v="1"/>
    <x v="1"/>
    <x v="2"/>
    <s v="JRI weekly meeting"/>
    <s v="JRI"/>
    <s v="Bunnarak"/>
    <d v="2026-02-09T00:00:00"/>
    <x v="29"/>
    <d v="2026-02-09T00:00:00"/>
    <x v="0"/>
    <x v="0"/>
    <x v="0"/>
    <m/>
    <m/>
    <m/>
    <m/>
    <m/>
    <m/>
    <m/>
    <m/>
    <m/>
    <m/>
    <m/>
    <m/>
    <m/>
    <m/>
    <m/>
    <m/>
    <m/>
    <m/>
    <m/>
    <m/>
    <m/>
    <m/>
    <m/>
    <m/>
    <m/>
    <m/>
    <m/>
    <m/>
  </r>
  <r>
    <x v="5"/>
    <x v="1"/>
    <x v="0"/>
    <x v="0"/>
    <s v="Support engineer confirm tolerance indication condition"/>
    <s v="JRI"/>
    <s v="Bunnarak"/>
    <d v="2026-02-09T00:00:00"/>
    <x v="29"/>
    <d v="2026-02-09T00:00:00"/>
    <x v="0"/>
    <x v="0"/>
    <x v="0"/>
    <m/>
    <m/>
    <m/>
    <m/>
    <m/>
    <m/>
    <m/>
    <m/>
    <m/>
    <m/>
    <m/>
    <m/>
    <m/>
    <m/>
    <m/>
    <m/>
    <m/>
    <m/>
    <m/>
    <m/>
    <m/>
    <m/>
    <m/>
    <m/>
    <m/>
    <m/>
    <m/>
    <m/>
  </r>
  <r>
    <x v="5"/>
    <x v="1"/>
    <x v="3"/>
    <x v="5"/>
    <s v="Share DFM  6 bay to ENG."/>
    <s v="Enersys"/>
    <s v="Bunnarak"/>
    <d v="2026-02-09T00:00:00"/>
    <x v="29"/>
    <d v="2026-02-09T00:00:00"/>
    <x v="0"/>
    <x v="0"/>
    <x v="0"/>
    <m/>
    <m/>
    <m/>
    <m/>
    <m/>
    <m/>
    <m/>
    <m/>
    <m/>
    <m/>
    <m/>
    <m/>
    <m/>
    <m/>
    <m/>
    <m/>
    <m/>
    <m/>
    <m/>
    <m/>
    <m/>
    <m/>
    <m/>
    <m/>
    <m/>
    <m/>
    <m/>
    <m/>
  </r>
  <r>
    <x v="5"/>
    <x v="1"/>
    <x v="0"/>
    <x v="10"/>
    <s v="AMW 03457 Pilot assembly"/>
    <s v="Numworks"/>
    <s v="Bunnarak"/>
    <d v="2026-02-10T00:00:00"/>
    <x v="31"/>
    <d v="2026-02-13T00:00:00"/>
    <x v="0"/>
    <x v="0"/>
    <x v="0"/>
    <m/>
    <m/>
    <m/>
    <m/>
    <m/>
    <m/>
    <m/>
    <m/>
    <m/>
    <m/>
    <m/>
    <m/>
    <m/>
    <m/>
    <m/>
    <m/>
    <m/>
    <m/>
    <m/>
    <m/>
    <m/>
    <m/>
    <m/>
    <m/>
    <m/>
    <m/>
    <m/>
    <m/>
  </r>
  <r>
    <x v="5"/>
    <x v="1"/>
    <x v="0"/>
    <x v="0"/>
    <s v="AMW 03210,03211 Support eng simulation strength for lifting project"/>
    <s v="Enersys"/>
    <s v="Bunnarak"/>
    <d v="2026-02-10T00:00:00"/>
    <x v="21"/>
    <d v="2026-02-11T00:00:00"/>
    <x v="0"/>
    <x v="0"/>
    <x v="0"/>
    <m/>
    <m/>
    <m/>
    <m/>
    <m/>
    <m/>
    <m/>
    <m/>
    <m/>
    <m/>
    <m/>
    <m/>
    <m/>
    <m/>
    <m/>
    <m/>
    <m/>
    <m/>
    <m/>
    <m/>
    <m/>
    <m/>
    <m/>
    <m/>
    <m/>
    <m/>
    <m/>
    <m/>
  </r>
  <r>
    <x v="5"/>
    <x v="1"/>
    <x v="0"/>
    <x v="0"/>
    <s v="JRI Liberty box support PRG confirm texture detail "/>
    <s v="JRI"/>
    <s v="Bunnarak"/>
    <d v="2026-02-10T00:00:00"/>
    <x v="30"/>
    <d v="2026-02-10T00:00:00"/>
    <x v="0"/>
    <x v="0"/>
    <x v="0"/>
    <m/>
    <m/>
    <m/>
    <m/>
    <m/>
    <m/>
    <m/>
    <m/>
    <m/>
    <m/>
    <m/>
    <m/>
    <m/>
    <m/>
    <m/>
    <m/>
    <m/>
    <m/>
    <m/>
    <m/>
    <m/>
    <m/>
    <m/>
    <m/>
    <m/>
    <m/>
    <m/>
    <m/>
  </r>
  <r>
    <x v="5"/>
    <x v="1"/>
    <x v="6"/>
    <x v="17"/>
    <s v="AMW QUO907 NPI Requirment"/>
    <s v="MG Development"/>
    <s v="Bunnarak"/>
    <d v="2026-02-13T00:00:00"/>
    <x v="31"/>
    <d v="2026-02-13T00:00:00"/>
    <x v="0"/>
    <x v="0"/>
    <x v="0"/>
    <m/>
    <m/>
    <m/>
    <m/>
    <m/>
    <m/>
    <m/>
    <m/>
    <m/>
    <m/>
    <m/>
    <m/>
    <m/>
    <m/>
    <m/>
    <m/>
    <m/>
    <m/>
    <m/>
    <m/>
    <m/>
    <m/>
    <m/>
    <m/>
    <m/>
    <m/>
    <m/>
    <m/>
  </r>
  <r>
    <x v="7"/>
    <x v="1"/>
    <x v="4"/>
    <x v="8"/>
    <s v="Training Solidworks: Surface modeling"/>
    <m/>
    <s v="Bunnarak"/>
    <d v="2026-02-16T00:00:00"/>
    <x v="24"/>
    <d v="2026-02-17T00:00:00"/>
    <x v="0"/>
    <x v="0"/>
    <x v="0"/>
    <m/>
    <m/>
    <m/>
    <m/>
    <m/>
    <m/>
    <m/>
    <m/>
    <m/>
    <m/>
    <m/>
    <m/>
    <m/>
    <m/>
    <m/>
    <m/>
    <m/>
    <m/>
    <m/>
    <m/>
    <m/>
    <m/>
    <m/>
    <m/>
    <m/>
    <m/>
    <m/>
    <m/>
  </r>
  <r>
    <x v="7"/>
    <x v="1"/>
    <x v="1"/>
    <x v="2"/>
    <s v="JRI BOM overmold/ MOM as of 19/Feb 26 (Wk08)"/>
    <s v="JRI"/>
    <s v="Bunnarak"/>
    <d v="2026-02-19T00:00:00"/>
    <x v="33"/>
    <d v="2026-02-19T00:00:00"/>
    <x v="0"/>
    <x v="0"/>
    <x v="0"/>
    <m/>
    <m/>
    <m/>
    <m/>
    <m/>
    <m/>
    <m/>
    <m/>
    <m/>
    <m/>
    <m/>
    <m/>
    <m/>
    <m/>
    <m/>
    <m/>
    <m/>
    <m/>
    <m/>
    <m/>
    <m/>
    <m/>
    <m/>
    <m/>
    <m/>
    <m/>
    <m/>
    <m/>
  </r>
  <r>
    <x v="7"/>
    <x v="1"/>
    <x v="1"/>
    <x v="2"/>
    <s v="Numworks weekly meeting"/>
    <s v="Numworks"/>
    <s v="Bunnarak"/>
    <d v="2026-02-19T00:00:00"/>
    <x v="33"/>
    <d v="2026-02-19T00:00:00"/>
    <x v="0"/>
    <x v="0"/>
    <x v="0"/>
    <m/>
    <m/>
    <m/>
    <m/>
    <m/>
    <m/>
    <m/>
    <m/>
    <m/>
    <m/>
    <m/>
    <m/>
    <m/>
    <m/>
    <m/>
    <m/>
    <m/>
    <m/>
    <m/>
    <m/>
    <m/>
    <m/>
    <m/>
    <m/>
    <m/>
    <m/>
    <m/>
    <m/>
  </r>
  <r>
    <x v="7"/>
    <x v="1"/>
    <x v="0"/>
    <x v="0"/>
    <s v="Trial new insert PEM JIG at TS molymer"/>
    <s v="Enersys"/>
    <s v="Kumpon"/>
    <d v="2026-02-16T00:00:00"/>
    <x v="34"/>
    <d v="2026-02-16T00:00:00"/>
    <x v="0"/>
    <x v="0"/>
    <x v="0"/>
    <m/>
    <m/>
    <m/>
    <m/>
    <m/>
    <m/>
    <m/>
    <m/>
    <m/>
    <m/>
    <m/>
    <m/>
    <m/>
    <m/>
    <m/>
    <m/>
    <m/>
    <m/>
    <m/>
    <m/>
    <m/>
    <m/>
    <m/>
    <m/>
    <m/>
    <m/>
    <m/>
    <m/>
  </r>
  <r>
    <x v="7"/>
    <x v="1"/>
    <x v="0"/>
    <x v="0"/>
    <s v="Support techincal meeting with Aurum"/>
    <s v="Traco"/>
    <s v="Kumpon"/>
    <d v="2026-02-19T00:00:00"/>
    <x v="33"/>
    <d v="2026-02-19T00:00:00"/>
    <x v="0"/>
    <x v="0"/>
    <x v="0"/>
    <m/>
    <m/>
    <m/>
    <m/>
    <m/>
    <m/>
    <m/>
    <m/>
    <m/>
    <m/>
    <m/>
    <m/>
    <m/>
    <m/>
    <m/>
    <m/>
    <m/>
    <m/>
    <m/>
    <m/>
    <m/>
    <m/>
    <m/>
    <m/>
    <m/>
    <m/>
    <m/>
    <m/>
  </r>
  <r>
    <x v="7"/>
    <x v="1"/>
    <x v="0"/>
    <x v="0"/>
    <s v="Support Eng. assembly Cabinet door for check gap"/>
    <s v="Enersys"/>
    <s v="Kumpon"/>
    <d v="2026-02-19T00:00:00"/>
    <x v="33"/>
    <d v="2026-02-19T00:00:00"/>
    <x v="0"/>
    <x v="0"/>
    <x v="0"/>
    <m/>
    <m/>
    <m/>
    <m/>
    <m/>
    <m/>
    <m/>
    <m/>
    <m/>
    <m/>
    <m/>
    <m/>
    <m/>
    <m/>
    <m/>
    <m/>
    <m/>
    <m/>
    <m/>
    <m/>
    <m/>
    <m/>
    <m/>
    <m/>
    <m/>
    <m/>
    <m/>
    <m/>
  </r>
  <r>
    <x v="7"/>
    <x v="1"/>
    <x v="6"/>
    <x v="12"/>
    <s v="AMW QUO911 RFQ Packing"/>
    <s v="ENSISO"/>
    <s v="Kamonchanok"/>
    <d v="2026-02-16T00:00:00"/>
    <x v="24"/>
    <d v="2026-02-17T00:00:00"/>
    <x v="0"/>
    <x v="0"/>
    <x v="0"/>
    <m/>
    <m/>
    <m/>
    <m/>
    <m/>
    <m/>
    <m/>
    <m/>
    <m/>
    <m/>
    <m/>
    <m/>
    <m/>
    <m/>
    <m/>
    <m/>
    <m/>
    <m/>
    <m/>
    <m/>
    <m/>
    <m/>
    <m/>
    <m/>
    <m/>
    <m/>
    <m/>
    <m/>
  </r>
  <r>
    <x v="7"/>
    <x v="1"/>
    <x v="5"/>
    <x v="9"/>
    <s v="Updated Text on outer Label_Viper cabinet"/>
    <s v="Enersys"/>
    <s v="Kamonchanok"/>
    <d v="2026-02-16T00:00:00"/>
    <x v="24"/>
    <d v="2026-02-17T00:00:00"/>
    <x v="0"/>
    <x v="0"/>
    <x v="0"/>
    <m/>
    <m/>
    <m/>
    <m/>
    <m/>
    <m/>
    <m/>
    <m/>
    <m/>
    <m/>
    <m/>
    <m/>
    <m/>
    <m/>
    <m/>
    <m/>
    <m/>
    <m/>
    <m/>
    <m/>
    <m/>
    <m/>
    <m/>
    <m/>
    <m/>
    <m/>
    <m/>
    <m/>
  </r>
  <r>
    <x v="7"/>
    <x v="1"/>
    <x v="5"/>
    <x v="9"/>
    <s v=" Add ESD Tray for PCB &amp; Top cover AMW 03457 in  process"/>
    <s v="Numworks"/>
    <s v="Kamonchanok"/>
    <d v="2026-02-18T00:00:00"/>
    <x v="35"/>
    <d v="2026-02-18T00:00:00"/>
    <x v="0"/>
    <x v="0"/>
    <x v="0"/>
    <m/>
    <m/>
    <m/>
    <m/>
    <m/>
    <m/>
    <m/>
    <m/>
    <m/>
    <m/>
    <m/>
    <m/>
    <m/>
    <m/>
    <m/>
    <m/>
    <m/>
    <m/>
    <m/>
    <m/>
    <m/>
    <m/>
    <m/>
    <m/>
    <m/>
    <m/>
    <m/>
    <m/>
  </r>
  <r>
    <x v="7"/>
    <x v="1"/>
    <x v="5"/>
    <x v="9"/>
    <s v="Fonroche A14 - AMW 03577 - Packaging "/>
    <s v="Numworks"/>
    <s v="Kamonchanok"/>
    <d v="2026-02-18T00:00:00"/>
    <x v="35"/>
    <d v="2026-02-18T00:00:00"/>
    <x v="0"/>
    <x v="0"/>
    <x v="0"/>
    <m/>
    <m/>
    <m/>
    <m/>
    <m/>
    <m/>
    <m/>
    <m/>
    <m/>
    <m/>
    <m/>
    <m/>
    <m/>
    <m/>
    <m/>
    <m/>
    <m/>
    <m/>
    <m/>
    <m/>
    <m/>
    <m/>
    <m/>
    <m/>
    <m/>
    <m/>
    <m/>
    <m/>
  </r>
  <r>
    <x v="7"/>
    <x v="1"/>
    <x v="6"/>
    <x v="12"/>
    <s v="AMW QUO914 RFQ Packing"/>
    <s v="ML Optic"/>
    <s v="Kamonchanok"/>
    <d v="2026-02-18T00:00:00"/>
    <x v="33"/>
    <d v="2026-02-18T00:00:00"/>
    <x v="0"/>
    <x v="0"/>
    <x v="0"/>
    <m/>
    <m/>
    <m/>
    <m/>
    <m/>
    <m/>
    <m/>
    <m/>
    <m/>
    <m/>
    <m/>
    <m/>
    <m/>
    <m/>
    <m/>
    <m/>
    <m/>
    <m/>
    <m/>
    <m/>
    <m/>
    <m/>
    <m/>
    <m/>
    <m/>
    <m/>
    <m/>
    <m/>
  </r>
  <r>
    <x v="7"/>
    <x v="1"/>
    <x v="5"/>
    <x v="9"/>
    <s v="Packing internal process_IES 50 KW"/>
    <s v="IES"/>
    <s v="Kamonchanok"/>
    <d v="2026-02-18T00:00:00"/>
    <x v="33"/>
    <d v="2026-02-19T00:00:00"/>
    <x v="0"/>
    <x v="0"/>
    <x v="0"/>
    <m/>
    <m/>
    <m/>
    <m/>
    <m/>
    <m/>
    <m/>
    <m/>
    <m/>
    <m/>
    <m/>
    <m/>
    <m/>
    <m/>
    <m/>
    <m/>
    <m/>
    <m/>
    <m/>
    <m/>
    <m/>
    <m/>
    <m/>
    <m/>
    <m/>
    <m/>
    <m/>
    <m/>
  </r>
  <r>
    <x v="7"/>
    <x v="1"/>
    <x v="5"/>
    <x v="9"/>
    <s v="updated Text on outer Label_Viper cabinet Rev2"/>
    <s v="Enersys"/>
    <s v="Kamonchanok"/>
    <d v="2026-02-19T00:00:00"/>
    <x v="33"/>
    <d v="2026-02-19T00:00:00"/>
    <x v="0"/>
    <x v="0"/>
    <x v="0"/>
    <m/>
    <m/>
    <m/>
    <m/>
    <m/>
    <m/>
    <m/>
    <m/>
    <m/>
    <m/>
    <m/>
    <m/>
    <m/>
    <m/>
    <m/>
    <m/>
    <m/>
    <m/>
    <m/>
    <m/>
    <m/>
    <m/>
    <m/>
    <m/>
    <m/>
    <m/>
    <m/>
    <m/>
  </r>
  <r>
    <x v="7"/>
    <x v="1"/>
    <x v="5"/>
    <x v="9"/>
    <s v="Design new box for stand viper"/>
    <s v="Enersys"/>
    <s v="Kamonchanok"/>
    <d v="2026-02-19T00:00:00"/>
    <x v="36"/>
    <d v="2026-02-20T00:00:00"/>
    <x v="0"/>
    <x v="0"/>
    <x v="0"/>
    <m/>
    <m/>
    <m/>
    <m/>
    <m/>
    <m/>
    <m/>
    <m/>
    <m/>
    <m/>
    <m/>
    <m/>
    <m/>
    <m/>
    <m/>
    <m/>
    <m/>
    <m/>
    <m/>
    <m/>
    <m/>
    <m/>
    <m/>
    <m/>
    <m/>
    <m/>
    <m/>
    <m/>
  </r>
  <r>
    <x v="7"/>
    <x v="1"/>
    <x v="0"/>
    <x v="0"/>
    <s v="AMW 03457 document registration Parameter setting of Shrink warp machine"/>
    <s v="Numworks"/>
    <s v="Kamonchanok"/>
    <d v="2026-02-19T00:00:00"/>
    <x v="36"/>
    <d v="2026-02-20T00:00:00"/>
    <x v="0"/>
    <x v="0"/>
    <x v="0"/>
    <m/>
    <m/>
    <m/>
    <m/>
    <m/>
    <m/>
    <m/>
    <m/>
    <m/>
    <m/>
    <m/>
    <m/>
    <m/>
    <m/>
    <m/>
    <m/>
    <m/>
    <m/>
    <m/>
    <m/>
    <m/>
    <m/>
    <m/>
    <m/>
    <m/>
    <m/>
    <m/>
    <m/>
  </r>
  <r>
    <x v="6"/>
    <x v="1"/>
    <x v="5"/>
    <x v="9"/>
    <s v="AMW 03211, 03210 follow up comment new box for stand viper"/>
    <s v="Enersys"/>
    <s v="Kamonchanok"/>
    <d v="2026-02-23T00:00:00"/>
    <x v="23"/>
    <d v="2026-02-25T00:00:00"/>
    <x v="0"/>
    <x v="0"/>
    <x v="0"/>
    <m/>
    <m/>
    <m/>
    <m/>
    <m/>
    <m/>
    <m/>
    <m/>
    <m/>
    <m/>
    <m/>
    <m/>
    <m/>
    <m/>
    <m/>
    <m/>
    <m/>
    <m/>
    <m/>
    <m/>
    <m/>
    <m/>
    <m/>
    <m/>
    <m/>
    <m/>
    <m/>
    <m/>
  </r>
  <r>
    <x v="6"/>
    <x v="1"/>
    <x v="5"/>
    <x v="9"/>
    <s v="AMW03457 Add ESD Tray for PCB &amp; Top cover AMW 03457 in  process"/>
    <s v="Numworks"/>
    <s v="Kamonchanok"/>
    <d v="2026-02-23T00:00:00"/>
    <x v="37"/>
    <d v="2026-02-24T00:00:00"/>
    <x v="0"/>
    <x v="0"/>
    <x v="0"/>
    <m/>
    <m/>
    <m/>
    <m/>
    <m/>
    <m/>
    <m/>
    <m/>
    <m/>
    <m/>
    <m/>
    <m/>
    <m/>
    <m/>
    <m/>
    <m/>
    <m/>
    <m/>
    <m/>
    <m/>
    <m/>
    <m/>
    <m/>
    <m/>
    <m/>
    <m/>
    <m/>
    <m/>
  </r>
  <r>
    <x v="6"/>
    <x v="1"/>
    <x v="6"/>
    <x v="12"/>
    <s v="AMW QUO918 RFQ Packing"/>
    <s v="Bernina"/>
    <s v="Kamonchanok"/>
    <d v="2026-02-24T00:00:00"/>
    <x v="23"/>
    <d v="2026-02-24T00:00:00"/>
    <x v="0"/>
    <x v="0"/>
    <x v="0"/>
    <m/>
    <m/>
    <m/>
    <m/>
    <m/>
    <m/>
    <m/>
    <m/>
    <m/>
    <m/>
    <m/>
    <m/>
    <m/>
    <m/>
    <m/>
    <m/>
    <m/>
    <m/>
    <m/>
    <m/>
    <m/>
    <m/>
    <m/>
    <m/>
    <m/>
    <m/>
    <m/>
    <m/>
  </r>
  <r>
    <x v="6"/>
    <x v="1"/>
    <x v="5"/>
    <x v="9"/>
    <s v="follow up TRACO TIB project - packaging, Large Packing Box (L) and   Small Packing Box (S)"/>
    <s v="Traco"/>
    <s v="Kamonchanok"/>
    <d v="2026-02-24T00:00:00"/>
    <x v="23"/>
    <d v="2026-02-25T00:00:00"/>
    <x v="0"/>
    <x v="0"/>
    <x v="0"/>
    <m/>
    <m/>
    <m/>
    <m/>
    <m/>
    <m/>
    <m/>
    <m/>
    <m/>
    <m/>
    <m/>
    <m/>
    <m/>
    <m/>
    <m/>
    <m/>
    <m/>
    <m/>
    <m/>
    <m/>
    <m/>
    <m/>
    <m/>
    <m/>
    <m/>
    <m/>
    <m/>
    <m/>
  </r>
  <r>
    <x v="6"/>
    <x v="1"/>
    <x v="6"/>
    <x v="12"/>
    <s v="AMW QUO921 RFQ Packing"/>
    <s v="STIWA"/>
    <s v="Kamonchanok"/>
    <d v="2026-02-26T00:00:00"/>
    <x v="38"/>
    <d v="2026-02-26T00:00:00"/>
    <x v="0"/>
    <x v="0"/>
    <x v="0"/>
    <m/>
    <m/>
    <m/>
    <m/>
    <m/>
    <m/>
    <m/>
    <m/>
    <m/>
    <m/>
    <m/>
    <m/>
    <m/>
    <m/>
    <m/>
    <m/>
    <m/>
    <m/>
    <m/>
    <m/>
    <m/>
    <m/>
    <m/>
    <m/>
    <m/>
    <m/>
    <m/>
    <m/>
  </r>
  <r>
    <x v="6"/>
    <x v="1"/>
    <x v="5"/>
    <x v="9"/>
    <s v="updated Text on outer Label_Viper cabinet Rev2 - waiting sample"/>
    <s v="Enersys"/>
    <s v="Kamonchanok"/>
    <d v="2026-02-27T00:00:00"/>
    <x v="38"/>
    <d v="2026-02-27T00:00:00"/>
    <x v="0"/>
    <x v="0"/>
    <x v="0"/>
    <m/>
    <m/>
    <m/>
    <m/>
    <m/>
    <m/>
    <m/>
    <m/>
    <m/>
    <m/>
    <m/>
    <m/>
    <m/>
    <m/>
    <m/>
    <m/>
    <m/>
    <m/>
    <m/>
    <m/>
    <m/>
    <m/>
    <m/>
    <m/>
    <m/>
    <m/>
    <m/>
    <m/>
  </r>
  <r>
    <x v="7"/>
    <x v="1"/>
    <x v="1"/>
    <x v="2"/>
    <s v="JRI BOM overmold/ MOM as of 19/Feb 26 (Wk08)"/>
    <s v="JRI"/>
    <s v="Thiti"/>
    <d v="2026-02-19T00:00:00"/>
    <x v="33"/>
    <d v="2026-02-19T00:00:00"/>
    <x v="0"/>
    <x v="0"/>
    <x v="0"/>
    <m/>
    <m/>
    <m/>
    <m/>
    <m/>
    <m/>
    <m/>
    <m/>
    <m/>
    <m/>
    <m/>
    <m/>
    <m/>
    <m/>
    <m/>
    <m/>
    <m/>
    <m/>
    <m/>
    <m/>
    <m/>
    <m/>
    <m/>
    <m/>
    <m/>
    <m/>
    <m/>
    <m/>
  </r>
  <r>
    <x v="7"/>
    <x v="1"/>
    <x v="3"/>
    <x v="6"/>
    <s v="Review DFM of IM70/IM65 of MAATEL"/>
    <s v="Maatel"/>
    <s v="Thiti"/>
    <d v="2026-02-18T00:00:00"/>
    <x v="35"/>
    <d v="2026-02-18T00:00:00"/>
    <x v="0"/>
    <x v="0"/>
    <x v="0"/>
    <m/>
    <m/>
    <m/>
    <m/>
    <m/>
    <m/>
    <m/>
    <m/>
    <m/>
    <m/>
    <m/>
    <m/>
    <m/>
    <m/>
    <m/>
    <m/>
    <m/>
    <m/>
    <m/>
    <m/>
    <m/>
    <m/>
    <m/>
    <m/>
    <m/>
    <m/>
    <m/>
    <m/>
  </r>
  <r>
    <x v="7"/>
    <x v="1"/>
    <x v="0"/>
    <x v="0"/>
    <s v="Meeting with Supplier and MAATEL for IM70/IM65"/>
    <s v="Maatel"/>
    <s v="Thiti"/>
    <d v="2026-02-18T00:00:00"/>
    <x v="35"/>
    <d v="2026-02-18T00:00:00"/>
    <x v="0"/>
    <x v="0"/>
    <x v="0"/>
    <m/>
    <m/>
    <m/>
    <m/>
    <m/>
    <m/>
    <m/>
    <m/>
    <m/>
    <m/>
    <m/>
    <m/>
    <m/>
    <m/>
    <m/>
    <m/>
    <m/>
    <m/>
    <m/>
    <m/>
    <m/>
    <m/>
    <m/>
    <m/>
    <m/>
    <m/>
    <m/>
    <m/>
  </r>
  <r>
    <x v="7"/>
    <x v="1"/>
    <x v="0"/>
    <x v="10"/>
    <s v="Observe Pre-audit of Numworks"/>
    <s v="Numworks"/>
    <s v="Thiti"/>
    <d v="2026-02-18T00:00:00"/>
    <x v="35"/>
    <d v="2026-02-18T00:00:00"/>
    <x v="0"/>
    <x v="0"/>
    <x v="0"/>
    <m/>
    <m/>
    <m/>
    <m/>
    <m/>
    <m/>
    <m/>
    <m/>
    <m/>
    <m/>
    <m/>
    <m/>
    <m/>
    <m/>
    <m/>
    <m/>
    <m/>
    <m/>
    <m/>
    <m/>
    <m/>
    <m/>
    <m/>
    <m/>
    <m/>
    <m/>
    <m/>
    <m/>
  </r>
  <r>
    <x v="7"/>
    <x v="1"/>
    <x v="0"/>
    <x v="0"/>
    <s v="Discuss with Sour about Rubber 70A"/>
    <s v="Enersys"/>
    <s v="Thiti"/>
    <d v="2026-02-18T00:00:00"/>
    <x v="35"/>
    <d v="2026-02-18T00:00:00"/>
    <x v="0"/>
    <x v="0"/>
    <x v="0"/>
    <m/>
    <m/>
    <m/>
    <m/>
    <m/>
    <m/>
    <m/>
    <m/>
    <m/>
    <m/>
    <m/>
    <m/>
    <m/>
    <m/>
    <m/>
    <m/>
    <m/>
    <m/>
    <m/>
    <m/>
    <m/>
    <m/>
    <m/>
    <m/>
    <m/>
    <m/>
    <m/>
    <m/>
  </r>
  <r>
    <x v="7"/>
    <x v="1"/>
    <x v="4"/>
    <x v="23"/>
    <s v="5S Meeting"/>
    <m/>
    <s v="Thiti"/>
    <d v="2026-02-18T00:00:00"/>
    <x v="35"/>
    <d v="2026-02-18T00:00:00"/>
    <x v="0"/>
    <x v="0"/>
    <x v="0"/>
    <m/>
    <m/>
    <m/>
    <m/>
    <m/>
    <m/>
    <m/>
    <m/>
    <m/>
    <m/>
    <m/>
    <m/>
    <m/>
    <m/>
    <m/>
    <m/>
    <m/>
    <m/>
    <m/>
    <m/>
    <m/>
    <m/>
    <m/>
    <m/>
    <m/>
    <m/>
    <m/>
    <m/>
  </r>
  <r>
    <x v="7"/>
    <x v="1"/>
    <x v="1"/>
    <x v="2"/>
    <s v="Numworks weekly meeting"/>
    <s v="Numworks"/>
    <s v="Thiti"/>
    <d v="2026-02-19T00:00:00"/>
    <x v="33"/>
    <d v="2026-02-19T00:00:00"/>
    <x v="0"/>
    <x v="0"/>
    <x v="0"/>
    <m/>
    <m/>
    <m/>
    <m/>
    <m/>
    <m/>
    <m/>
    <m/>
    <m/>
    <m/>
    <m/>
    <m/>
    <m/>
    <m/>
    <m/>
    <m/>
    <m/>
    <m/>
    <m/>
    <m/>
    <m/>
    <m/>
    <m/>
    <m/>
    <m/>
    <m/>
    <m/>
    <m/>
  </r>
  <r>
    <x v="7"/>
    <x v="1"/>
    <x v="7"/>
    <x v="24"/>
    <s v="Study component material for overmolding"/>
    <s v="JRI"/>
    <s v="Thiti"/>
    <d v="2026-02-18T00:00:00"/>
    <x v="36"/>
    <d v="2026-02-20T00:00:00"/>
    <x v="0"/>
    <x v="0"/>
    <x v="0"/>
    <m/>
    <m/>
    <m/>
    <m/>
    <m/>
    <m/>
    <m/>
    <m/>
    <m/>
    <m/>
    <m/>
    <m/>
    <m/>
    <m/>
    <m/>
    <m/>
    <m/>
    <m/>
    <m/>
    <m/>
    <m/>
    <m/>
    <m/>
    <m/>
    <m/>
    <m/>
    <m/>
    <m/>
  </r>
  <r>
    <x v="7"/>
    <x v="1"/>
    <x v="3"/>
    <x v="6"/>
    <s v="Meeting with Mold maker for overmolding"/>
    <s v="JRI"/>
    <s v="Thiti"/>
    <d v="2026-02-20T00:00:00"/>
    <x v="36"/>
    <d v="2026-02-20T00:00:00"/>
    <x v="0"/>
    <x v="0"/>
    <x v="0"/>
    <m/>
    <m/>
    <m/>
    <m/>
    <m/>
    <m/>
    <m/>
    <m/>
    <m/>
    <m/>
    <m/>
    <m/>
    <m/>
    <m/>
    <m/>
    <m/>
    <m/>
    <m/>
    <m/>
    <m/>
    <m/>
    <m/>
    <m/>
    <m/>
    <m/>
    <m/>
    <m/>
    <m/>
  </r>
  <r>
    <x v="6"/>
    <x v="1"/>
    <x v="0"/>
    <x v="0"/>
    <s v="Support Eng. Trial injection of GL0016722-Case Viper for short mold and Gap between both part"/>
    <s v="Enersys"/>
    <s v="Thiti"/>
    <d v="2026-02-23T00:00:00"/>
    <x v="39"/>
    <d v="2026-02-23T00:00:00"/>
    <x v="0"/>
    <x v="0"/>
    <x v="0"/>
    <m/>
    <m/>
    <m/>
    <m/>
    <m/>
    <m/>
    <m/>
    <m/>
    <m/>
    <m/>
    <m/>
    <m/>
    <m/>
    <m/>
    <m/>
    <m/>
    <m/>
    <m/>
    <m/>
    <m/>
    <m/>
    <m/>
    <m/>
    <m/>
    <m/>
    <m/>
    <m/>
    <m/>
  </r>
  <r>
    <x v="6"/>
    <x v="1"/>
    <x v="0"/>
    <x v="0"/>
    <s v="Review PackingSTD of Face JRI"/>
    <s v="JRI"/>
    <s v="Thiti"/>
    <d v="2026-02-24T00:00:00"/>
    <x v="37"/>
    <d v="2026-02-24T00:00:00"/>
    <x v="0"/>
    <x v="0"/>
    <x v="0"/>
    <m/>
    <m/>
    <m/>
    <m/>
    <m/>
    <m/>
    <m/>
    <m/>
    <m/>
    <m/>
    <m/>
    <m/>
    <m/>
    <m/>
    <m/>
    <m/>
    <m/>
    <m/>
    <m/>
    <m/>
    <m/>
    <m/>
    <m/>
    <m/>
    <m/>
    <m/>
    <m/>
    <m/>
  </r>
  <r>
    <x v="6"/>
    <x v="1"/>
    <x v="0"/>
    <x v="0"/>
    <s v="Review technical data of MAATEL"/>
    <s v="Maatel"/>
    <s v="Thiti"/>
    <d v="2026-02-24T00:00:00"/>
    <x v="37"/>
    <d v="2026-02-24T00:00:00"/>
    <x v="0"/>
    <x v="0"/>
    <x v="0"/>
    <m/>
    <m/>
    <m/>
    <m/>
    <m/>
    <m/>
    <m/>
    <m/>
    <m/>
    <m/>
    <m/>
    <m/>
    <m/>
    <m/>
    <m/>
    <m/>
    <m/>
    <m/>
    <m/>
    <m/>
    <m/>
    <m/>
    <m/>
    <m/>
    <m/>
    <m/>
    <m/>
    <m/>
  </r>
  <r>
    <x v="6"/>
    <x v="1"/>
    <x v="0"/>
    <x v="0"/>
    <s v="Confirm part Face of JRI with SQE about Texture"/>
    <s v="JRI"/>
    <s v="Thiti"/>
    <d v="2026-02-24T00:00:00"/>
    <x v="37"/>
    <d v="2026-02-24T00:00:00"/>
    <x v="0"/>
    <x v="0"/>
    <x v="0"/>
    <m/>
    <m/>
    <m/>
    <m/>
    <m/>
    <m/>
    <m/>
    <m/>
    <m/>
    <m/>
    <m/>
    <m/>
    <m/>
    <m/>
    <m/>
    <m/>
    <m/>
    <m/>
    <m/>
    <m/>
    <m/>
    <m/>
    <m/>
    <m/>
    <m/>
    <m/>
    <m/>
    <m/>
  </r>
  <r>
    <x v="6"/>
    <x v="1"/>
    <x v="0"/>
    <x v="0"/>
    <s v="AMW 03457 Techinical meeting for Battery Adhesive New Design and Foam Screen Protection"/>
    <s v="Numworks"/>
    <s v="Thiti"/>
    <d v="2026-02-25T00:00:00"/>
    <x v="23"/>
    <d v="2026-02-25T00:00:00"/>
    <x v="0"/>
    <x v="0"/>
    <x v="0"/>
    <m/>
    <m/>
    <m/>
    <m/>
    <m/>
    <m/>
    <m/>
    <m/>
    <m/>
    <m/>
    <m/>
    <m/>
    <m/>
    <m/>
    <m/>
    <m/>
    <m/>
    <m/>
    <m/>
    <m/>
    <m/>
    <m/>
    <m/>
    <m/>
    <m/>
    <m/>
    <m/>
    <m/>
  </r>
  <r>
    <x v="6"/>
    <x v="1"/>
    <x v="0"/>
    <x v="0"/>
    <s v="AMW 03457 Techinical meeting for new project charging dock"/>
    <s v="Numworks"/>
    <s v="Thiti"/>
    <d v="2026-02-25T00:00:00"/>
    <x v="23"/>
    <d v="2026-02-25T00:00:00"/>
    <x v="0"/>
    <x v="0"/>
    <x v="0"/>
    <m/>
    <m/>
    <m/>
    <m/>
    <m/>
    <m/>
    <m/>
    <m/>
    <m/>
    <m/>
    <m/>
    <m/>
    <m/>
    <m/>
    <m/>
    <m/>
    <m/>
    <m/>
    <m/>
    <m/>
    <m/>
    <m/>
    <m/>
    <m/>
    <m/>
    <m/>
    <m/>
    <m/>
  </r>
  <r>
    <x v="6"/>
    <x v="1"/>
    <x v="0"/>
    <x v="0"/>
    <s v="AMW 03457 Follow up supplier about improve dust on protection film"/>
    <s v="Numworks"/>
    <s v="Thiti"/>
    <d v="2026-02-23T00:00:00"/>
    <x v="40"/>
    <d v="2026-02-26T00:00:00"/>
    <x v="0"/>
    <x v="0"/>
    <x v="0"/>
    <m/>
    <m/>
    <m/>
    <m/>
    <m/>
    <m/>
    <m/>
    <m/>
    <m/>
    <m/>
    <m/>
    <m/>
    <m/>
    <m/>
    <m/>
    <m/>
    <m/>
    <m/>
    <m/>
    <m/>
    <m/>
    <m/>
    <m/>
    <m/>
    <m/>
    <m/>
    <m/>
    <m/>
  </r>
  <r>
    <x v="6"/>
    <x v="1"/>
    <x v="0"/>
    <x v="25"/>
    <s v="AMW 03457 Support Numworks pre series audit 24-25-Feb"/>
    <s v="Numworks"/>
    <s v="Thiti"/>
    <d v="2026-02-24T00:00:00"/>
    <x v="40"/>
    <d v="2026-02-26T00:00:00"/>
    <x v="0"/>
    <x v="0"/>
    <x v="0"/>
    <m/>
    <m/>
    <m/>
    <m/>
    <m/>
    <m/>
    <m/>
    <m/>
    <m/>
    <m/>
    <m/>
    <m/>
    <m/>
    <m/>
    <m/>
    <m/>
    <m/>
    <m/>
    <m/>
    <m/>
    <m/>
    <m/>
    <m/>
    <m/>
    <m/>
    <m/>
    <m/>
    <m/>
  </r>
  <r>
    <x v="6"/>
    <x v="1"/>
    <x v="0"/>
    <x v="0"/>
    <s v="Conference call YPC-AMW-NUMWORK "/>
    <s v="Numworks"/>
    <s v="Thiti"/>
    <d v="2026-02-26T00:00:00"/>
    <x v="40"/>
    <d v="2026-02-26T00:00:00"/>
    <x v="0"/>
    <x v="0"/>
    <x v="0"/>
    <m/>
    <m/>
    <m/>
    <m/>
    <m/>
    <m/>
    <m/>
    <m/>
    <m/>
    <m/>
    <m/>
    <m/>
    <m/>
    <m/>
    <m/>
    <m/>
    <m/>
    <m/>
    <m/>
    <m/>
    <m/>
    <m/>
    <m/>
    <m/>
    <m/>
    <m/>
    <m/>
    <m/>
  </r>
  <r>
    <x v="6"/>
    <x v="1"/>
    <x v="4"/>
    <x v="23"/>
    <s v="5S Meeting"/>
    <m/>
    <s v="Thiti"/>
    <d v="2026-02-26T00:00:00"/>
    <x v="40"/>
    <d v="2026-02-26T00:00:00"/>
    <x v="0"/>
    <x v="0"/>
    <x v="0"/>
    <m/>
    <m/>
    <m/>
    <m/>
    <m/>
    <m/>
    <m/>
    <m/>
    <m/>
    <m/>
    <m/>
    <m/>
    <m/>
    <m/>
    <m/>
    <m/>
    <m/>
    <m/>
    <m/>
    <m/>
    <m/>
    <m/>
    <m/>
    <m/>
    <m/>
    <m/>
    <m/>
    <m/>
  </r>
  <r>
    <x v="6"/>
    <x v="1"/>
    <x v="1"/>
    <x v="2"/>
    <s v="JRI weekly meeting"/>
    <s v="JRI"/>
    <s v="Bunnarak"/>
    <d v="2026-02-23T00:00:00"/>
    <x v="39"/>
    <d v="2026-02-23T00:00:00"/>
    <x v="0"/>
    <x v="0"/>
    <x v="0"/>
    <m/>
    <m/>
    <m/>
    <m/>
    <m/>
    <m/>
    <m/>
    <m/>
    <m/>
    <m/>
    <m/>
    <m/>
    <m/>
    <m/>
    <m/>
    <m/>
    <m/>
    <m/>
    <m/>
    <m/>
    <m/>
    <m/>
    <m/>
    <m/>
    <m/>
    <m/>
    <m/>
    <m/>
  </r>
  <r>
    <x v="6"/>
    <x v="1"/>
    <x v="0"/>
    <x v="0"/>
    <s v="(VIPER) Engineering Study for VIPER Power Button Actuation Issue"/>
    <s v="Enersys"/>
    <s v="Bunnarak"/>
    <d v="2026-02-23T00:00:00"/>
    <x v="37"/>
    <d v="2026-02-23T00:00:00"/>
    <x v="0"/>
    <x v="0"/>
    <x v="0"/>
    <m/>
    <m/>
    <m/>
    <m/>
    <m/>
    <m/>
    <m/>
    <m/>
    <m/>
    <m/>
    <m/>
    <m/>
    <m/>
    <m/>
    <m/>
    <m/>
    <m/>
    <m/>
    <m/>
    <m/>
    <m/>
    <m/>
    <m/>
    <m/>
    <m/>
    <m/>
    <m/>
    <m/>
  </r>
  <r>
    <x v="6"/>
    <x v="1"/>
    <x v="0"/>
    <x v="0"/>
    <s v="Support SRC help to review overmold quotation"/>
    <s v="JRI"/>
    <s v="Bunnarak"/>
    <d v="2026-02-24T00:00:00"/>
    <x v="23"/>
    <d v="2026-02-24T00:00:00"/>
    <x v="0"/>
    <x v="0"/>
    <x v="0"/>
    <m/>
    <m/>
    <m/>
    <m/>
    <m/>
    <m/>
    <m/>
    <m/>
    <m/>
    <m/>
    <m/>
    <m/>
    <m/>
    <m/>
    <m/>
    <m/>
    <m/>
    <m/>
    <m/>
    <m/>
    <m/>
    <m/>
    <m/>
    <m/>
    <m/>
    <m/>
    <m/>
    <m/>
  </r>
  <r>
    <x v="6"/>
    <x v="1"/>
    <x v="0"/>
    <x v="0"/>
    <s v="AMW 03457 Techinical meeting for Battery Adhesive New Design and Foam Screen Protection"/>
    <s v="Numworks"/>
    <s v="Bunnarak"/>
    <d v="2026-02-25T00:00:00"/>
    <x v="23"/>
    <d v="2026-02-25T00:00:00"/>
    <x v="0"/>
    <x v="0"/>
    <x v="0"/>
    <m/>
    <m/>
    <m/>
    <m/>
    <m/>
    <m/>
    <m/>
    <m/>
    <m/>
    <m/>
    <m/>
    <m/>
    <m/>
    <m/>
    <m/>
    <m/>
    <m/>
    <m/>
    <m/>
    <m/>
    <m/>
    <m/>
    <m/>
    <m/>
    <m/>
    <m/>
    <m/>
    <m/>
  </r>
  <r>
    <x v="6"/>
    <x v="1"/>
    <x v="0"/>
    <x v="0"/>
    <s v="AMW 03457 Techinical meeting for new project charging dock"/>
    <s v="Numworks"/>
    <s v="Bunnarak"/>
    <d v="2026-02-25T00:00:00"/>
    <x v="23"/>
    <d v="2026-02-25T00:00:00"/>
    <x v="0"/>
    <x v="0"/>
    <x v="0"/>
    <m/>
    <m/>
    <m/>
    <m/>
    <m/>
    <m/>
    <m/>
    <m/>
    <m/>
    <m/>
    <m/>
    <m/>
    <m/>
    <m/>
    <m/>
    <m/>
    <m/>
    <m/>
    <m/>
    <m/>
    <m/>
    <m/>
    <m/>
    <m/>
    <m/>
    <m/>
    <m/>
    <m/>
  </r>
  <r>
    <x v="6"/>
    <x v="1"/>
    <x v="0"/>
    <x v="0"/>
    <s v="Conference call YPC-AMW-NUMWORK "/>
    <s v="Numworks"/>
    <s v="Bunnarak"/>
    <d v="2026-02-26T00:00:00"/>
    <x v="40"/>
    <d v="2026-02-26T00:00:00"/>
    <x v="0"/>
    <x v="0"/>
    <x v="0"/>
    <m/>
    <m/>
    <m/>
    <m/>
    <m/>
    <m/>
    <m/>
    <m/>
    <m/>
    <m/>
    <m/>
    <m/>
    <m/>
    <m/>
    <m/>
    <m/>
    <m/>
    <m/>
    <m/>
    <m/>
    <m/>
    <m/>
    <m/>
    <m/>
    <m/>
    <m/>
    <m/>
    <m/>
  </r>
  <r>
    <x v="6"/>
    <x v="1"/>
    <x v="0"/>
    <x v="0"/>
    <s v="Support Quality simulation White key for checking idea reduce rib for improve button cutting"/>
    <s v="Numworks"/>
    <s v="Bunnarak"/>
    <d v="2026-02-26T00:00:00"/>
    <x v="38"/>
    <d v="2026-02-27T00:00:00"/>
    <x v="0"/>
    <x v="0"/>
    <x v="0"/>
    <m/>
    <m/>
    <m/>
    <m/>
    <m/>
    <m/>
    <m/>
    <m/>
    <m/>
    <m/>
    <m/>
    <m/>
    <m/>
    <m/>
    <m/>
    <m/>
    <m/>
    <m/>
    <m/>
    <m/>
    <m/>
    <m/>
    <m/>
    <m/>
    <m/>
    <m/>
    <m/>
    <m/>
  </r>
  <r>
    <x v="6"/>
    <x v="1"/>
    <x v="0"/>
    <x v="25"/>
    <s v="AMW 03457 Support numworks pre series wrap process"/>
    <s v="Numworks"/>
    <s v="Bunnarak"/>
    <d v="2026-02-27T00:00:00"/>
    <x v="38"/>
    <d v="2026-02-27T00:00:00"/>
    <x v="0"/>
    <x v="0"/>
    <x v="0"/>
    <m/>
    <m/>
    <m/>
    <m/>
    <m/>
    <m/>
    <m/>
    <m/>
    <m/>
    <m/>
    <m/>
    <m/>
    <m/>
    <m/>
    <m/>
    <m/>
    <m/>
    <m/>
    <m/>
    <m/>
    <m/>
    <m/>
    <m/>
    <m/>
    <m/>
    <m/>
    <m/>
    <m/>
  </r>
  <r>
    <x v="6"/>
    <x v="1"/>
    <x v="0"/>
    <x v="0"/>
    <s v="Fine spec 3D prinitng machine for integration team"/>
    <m/>
    <s v="Kumpon"/>
    <d v="2026-02-24T00:00:00"/>
    <x v="37"/>
    <d v="2026-02-24T00:00:00"/>
    <x v="0"/>
    <x v="0"/>
    <x v="0"/>
    <m/>
    <m/>
    <m/>
    <m/>
    <m/>
    <m/>
    <m/>
    <m/>
    <m/>
    <m/>
    <m/>
    <m/>
    <m/>
    <m/>
    <m/>
    <m/>
    <m/>
    <m/>
    <m/>
    <m/>
    <m/>
    <m/>
    <m/>
    <m/>
    <m/>
    <m/>
    <m/>
    <m/>
  </r>
  <r>
    <x v="6"/>
    <x v="1"/>
    <x v="0"/>
    <x v="25"/>
    <s v="AMW 03457 Support Numworks pre series audit 24-25-Feb"/>
    <s v="Numworks"/>
    <s v="Kumpon"/>
    <d v="2026-02-24T00:00:00"/>
    <x v="40"/>
    <d v="2026-02-26T00:00:00"/>
    <x v="0"/>
    <x v="0"/>
    <x v="0"/>
    <m/>
    <m/>
    <m/>
    <m/>
    <m/>
    <m/>
    <m/>
    <m/>
    <m/>
    <m/>
    <m/>
    <m/>
    <m/>
    <m/>
    <m/>
    <m/>
    <m/>
    <m/>
    <m/>
    <m/>
    <m/>
    <m/>
    <m/>
    <m/>
    <m/>
    <m/>
    <m/>
    <m/>
  </r>
  <r>
    <x v="6"/>
    <x v="1"/>
    <x v="0"/>
    <x v="0"/>
    <s v="AMW 03457 Print 3D base support assembly for line production"/>
    <s v="Numworks"/>
    <s v="Kumpon"/>
    <d v="2026-02-24T00:00:00"/>
    <x v="40"/>
    <d v="2026-02-25T00:00:00"/>
    <x v="0"/>
    <x v="0"/>
    <x v="0"/>
    <m/>
    <m/>
    <m/>
    <m/>
    <m/>
    <m/>
    <m/>
    <m/>
    <m/>
    <m/>
    <m/>
    <m/>
    <m/>
    <m/>
    <m/>
    <m/>
    <m/>
    <m/>
    <m/>
    <m/>
    <m/>
    <m/>
    <m/>
    <m/>
    <m/>
    <m/>
    <m/>
    <m/>
  </r>
  <r>
    <x v="6"/>
    <x v="1"/>
    <x v="5"/>
    <x v="9"/>
    <s v="AMW 03577 Delete  ESD TRAY "/>
    <s v="Maatel"/>
    <s v="Kamonchanok"/>
    <d v="2026-02-25T00:00:00"/>
    <x v="40"/>
    <d v="2026-02-26T00:00:00"/>
    <x v="0"/>
    <x v="0"/>
    <x v="0"/>
    <m/>
    <m/>
    <m/>
    <m/>
    <m/>
    <m/>
    <m/>
    <m/>
    <m/>
    <m/>
    <m/>
    <m/>
    <m/>
    <m/>
    <m/>
    <m/>
    <m/>
    <m/>
    <m/>
    <m/>
    <m/>
    <m/>
    <m/>
    <m/>
    <m/>
    <m/>
    <m/>
    <m/>
  </r>
  <r>
    <x v="8"/>
    <x v="2"/>
    <x v="6"/>
    <x v="12"/>
    <s v="AMW QUO915 RFQ Packing"/>
    <s v="STIWA"/>
    <s v="Kamonchanok"/>
    <d v="2026-03-02T00:00:00"/>
    <x v="41"/>
    <d v="2026-03-03T00:00:00"/>
    <x v="0"/>
    <x v="0"/>
    <x v="0"/>
    <m/>
    <m/>
    <m/>
    <m/>
    <m/>
    <m/>
    <m/>
    <m/>
    <m/>
    <m/>
    <m/>
    <m/>
    <m/>
    <m/>
    <m/>
    <m/>
    <m/>
    <m/>
    <m/>
    <m/>
    <m/>
    <m/>
    <m/>
    <m/>
    <m/>
    <m/>
    <m/>
    <m/>
  </r>
  <r>
    <x v="8"/>
    <x v="2"/>
    <x v="6"/>
    <x v="12"/>
    <s v="AMW-QUO925 NEW VIPER STAND GL0025010-0000 "/>
    <s v="Enersys"/>
    <s v="Kamonchanok"/>
    <d v="2026-03-03T00:00:00"/>
    <x v="28"/>
    <d v="2026-03-03T00:00:00"/>
    <x v="0"/>
    <x v="0"/>
    <x v="0"/>
    <m/>
    <m/>
    <m/>
    <m/>
    <m/>
    <m/>
    <m/>
    <m/>
    <m/>
    <m/>
    <m/>
    <m/>
    <m/>
    <m/>
    <m/>
    <m/>
    <m/>
    <m/>
    <m/>
    <m/>
    <m/>
    <m/>
    <m/>
    <m/>
    <m/>
    <m/>
    <m/>
    <m/>
  </r>
  <r>
    <x v="8"/>
    <x v="2"/>
    <x v="6"/>
    <x v="12"/>
    <s v="AMW-QUO920 Rev01.01_project 1650W power supply for Fulham"/>
    <s v="Fulham"/>
    <s v="Kamonchanok"/>
    <d v="2026-03-03T00:00:00"/>
    <x v="42"/>
    <d v="2026-03-03T00:00:00"/>
    <x v="0"/>
    <x v="0"/>
    <x v="0"/>
    <m/>
    <m/>
    <m/>
    <m/>
    <m/>
    <m/>
    <m/>
    <m/>
    <m/>
    <m/>
    <m/>
    <m/>
    <m/>
    <m/>
    <m/>
    <m/>
    <m/>
    <m/>
    <m/>
    <m/>
    <m/>
    <m/>
    <m/>
    <m/>
    <m/>
    <m/>
    <m/>
    <m/>
  </r>
  <r>
    <x v="8"/>
    <x v="2"/>
    <x v="4"/>
    <x v="8"/>
    <s v="Training sollidworks"/>
    <m/>
    <s v="Kamonchanok"/>
    <d v="2026-03-04T00:00:00"/>
    <x v="28"/>
    <d v="2026-03-06T00:00:00"/>
    <x v="0"/>
    <x v="0"/>
    <x v="0"/>
    <m/>
    <m/>
    <m/>
    <m/>
    <m/>
    <m/>
    <m/>
    <m/>
    <m/>
    <m/>
    <m/>
    <m/>
    <m/>
    <m/>
    <m/>
    <m/>
    <m/>
    <m/>
    <m/>
    <m/>
    <m/>
    <m/>
    <m/>
    <m/>
    <m/>
    <m/>
    <m/>
    <m/>
  </r>
  <r>
    <x v="8"/>
    <x v="2"/>
    <x v="5"/>
    <x v="11"/>
    <s v="AMW 03534 PCBA Supoport sample packing 10 pcs."/>
    <m/>
    <s v="Kamonchanok"/>
    <d v="2026-03-05T00:00:00"/>
    <x v="28"/>
    <d v="2026-03-06T00:00:00"/>
    <x v="0"/>
    <x v="0"/>
    <x v="0"/>
    <m/>
    <m/>
    <m/>
    <m/>
    <m/>
    <m/>
    <m/>
    <m/>
    <m/>
    <m/>
    <m/>
    <m/>
    <m/>
    <m/>
    <m/>
    <m/>
    <m/>
    <m/>
    <m/>
    <m/>
    <m/>
    <m/>
    <m/>
    <m/>
    <m/>
    <m/>
    <m/>
    <m/>
  </r>
  <r>
    <x v="8"/>
    <x v="2"/>
    <x v="6"/>
    <x v="12"/>
    <s v="AMW QUO925 packaging RFQ"/>
    <m/>
    <s v="Kamonchanok"/>
    <d v="2026-03-04T00:00:00"/>
    <x v="28"/>
    <d v="2026-03-04T00:00:00"/>
    <x v="0"/>
    <x v="0"/>
    <x v="0"/>
    <m/>
    <m/>
    <m/>
    <m/>
    <m/>
    <m/>
    <m/>
    <m/>
    <m/>
    <m/>
    <m/>
    <m/>
    <m/>
    <m/>
    <m/>
    <m/>
    <m/>
    <m/>
    <m/>
    <m/>
    <m/>
    <m/>
    <m/>
    <m/>
    <m/>
    <m/>
    <m/>
    <m/>
  </r>
  <r>
    <x v="8"/>
    <x v="2"/>
    <x v="0"/>
    <x v="0"/>
    <s v="compair 3D Assemble AMW 03517 REV 11.5 with EN-GL0015879-00 R0"/>
    <m/>
    <s v="Kumpon"/>
    <d v="2026-03-02T00:00:00"/>
    <x v="43"/>
    <d v="2026-03-02T00:00:00"/>
    <x v="0"/>
    <x v="0"/>
    <x v="0"/>
    <m/>
    <m/>
    <m/>
    <m/>
    <m/>
    <m/>
    <m/>
    <m/>
    <m/>
    <m/>
    <m/>
    <m/>
    <m/>
    <m/>
    <m/>
    <m/>
    <m/>
    <m/>
    <m/>
    <m/>
    <m/>
    <m/>
    <m/>
    <m/>
    <m/>
    <m/>
    <m/>
    <m/>
  </r>
  <r>
    <x v="8"/>
    <x v="2"/>
    <x v="0"/>
    <x v="0"/>
    <s v="Compair spec 3D prinitng machine for integration team"/>
    <m/>
    <s v="Kumpon"/>
    <d v="2026-03-02T00:00:00"/>
    <x v="41"/>
    <d v="2026-03-03T00:00:00"/>
    <x v="0"/>
    <x v="0"/>
    <x v="0"/>
    <m/>
    <m/>
    <m/>
    <m/>
    <m/>
    <m/>
    <m/>
    <m/>
    <m/>
    <m/>
    <m/>
    <m/>
    <m/>
    <m/>
    <m/>
    <m/>
    <m/>
    <m/>
    <m/>
    <m/>
    <m/>
    <m/>
    <m/>
    <m/>
    <m/>
    <m/>
    <m/>
    <m/>
  </r>
  <r>
    <x v="8"/>
    <x v="2"/>
    <x v="0"/>
    <x v="0"/>
    <s v="Design concept assemble anti slip number"/>
    <m/>
    <s v="Kumpon"/>
    <d v="2026-03-02T00:00:00"/>
    <x v="41"/>
    <d v="2026-03-03T00:00:00"/>
    <x v="0"/>
    <x v="0"/>
    <x v="0"/>
    <m/>
    <m/>
    <m/>
    <m/>
    <m/>
    <m/>
    <m/>
    <m/>
    <m/>
    <m/>
    <m/>
    <m/>
    <m/>
    <m/>
    <m/>
    <m/>
    <m/>
    <m/>
    <m/>
    <m/>
    <m/>
    <m/>
    <m/>
    <m/>
    <m/>
    <m/>
    <m/>
    <m/>
  </r>
  <r>
    <x v="8"/>
    <x v="2"/>
    <x v="0"/>
    <x v="0"/>
    <s v="Confirm price information of filament fir printing support GL0016810"/>
    <s v="Enersys"/>
    <s v="Kumpon"/>
    <d v="2026-03-03T00:00:00"/>
    <x v="41"/>
    <d v="2026-03-03T00:00:00"/>
    <x v="0"/>
    <x v="0"/>
    <x v="0"/>
    <m/>
    <m/>
    <m/>
    <m/>
    <m/>
    <m/>
    <m/>
    <m/>
    <m/>
    <m/>
    <m/>
    <m/>
    <m/>
    <m/>
    <m/>
    <m/>
    <m/>
    <m/>
    <m/>
    <m/>
    <m/>
    <m/>
    <m/>
    <m/>
    <m/>
    <m/>
    <m/>
    <m/>
  </r>
  <r>
    <x v="8"/>
    <x v="2"/>
    <x v="4"/>
    <x v="8"/>
    <s v="Training Solidworks: Drawing"/>
    <m/>
    <s v="Kumpon"/>
    <d v="2026-03-04T00:00:00"/>
    <x v="25"/>
    <d v="2026-03-05T00:00:00"/>
    <x v="0"/>
    <x v="0"/>
    <x v="0"/>
    <m/>
    <m/>
    <m/>
    <m/>
    <m/>
    <m/>
    <m/>
    <m/>
    <m/>
    <m/>
    <m/>
    <m/>
    <m/>
    <m/>
    <m/>
    <m/>
    <m/>
    <m/>
    <m/>
    <m/>
    <m/>
    <m/>
    <m/>
    <m/>
    <m/>
    <m/>
    <m/>
    <m/>
  </r>
  <r>
    <x v="8"/>
    <x v="2"/>
    <x v="4"/>
    <x v="8"/>
    <s v="Training sollidworks"/>
    <m/>
    <s v="Thiti"/>
    <d v="2026-03-04T00:00:00"/>
    <x v="25"/>
    <d v="2026-03-05T00:00:00"/>
    <x v="0"/>
    <x v="0"/>
    <x v="0"/>
    <m/>
    <m/>
    <m/>
    <m/>
    <m/>
    <m/>
    <m/>
    <m/>
    <m/>
    <m/>
    <m/>
    <m/>
    <m/>
    <m/>
    <m/>
    <m/>
    <m/>
    <m/>
    <m/>
    <m/>
    <m/>
    <m/>
    <m/>
    <m/>
    <m/>
    <m/>
    <m/>
    <m/>
  </r>
  <r>
    <x v="8"/>
    <x v="2"/>
    <x v="0"/>
    <x v="0"/>
    <s v="Discuss about the custumer issue with the anti-slip pad "/>
    <s v="Numworks"/>
    <s v="Thiti"/>
    <d v="2026-03-06T00:00:00"/>
    <x v="28"/>
    <d v="2026-03-06T00:00:00"/>
    <x v="0"/>
    <x v="0"/>
    <x v="0"/>
    <m/>
    <m/>
    <m/>
    <m/>
    <m/>
    <m/>
    <m/>
    <m/>
    <m/>
    <m/>
    <m/>
    <m/>
    <m/>
    <m/>
    <m/>
    <m/>
    <m/>
    <m/>
    <m/>
    <m/>
    <m/>
    <m/>
    <m/>
    <m/>
    <m/>
    <m/>
    <m/>
    <m/>
  </r>
  <r>
    <x v="8"/>
    <x v="2"/>
    <x v="1"/>
    <x v="2"/>
    <s v="Numwork weekly progress"/>
    <s v="Numworks"/>
    <s v="Bunnarak"/>
    <d v="2026-03-05T00:00:00"/>
    <x v="25"/>
    <d v="2026-03-05T00:00:00"/>
    <x v="0"/>
    <x v="0"/>
    <x v="0"/>
    <m/>
    <m/>
    <m/>
    <m/>
    <m/>
    <m/>
    <m/>
    <m/>
    <m/>
    <m/>
    <m/>
    <m/>
    <m/>
    <m/>
    <m/>
    <m/>
    <m/>
    <m/>
    <m/>
    <m/>
    <m/>
    <m/>
    <m/>
    <m/>
    <m/>
    <m/>
    <m/>
    <m/>
  </r>
  <r>
    <x v="8"/>
    <x v="2"/>
    <x v="4"/>
    <x v="26"/>
    <s v="Interview for the position of NPI"/>
    <m/>
    <s v="Bunnarak"/>
    <d v="2026-03-05T00:00:00"/>
    <x v="25"/>
    <d v="2026-03-05T00:00:00"/>
    <x v="0"/>
    <x v="0"/>
    <x v="0"/>
    <m/>
    <m/>
    <m/>
    <m/>
    <m/>
    <m/>
    <m/>
    <m/>
    <m/>
    <m/>
    <m/>
    <m/>
    <m/>
    <m/>
    <m/>
    <m/>
    <m/>
    <m/>
    <m/>
    <m/>
    <m/>
    <m/>
    <m/>
    <m/>
    <m/>
    <m/>
    <m/>
    <m/>
  </r>
  <r>
    <x v="8"/>
    <x v="2"/>
    <x v="4"/>
    <x v="7"/>
    <s v="List mandatory for manufacturing and rfq"/>
    <m/>
    <s v="Bunnarak"/>
    <d v="2026-03-05T00:00:00"/>
    <x v="28"/>
    <d v="2026-03-06T00:00:00"/>
    <x v="0"/>
    <x v="0"/>
    <x v="0"/>
    <m/>
    <m/>
    <m/>
    <m/>
    <m/>
    <m/>
    <m/>
    <m/>
    <m/>
    <m/>
    <m/>
    <m/>
    <m/>
    <m/>
    <m/>
    <m/>
    <m/>
    <m/>
    <m/>
    <m/>
    <m/>
    <m/>
    <m/>
    <m/>
    <m/>
    <m/>
    <m/>
    <m/>
  </r>
  <r>
    <x v="8"/>
    <x v="2"/>
    <x v="0"/>
    <x v="0"/>
    <s v="Follow up with SRC about button power (rubber)"/>
    <s v="Enersys"/>
    <s v="Thiti"/>
    <d v="2026-03-06T00:00:00"/>
    <x v="28"/>
    <d v="2026-03-06T00:00:00"/>
    <x v="0"/>
    <x v="0"/>
    <x v="0"/>
    <m/>
    <m/>
    <m/>
    <m/>
    <m/>
    <m/>
    <m/>
    <m/>
    <m/>
    <m/>
    <m/>
    <m/>
    <m/>
    <m/>
    <m/>
    <m/>
    <m/>
    <m/>
    <m/>
    <m/>
    <m/>
    <m/>
    <m/>
    <m/>
    <m/>
    <m/>
    <m/>
    <m/>
  </r>
  <r>
    <x v="8"/>
    <x v="2"/>
    <x v="0"/>
    <x v="0"/>
    <s v="Support technical discuss with supplier Harvard about JRI part"/>
    <s v="JRI"/>
    <s v="Thiti"/>
    <d v="2026-03-06T00:00:00"/>
    <x v="28"/>
    <d v="2026-03-06T00:00:00"/>
    <x v="0"/>
    <x v="0"/>
    <x v="0"/>
    <m/>
    <m/>
    <m/>
    <m/>
    <m/>
    <m/>
    <m/>
    <m/>
    <m/>
    <m/>
    <m/>
    <m/>
    <m/>
    <m/>
    <m/>
    <m/>
    <m/>
    <m/>
    <m/>
    <m/>
    <m/>
    <m/>
    <m/>
    <m/>
    <m/>
    <m/>
    <m/>
    <m/>
  </r>
  <r>
    <x v="9"/>
    <x v="2"/>
    <x v="1"/>
    <x v="2"/>
    <s v="JRI weekly progress"/>
    <s v="JRI"/>
    <s v="Thiti"/>
    <d v="2026-03-09T00:00:00"/>
    <x v="44"/>
    <d v="2026-03-09T00:00:00"/>
    <x v="0"/>
    <x v="0"/>
    <x v="0"/>
    <m/>
    <m/>
    <m/>
    <m/>
    <m/>
    <m/>
    <m/>
    <m/>
    <m/>
    <m/>
    <m/>
    <m/>
    <m/>
    <m/>
    <m/>
    <m/>
    <m/>
    <m/>
    <m/>
    <m/>
    <m/>
    <m/>
    <m/>
    <m/>
    <m/>
    <m/>
    <m/>
    <m/>
  </r>
  <r>
    <x v="9"/>
    <x v="2"/>
    <x v="0"/>
    <x v="1"/>
    <s v="Confirm JIG attached New Material NW-Foam Screen"/>
    <s v="Numworks"/>
    <s v="Thiti"/>
    <d v="2026-03-09T00:00:00"/>
    <x v="44"/>
    <d v="2026-03-09T00:00:00"/>
    <x v="0"/>
    <x v="0"/>
    <x v="0"/>
    <m/>
    <m/>
    <m/>
    <m/>
    <m/>
    <m/>
    <m/>
    <m/>
    <m/>
    <m/>
    <m/>
    <m/>
    <m/>
    <m/>
    <m/>
    <m/>
    <m/>
    <m/>
    <m/>
    <m/>
    <m/>
    <m/>
    <m/>
    <m/>
    <m/>
    <m/>
    <m/>
    <m/>
  </r>
  <r>
    <x v="9"/>
    <x v="2"/>
    <x v="0"/>
    <x v="0"/>
    <s v="Trial assembly New material of NW-Foam Screen"/>
    <s v="Numworks"/>
    <s v="Thiti"/>
    <d v="2026-03-09T00:00:00"/>
    <x v="44"/>
    <d v="2026-03-09T00:00:00"/>
    <x v="0"/>
    <x v="0"/>
    <x v="0"/>
    <m/>
    <m/>
    <m/>
    <m/>
    <m/>
    <m/>
    <m/>
    <m/>
    <m/>
    <m/>
    <m/>
    <m/>
    <m/>
    <m/>
    <m/>
    <m/>
    <m/>
    <m/>
    <m/>
    <m/>
    <m/>
    <m/>
    <m/>
    <m/>
    <m/>
    <m/>
    <m/>
    <m/>
  </r>
  <r>
    <x v="9"/>
    <x v="2"/>
    <x v="0"/>
    <x v="0"/>
    <s v="Follow up assembly of Viper-Case for confirm gap"/>
    <s v="Enersys"/>
    <s v="Thiti"/>
    <d v="2026-03-09T00:00:00"/>
    <x v="44"/>
    <d v="2026-03-09T00:00:00"/>
    <x v="0"/>
    <x v="0"/>
    <x v="0"/>
    <m/>
    <m/>
    <m/>
    <m/>
    <m/>
    <m/>
    <m/>
    <m/>
    <m/>
    <m/>
    <m/>
    <m/>
    <m/>
    <m/>
    <m/>
    <m/>
    <m/>
    <m/>
    <m/>
    <m/>
    <m/>
    <m/>
    <m/>
    <m/>
    <m/>
    <m/>
    <m/>
    <m/>
  </r>
  <r>
    <x v="9"/>
    <x v="2"/>
    <x v="0"/>
    <x v="0"/>
    <s v="Review customer process for attach new NW-Batt Adhesive"/>
    <s v="Numwoks"/>
    <s v="Thiti"/>
    <d v="2026-03-10T00:00:00"/>
    <x v="45"/>
    <d v="2026-03-10T00:00:00"/>
    <x v="0"/>
    <x v="0"/>
    <x v="0"/>
    <m/>
    <m/>
    <m/>
    <m/>
    <m/>
    <m/>
    <m/>
    <m/>
    <m/>
    <m/>
    <m/>
    <m/>
    <m/>
    <m/>
    <m/>
    <m/>
    <m/>
    <m/>
    <m/>
    <m/>
    <m/>
    <m/>
    <m/>
    <m/>
    <m/>
    <m/>
    <m/>
    <m/>
  </r>
  <r>
    <x v="9"/>
    <x v="2"/>
    <x v="0"/>
    <x v="0"/>
    <s v="Discuss with tooling team about New jig NW-Batt-Adhesive"/>
    <s v="Numworks"/>
    <s v="Thiti"/>
    <d v="2026-03-10T00:00:00"/>
    <x v="45"/>
    <d v="2026-03-10T00:00:00"/>
    <x v="0"/>
    <x v="0"/>
    <x v="0"/>
    <m/>
    <m/>
    <m/>
    <m/>
    <m/>
    <m/>
    <m/>
    <m/>
    <m/>
    <m/>
    <m/>
    <m/>
    <m/>
    <m/>
    <m/>
    <m/>
    <m/>
    <m/>
    <m/>
    <m/>
    <m/>
    <m/>
    <m/>
    <m/>
    <m/>
    <m/>
    <m/>
    <m/>
  </r>
  <r>
    <x v="9"/>
    <x v="2"/>
    <x v="0"/>
    <x v="0"/>
    <s v="Finding dot gauge for Quality department"/>
    <s v="Numworks"/>
    <s v="Thiti"/>
    <d v="2026-03-10T00:00:00"/>
    <x v="45"/>
    <d v="2026-03-10T00:00:00"/>
    <x v="0"/>
    <x v="0"/>
    <x v="0"/>
    <m/>
    <m/>
    <m/>
    <m/>
    <m/>
    <m/>
    <m/>
    <m/>
    <m/>
    <m/>
    <m/>
    <m/>
    <m/>
    <m/>
    <m/>
    <m/>
    <m/>
    <m/>
    <m/>
    <m/>
    <m/>
    <m/>
    <m/>
    <m/>
    <m/>
    <m/>
    <m/>
    <m/>
  </r>
  <r>
    <x v="9"/>
    <x v="2"/>
    <x v="0"/>
    <x v="0"/>
    <s v="Found defect(dot) after visual inspection "/>
    <s v="Numworks"/>
    <s v="Thiti"/>
    <d v="2026-03-11T00:00:00"/>
    <x v="46"/>
    <d v="2026-03-11T00:00:00"/>
    <x v="0"/>
    <x v="0"/>
    <x v="0"/>
    <m/>
    <m/>
    <m/>
    <m/>
    <m/>
    <m/>
    <m/>
    <m/>
    <m/>
    <m/>
    <m/>
    <m/>
    <m/>
    <m/>
    <m/>
    <m/>
    <m/>
    <m/>
    <m/>
    <m/>
    <m/>
    <m/>
    <m/>
    <m/>
    <m/>
    <m/>
    <m/>
    <m/>
  </r>
  <r>
    <x v="9"/>
    <x v="2"/>
    <x v="0"/>
    <x v="0"/>
    <s v="Confirm NW-Slip pad after improvement"/>
    <s v="Numworks"/>
    <s v="Thiti"/>
    <d v="2026-03-11T00:00:00"/>
    <x v="46"/>
    <d v="2026-03-11T00:00:00"/>
    <x v="0"/>
    <x v="0"/>
    <x v="0"/>
    <m/>
    <m/>
    <m/>
    <m/>
    <m/>
    <m/>
    <m/>
    <m/>
    <m/>
    <m/>
    <m/>
    <m/>
    <m/>
    <m/>
    <m/>
    <m/>
    <m/>
    <m/>
    <m/>
    <m/>
    <m/>
    <m/>
    <m/>
    <m/>
    <m/>
    <m/>
    <m/>
    <m/>
  </r>
  <r>
    <x v="9"/>
    <x v="2"/>
    <x v="1"/>
    <x v="2"/>
    <s v="Numworks weekly meeting"/>
    <s v="Numworks"/>
    <s v="Thiti"/>
    <d v="2026-03-12T00:00:00"/>
    <x v="47"/>
    <d v="2026-03-12T00:00:00"/>
    <x v="0"/>
    <x v="0"/>
    <x v="0"/>
    <m/>
    <m/>
    <m/>
    <m/>
    <m/>
    <m/>
    <m/>
    <m/>
    <m/>
    <m/>
    <m/>
    <m/>
    <m/>
    <m/>
    <m/>
    <m/>
    <m/>
    <m/>
    <m/>
    <m/>
    <m/>
    <m/>
    <m/>
    <m/>
    <m/>
    <m/>
    <m/>
    <m/>
  </r>
  <r>
    <x v="9"/>
    <x v="2"/>
    <x v="0"/>
    <x v="0"/>
    <s v="Trial attached new NW-Batt Adhesive"/>
    <s v="Numworks"/>
    <s v="Thiti"/>
    <d v="2026-03-13T00:00:00"/>
    <x v="48"/>
    <d v="2026-03-13T00:00:00"/>
    <x v="0"/>
    <x v="0"/>
    <x v="0"/>
    <m/>
    <m/>
    <m/>
    <m/>
    <m/>
    <m/>
    <m/>
    <m/>
    <m/>
    <m/>
    <m/>
    <m/>
    <m/>
    <m/>
    <m/>
    <m/>
    <m/>
    <m/>
    <m/>
    <m/>
    <m/>
    <m/>
    <m/>
    <m/>
    <m/>
    <m/>
    <m/>
    <m/>
  </r>
  <r>
    <x v="9"/>
    <x v="2"/>
    <x v="1"/>
    <x v="2"/>
    <s v="Meeting discussion about New jig of NW-Foam Screen"/>
    <s v="Numworks"/>
    <s v="Thiti"/>
    <d v="2026-03-13T00:00:00"/>
    <x v="48"/>
    <d v="2026-03-13T00:00:00"/>
    <x v="0"/>
    <x v="0"/>
    <x v="0"/>
    <m/>
    <m/>
    <m/>
    <m/>
    <m/>
    <m/>
    <m/>
    <m/>
    <m/>
    <m/>
    <m/>
    <m/>
    <m/>
    <m/>
    <m/>
    <m/>
    <m/>
    <m/>
    <m/>
    <m/>
    <m/>
    <m/>
    <m/>
    <m/>
    <m/>
    <m/>
    <m/>
    <m/>
  </r>
  <r>
    <x v="9"/>
    <x v="2"/>
    <x v="0"/>
    <x v="0"/>
    <s v="Confirm dust of NW model with Dot gauge"/>
    <s v="Numworks"/>
    <s v="Thiti"/>
    <d v="2026-03-13T00:00:00"/>
    <x v="48"/>
    <d v="2026-03-13T00:00:00"/>
    <x v="0"/>
    <x v="0"/>
    <x v="0"/>
    <m/>
    <m/>
    <m/>
    <m/>
    <m/>
    <m/>
    <m/>
    <m/>
    <m/>
    <m/>
    <m/>
    <m/>
    <m/>
    <m/>
    <m/>
    <m/>
    <m/>
    <m/>
    <m/>
    <m/>
    <m/>
    <m/>
    <m/>
    <m/>
    <m/>
    <m/>
    <m/>
    <m/>
  </r>
  <r>
    <x v="9"/>
    <x v="2"/>
    <x v="0"/>
    <x v="0"/>
    <s v="Discussion about NW-Slip pad"/>
    <s v="Numworks"/>
    <s v="Thiti"/>
    <d v="2026-03-13T00:00:00"/>
    <x v="48"/>
    <d v="2026-03-13T00:00:00"/>
    <x v="0"/>
    <x v="0"/>
    <x v="0"/>
    <m/>
    <m/>
    <m/>
    <m/>
    <m/>
    <m/>
    <m/>
    <m/>
    <m/>
    <m/>
    <m/>
    <m/>
    <m/>
    <m/>
    <m/>
    <m/>
    <m/>
    <m/>
    <m/>
    <m/>
    <m/>
    <m/>
    <m/>
    <m/>
    <m/>
    <m/>
    <m/>
    <m/>
  </r>
  <r>
    <x v="9"/>
    <x v="2"/>
    <x v="5"/>
    <x v="11"/>
    <s v="Modify label template by remove AMW text on label and 2D barcode"/>
    <s v="Numworks"/>
    <s v="Kamonchanok"/>
    <d v="2026-03-11T00:00:00"/>
    <x v="46"/>
    <d v="2026-03-11T00:00:00"/>
    <x v="0"/>
    <x v="0"/>
    <x v="0"/>
    <m/>
    <m/>
    <m/>
    <m/>
    <m/>
    <m/>
    <m/>
    <m/>
    <m/>
    <m/>
    <m/>
    <m/>
    <m/>
    <m/>
    <m/>
    <m/>
    <m/>
    <m/>
    <m/>
    <m/>
    <m/>
    <m/>
    <m/>
    <m/>
    <m/>
    <m/>
    <m/>
    <m/>
  </r>
  <r>
    <x v="9"/>
    <x v="2"/>
    <x v="6"/>
    <x v="12"/>
    <s v="AMW QUO929 RFQ packing"/>
    <s v="Pro Glove"/>
    <s v="Kamonchanok"/>
    <d v="2026-03-12T00:00:00"/>
    <x v="48"/>
    <d v="2026-03-13T00:00:00"/>
    <x v="0"/>
    <x v="0"/>
    <x v="0"/>
    <m/>
    <m/>
    <m/>
    <m/>
    <m/>
    <m/>
    <m/>
    <m/>
    <m/>
    <m/>
    <m/>
    <m/>
    <m/>
    <m/>
    <m/>
    <m/>
    <m/>
    <m/>
    <m/>
    <m/>
    <m/>
    <m/>
    <m/>
    <m/>
    <m/>
    <m/>
    <m/>
    <m/>
  </r>
  <r>
    <x v="9"/>
    <x v="2"/>
    <x v="5"/>
    <x v="11"/>
    <s v="Pack box Cabinet and foam final design sent to customer"/>
    <s v="Enersys"/>
    <s v="Kamonchanok"/>
    <d v="2026-03-13T00:00:00"/>
    <x v="48"/>
    <d v="2026-03-13T00:00:00"/>
    <x v="0"/>
    <x v="0"/>
    <x v="0"/>
    <m/>
    <m/>
    <m/>
    <m/>
    <m/>
    <m/>
    <m/>
    <m/>
    <m/>
    <m/>
    <m/>
    <m/>
    <m/>
    <m/>
    <m/>
    <m/>
    <m/>
    <m/>
    <m/>
    <m/>
    <m/>
    <m/>
    <m/>
    <m/>
    <m/>
    <m/>
    <m/>
    <m/>
  </r>
  <r>
    <x v="9"/>
    <x v="2"/>
    <x v="5"/>
    <x v="9"/>
    <s v="Request quotation part ESD BOX snd Oink foam AMW 03512/03513"/>
    <m/>
    <s v="Kamonchanok"/>
    <d v="2026-03-13T00:00:00"/>
    <x v="48"/>
    <d v="2026-03-13T00:00:00"/>
    <x v="0"/>
    <x v="0"/>
    <x v="0"/>
    <m/>
    <m/>
    <m/>
    <m/>
    <m/>
    <m/>
    <m/>
    <m/>
    <m/>
    <m/>
    <m/>
    <m/>
    <m/>
    <m/>
    <m/>
    <m/>
    <m/>
    <m/>
    <m/>
    <m/>
    <m/>
    <m/>
    <m/>
    <m/>
    <m/>
    <m/>
    <m/>
    <m/>
  </r>
  <r>
    <x v="9"/>
    <x v="2"/>
    <x v="6"/>
    <x v="12"/>
    <s v="AMW QUO917 VIPER 6 BAY CABINET"/>
    <s v="Enersys"/>
    <s v="Kamonchanok"/>
    <d v="2026-03-13T00:00:00"/>
    <x v="48"/>
    <d v="2026-03-13T00:00:00"/>
    <x v="0"/>
    <x v="0"/>
    <x v="0"/>
    <m/>
    <m/>
    <m/>
    <m/>
    <m/>
    <m/>
    <m/>
    <m/>
    <m/>
    <m/>
    <m/>
    <m/>
    <m/>
    <m/>
    <m/>
    <m/>
    <m/>
    <m/>
    <m/>
    <m/>
    <m/>
    <m/>
    <m/>
    <m/>
    <m/>
    <m/>
    <m/>
    <m/>
  </r>
  <r>
    <x v="9"/>
    <x v="2"/>
    <x v="5"/>
    <x v="9"/>
    <s v="Std packing in IBM: AMW 03577 &amp; AMW 03577 FOAM"/>
    <m/>
    <s v="Kamonchanok"/>
    <d v="2026-03-12T00:00:00"/>
    <x v="48"/>
    <d v="2026-03-13T00:00:00"/>
    <x v="0"/>
    <x v="0"/>
    <x v="0"/>
    <m/>
    <m/>
    <m/>
    <m/>
    <m/>
    <m/>
    <m/>
    <m/>
    <m/>
    <m/>
    <m/>
    <m/>
    <m/>
    <m/>
    <m/>
    <m/>
    <m/>
    <m/>
    <m/>
    <m/>
    <m/>
    <m/>
    <m/>
    <m/>
    <m/>
    <m/>
    <m/>
    <m/>
  </r>
  <r>
    <x v="9"/>
    <x v="2"/>
    <x v="1"/>
    <x v="2"/>
    <s v="JRI weekly progress"/>
    <s v="JRI"/>
    <s v="Bunnarak"/>
    <d v="2026-03-09T00:00:00"/>
    <x v="44"/>
    <d v="2026-03-09T00:00:00"/>
    <x v="0"/>
    <x v="0"/>
    <x v="0"/>
    <m/>
    <m/>
    <m/>
    <m/>
    <m/>
    <m/>
    <m/>
    <m/>
    <m/>
    <m/>
    <m/>
    <m/>
    <m/>
    <m/>
    <m/>
    <m/>
    <m/>
    <m/>
    <m/>
    <m/>
    <m/>
    <m/>
    <m/>
    <m/>
    <m/>
    <m/>
    <m/>
    <m/>
  </r>
  <r>
    <x v="9"/>
    <x v="2"/>
    <x v="4"/>
    <x v="27"/>
    <s v="Join simulation exhibitor at AppliCAD Innovation Center"/>
    <m/>
    <s v="Bunnarak"/>
    <d v="2026-03-10T00:00:00"/>
    <x v="45"/>
    <d v="2026-03-10T00:00:00"/>
    <x v="0"/>
    <x v="0"/>
    <x v="0"/>
    <m/>
    <m/>
    <m/>
    <m/>
    <m/>
    <m/>
    <m/>
    <m/>
    <m/>
    <m/>
    <m/>
    <m/>
    <m/>
    <m/>
    <m/>
    <m/>
    <m/>
    <m/>
    <m/>
    <m/>
    <m/>
    <m/>
    <m/>
    <m/>
    <m/>
    <m/>
    <m/>
    <m/>
  </r>
  <r>
    <x v="9"/>
    <x v="2"/>
    <x v="0"/>
    <x v="0"/>
    <s v="Support IND team simulation strength for Cutting key jig"/>
    <s v="Numworks"/>
    <s v="Bunnarak"/>
    <d v="2026-03-11T00:00:00"/>
    <x v="47"/>
    <d v="2026-03-12T00:00:00"/>
    <x v="0"/>
    <x v="0"/>
    <x v="0"/>
    <m/>
    <m/>
    <m/>
    <m/>
    <m/>
    <m/>
    <m/>
    <m/>
    <m/>
    <m/>
    <m/>
    <m/>
    <m/>
    <m/>
    <m/>
    <m/>
    <m/>
    <m/>
    <m/>
    <m/>
    <m/>
    <m/>
    <m/>
    <m/>
    <m/>
    <m/>
    <m/>
    <m/>
  </r>
  <r>
    <x v="9"/>
    <x v="2"/>
    <x v="1"/>
    <x v="2"/>
    <s v="Fairland water pump progress meeting"/>
    <s v="Fairland"/>
    <s v="Bunnarak"/>
    <d v="2026-03-13T00:00:00"/>
    <x v="48"/>
    <d v="2026-03-13T00:00:00"/>
    <x v="0"/>
    <x v="0"/>
    <x v="0"/>
    <m/>
    <m/>
    <m/>
    <m/>
    <m/>
    <m/>
    <m/>
    <m/>
    <m/>
    <m/>
    <m/>
    <m/>
    <m/>
    <m/>
    <m/>
    <m/>
    <m/>
    <m/>
    <m/>
    <m/>
    <m/>
    <m/>
    <m/>
    <m/>
    <m/>
    <m/>
    <m/>
    <m/>
  </r>
  <r>
    <x v="9"/>
    <x v="2"/>
    <x v="6"/>
    <x v="17"/>
    <s v="AMW QUO929 RFQ integration requirement"/>
    <s v="Pro Glove"/>
    <s v="Bunnarak"/>
    <d v="2026-03-12T00:00:00"/>
    <x v="48"/>
    <d v="2026-03-13T00:00:00"/>
    <x v="0"/>
    <x v="0"/>
    <x v="0"/>
    <m/>
    <m/>
    <m/>
    <m/>
    <m/>
    <m/>
    <m/>
    <m/>
    <m/>
    <m/>
    <m/>
    <m/>
    <m/>
    <m/>
    <m/>
    <m/>
    <m/>
    <m/>
    <m/>
    <m/>
    <m/>
    <m/>
    <m/>
    <m/>
    <m/>
    <m/>
    <m/>
    <m/>
  </r>
  <r>
    <x v="9"/>
    <x v="2"/>
    <x v="1"/>
    <x v="2"/>
    <s v="Fairland water pump progress meeting"/>
    <s v="Fairland"/>
    <s v="Bunnarak"/>
    <d v="2026-03-12T00:00:00"/>
    <x v="47"/>
    <d v="2026-03-12T00:00:00"/>
    <x v="0"/>
    <x v="0"/>
    <x v="0"/>
    <m/>
    <m/>
    <m/>
    <m/>
    <m/>
    <m/>
    <m/>
    <m/>
    <m/>
    <m/>
    <m/>
    <m/>
    <m/>
    <m/>
    <m/>
    <m/>
    <m/>
    <m/>
    <m/>
    <m/>
    <m/>
    <m/>
    <m/>
    <m/>
    <m/>
    <m/>
    <m/>
    <m/>
  </r>
  <r>
    <x v="8"/>
    <x v="2"/>
    <x v="0"/>
    <x v="0"/>
    <s v="Support OBC model "/>
    <s v="IES"/>
    <s v="Kumpon"/>
    <d v="2026-03-06T00:00:00"/>
    <x v="28"/>
    <d v="2026-03-06T00:00:00"/>
    <x v="0"/>
    <x v="0"/>
    <x v="0"/>
    <m/>
    <m/>
    <m/>
    <m/>
    <m/>
    <m/>
    <m/>
    <m/>
    <m/>
    <m/>
    <m/>
    <m/>
    <m/>
    <m/>
    <m/>
    <m/>
    <m/>
    <m/>
    <m/>
    <m/>
    <m/>
    <m/>
    <m/>
    <m/>
    <m/>
    <m/>
    <m/>
    <m/>
  </r>
  <r>
    <x v="9"/>
    <x v="2"/>
    <x v="4"/>
    <x v="27"/>
    <s v="Join simulation exhibitor at AppliCAD Innovation Center"/>
    <m/>
    <s v="Kumpon"/>
    <d v="2026-03-10T00:00:00"/>
    <x v="45"/>
    <d v="2026-03-10T00:00:00"/>
    <x v="0"/>
    <x v="0"/>
    <x v="0"/>
    <m/>
    <m/>
    <m/>
    <m/>
    <m/>
    <m/>
    <m/>
    <m/>
    <m/>
    <m/>
    <m/>
    <m/>
    <m/>
    <m/>
    <m/>
    <m/>
    <m/>
    <m/>
    <m/>
    <m/>
    <m/>
    <m/>
    <m/>
    <m/>
    <m/>
    <m/>
    <m/>
    <m/>
  </r>
  <r>
    <x v="9"/>
    <x v="2"/>
    <x v="1"/>
    <x v="2"/>
    <s v="Update detail for Fairland water pump progress"/>
    <s v="Fairland"/>
    <s v="Kumpon"/>
    <d v="2026-03-12T00:00:00"/>
    <x v="48"/>
    <d v="2026-03-13T00:00:00"/>
    <x v="0"/>
    <x v="0"/>
    <x v="0"/>
    <m/>
    <m/>
    <m/>
    <m/>
    <m/>
    <m/>
    <m/>
    <m/>
    <m/>
    <m/>
    <m/>
    <m/>
    <m/>
    <m/>
    <m/>
    <m/>
    <m/>
    <m/>
    <m/>
    <m/>
    <m/>
    <m/>
    <m/>
    <m/>
    <m/>
    <m/>
    <m/>
    <m/>
  </r>
  <r>
    <x v="9"/>
    <x v="2"/>
    <x v="1"/>
    <x v="2"/>
    <s v="Fairland water pump progress meeting"/>
    <s v="Fairland"/>
    <s v="Kumpon"/>
    <d v="2026-03-12T00:00:00"/>
    <x v="47"/>
    <d v="2026-03-12T00:00:00"/>
    <x v="0"/>
    <x v="0"/>
    <x v="0"/>
    <m/>
    <m/>
    <m/>
    <m/>
    <m/>
    <m/>
    <m/>
    <m/>
    <m/>
    <m/>
    <m/>
    <m/>
    <m/>
    <m/>
    <m/>
    <m/>
    <m/>
    <m/>
    <m/>
    <m/>
    <m/>
    <m/>
    <m/>
    <m/>
    <m/>
    <m/>
    <m/>
    <m/>
  </r>
  <r>
    <x v="9"/>
    <x v="2"/>
    <x v="1"/>
    <x v="2"/>
    <s v="Fairland water pump progress meeting"/>
    <s v="Fairland"/>
    <s v="Kumpon"/>
    <d v="2026-03-13T00:00:00"/>
    <x v="48"/>
    <d v="2026-03-13T00:00:00"/>
    <x v="0"/>
    <x v="0"/>
    <x v="0"/>
    <m/>
    <m/>
    <m/>
    <m/>
    <m/>
    <m/>
    <m/>
    <m/>
    <m/>
    <m/>
    <m/>
    <m/>
    <m/>
    <m/>
    <m/>
    <m/>
    <m/>
    <m/>
    <m/>
    <m/>
    <m/>
    <m/>
    <m/>
    <m/>
    <m/>
    <m/>
    <m/>
    <m/>
  </r>
  <r>
    <x v="10"/>
    <x v="2"/>
    <x v="0"/>
    <x v="0"/>
    <s v="Join to visit new supplier SINGLE  POINT ENGINEERING COMPANY with Qua and SRC"/>
    <m/>
    <s v="Kumpon"/>
    <d v="2026-03-18T00:00:00"/>
    <x v="49"/>
    <d v="2026-03-18T00:00:00"/>
    <x v="0"/>
    <x v="0"/>
    <x v="0"/>
    <m/>
    <m/>
    <m/>
    <m/>
    <m/>
    <m/>
    <m/>
    <m/>
    <m/>
    <m/>
    <m/>
    <m/>
    <m/>
    <m/>
    <m/>
    <m/>
    <m/>
    <m/>
    <m/>
    <m/>
    <m/>
    <m/>
    <m/>
    <m/>
    <m/>
    <m/>
    <m/>
    <m/>
  </r>
  <r>
    <x v="10"/>
    <x v="2"/>
    <x v="0"/>
    <x v="0"/>
    <s v="Follow progress defect of Numworks preseries"/>
    <s v="Numworks"/>
    <s v="Thiti"/>
    <d v="2026-03-16T00:00:00"/>
    <x v="50"/>
    <d v="2026-03-16T00:00:00"/>
    <x v="0"/>
    <x v="0"/>
    <x v="0"/>
    <m/>
    <m/>
    <m/>
    <m/>
    <m/>
    <m/>
    <m/>
    <m/>
    <m/>
    <m/>
    <m/>
    <m/>
    <m/>
    <m/>
    <m/>
    <m/>
    <m/>
    <m/>
    <m/>
    <m/>
    <m/>
    <m/>
    <m/>
    <m/>
    <m/>
    <m/>
    <m/>
    <m/>
  </r>
  <r>
    <x v="10"/>
    <x v="2"/>
    <x v="0"/>
    <x v="0"/>
    <s v="Follow progress defect of Numworks preseries"/>
    <s v="Numworks"/>
    <s v="Bunnarak"/>
    <d v="2026-03-16T00:00:00"/>
    <x v="50"/>
    <d v="2026-03-16T00:00:00"/>
    <x v="0"/>
    <x v="0"/>
    <x v="0"/>
    <m/>
    <m/>
    <m/>
    <m/>
    <m/>
    <m/>
    <m/>
    <m/>
    <m/>
    <m/>
    <m/>
    <m/>
    <m/>
    <m/>
    <m/>
    <m/>
    <m/>
    <m/>
    <m/>
    <m/>
    <m/>
    <m/>
    <m/>
    <m/>
    <m/>
    <m/>
    <m/>
    <m/>
  </r>
  <r>
    <x v="10"/>
    <x v="2"/>
    <x v="0"/>
    <x v="0"/>
    <s v="Follow progress defect of Numworks preseries"/>
    <s v="Numworks"/>
    <s v="Kumpon"/>
    <d v="2026-03-16T00:00:00"/>
    <x v="50"/>
    <d v="2026-03-16T00:00:00"/>
    <x v="0"/>
    <x v="0"/>
    <x v="0"/>
    <m/>
    <m/>
    <m/>
    <m/>
    <m/>
    <m/>
    <m/>
    <m/>
    <m/>
    <m/>
    <m/>
    <m/>
    <m/>
    <m/>
    <m/>
    <m/>
    <m/>
    <m/>
    <m/>
    <m/>
    <m/>
    <m/>
    <m/>
    <m/>
    <m/>
    <m/>
    <m/>
    <m/>
  </r>
  <r>
    <x v="9"/>
    <x v="2"/>
    <x v="5"/>
    <x v="11"/>
    <s v="AMW 03368 (packing AEG)"/>
    <s v="AEG"/>
    <s v="Kamonchanok"/>
    <d v="2026-03-10T00:00:00"/>
    <x v="45"/>
    <d v="2026-03-10T00:00:00"/>
    <x v="0"/>
    <x v="0"/>
    <x v="0"/>
    <m/>
    <m/>
    <m/>
    <m/>
    <m/>
    <m/>
    <m/>
    <m/>
    <m/>
    <m/>
    <m/>
    <m/>
    <m/>
    <m/>
    <m/>
    <m/>
    <m/>
    <m/>
    <m/>
    <m/>
    <m/>
    <m/>
    <m/>
    <m/>
    <m/>
    <m/>
    <m/>
    <m/>
  </r>
  <r>
    <x v="9"/>
    <x v="2"/>
    <x v="5"/>
    <x v="11"/>
    <s v="AMW 03519 (packing + label)"/>
    <m/>
    <s v="Kamonchanok"/>
    <d v="2026-03-10T00:00:00"/>
    <x v="47"/>
    <d v="2026-03-12T00:00:00"/>
    <x v="0"/>
    <x v="0"/>
    <x v="0"/>
    <m/>
    <m/>
    <m/>
    <m/>
    <m/>
    <m/>
    <m/>
    <m/>
    <m/>
    <m/>
    <m/>
    <m/>
    <m/>
    <m/>
    <m/>
    <m/>
    <m/>
    <m/>
    <m/>
    <m/>
    <m/>
    <m/>
    <m/>
    <m/>
    <m/>
    <m/>
    <m/>
    <m/>
  </r>
  <r>
    <x v="9"/>
    <x v="2"/>
    <x v="5"/>
    <x v="11"/>
    <s v="AMW 03495 (packing)"/>
    <m/>
    <s v="Kamonchanok"/>
    <d v="2026-03-12T00:00:00"/>
    <x v="47"/>
    <d v="2026-03-12T00:00:00"/>
    <x v="0"/>
    <x v="0"/>
    <x v="0"/>
    <m/>
    <m/>
    <m/>
    <m/>
    <m/>
    <m/>
    <m/>
    <m/>
    <m/>
    <m/>
    <m/>
    <m/>
    <m/>
    <m/>
    <m/>
    <m/>
    <m/>
    <m/>
    <m/>
    <m/>
    <m/>
    <m/>
    <m/>
    <m/>
    <m/>
    <m/>
    <m/>
    <m/>
  </r>
  <r>
    <x v="9"/>
    <x v="2"/>
    <x v="5"/>
    <x v="11"/>
    <s v="AMW 03457 (LABEL)"/>
    <m/>
    <s v="Kamonchanok"/>
    <d v="2026-03-11T00:00:00"/>
    <x v="46"/>
    <d v="2026-03-11T00:00:00"/>
    <x v="0"/>
    <x v="0"/>
    <x v="0"/>
    <m/>
    <m/>
    <m/>
    <m/>
    <m/>
    <m/>
    <m/>
    <m/>
    <m/>
    <m/>
    <m/>
    <m/>
    <m/>
    <m/>
    <m/>
    <m/>
    <m/>
    <m/>
    <m/>
    <m/>
    <m/>
    <m/>
    <m/>
    <m/>
    <m/>
    <m/>
    <m/>
    <m/>
  </r>
  <r>
    <x v="9"/>
    <x v="2"/>
    <x v="5"/>
    <x v="11"/>
    <s v="AMW 03511 (review packing support customer )"/>
    <m/>
    <s v="Kamonchanok"/>
    <d v="2026-03-11T00:00:00"/>
    <x v="46"/>
    <d v="2026-03-11T00:00:00"/>
    <x v="0"/>
    <x v="0"/>
    <x v="0"/>
    <m/>
    <m/>
    <m/>
    <m/>
    <m/>
    <m/>
    <m/>
    <m/>
    <m/>
    <m/>
    <m/>
    <m/>
    <m/>
    <m/>
    <m/>
    <m/>
    <m/>
    <m/>
    <m/>
    <m/>
    <m/>
    <m/>
    <m/>
    <m/>
    <m/>
    <m/>
    <m/>
    <m/>
  </r>
  <r>
    <x v="9"/>
    <x v="2"/>
    <x v="5"/>
    <x v="11"/>
    <s v="Test sample packing Traco TIB 80 120 240 480"/>
    <m/>
    <s v="Kamonchanok"/>
    <d v="2026-03-11T00:00:00"/>
    <x v="46"/>
    <d v="2026-03-11T00:00:00"/>
    <x v="0"/>
    <x v="0"/>
    <x v="0"/>
    <m/>
    <m/>
    <m/>
    <m/>
    <m/>
    <m/>
    <m/>
    <m/>
    <m/>
    <m/>
    <m/>
    <m/>
    <m/>
    <m/>
    <m/>
    <m/>
    <m/>
    <m/>
    <m/>
    <m/>
    <m/>
    <m/>
    <m/>
    <m/>
    <m/>
    <m/>
    <m/>
    <m/>
  </r>
  <r>
    <x v="10"/>
    <x v="2"/>
    <x v="0"/>
    <x v="0"/>
    <s v="Review Numworks PreSeries reworks process"/>
    <m/>
    <s v="Kumpon"/>
    <d v="2026-03-16T00:00:00"/>
    <x v="50"/>
    <d v="2026-03-16T00:00:00"/>
    <x v="0"/>
    <x v="0"/>
    <x v="0"/>
    <m/>
    <m/>
    <m/>
    <m/>
    <m/>
    <m/>
    <m/>
    <m/>
    <m/>
    <m/>
    <m/>
    <m/>
    <m/>
    <m/>
    <m/>
    <m/>
    <m/>
    <m/>
    <m/>
    <m/>
    <m/>
    <m/>
    <m/>
    <m/>
    <m/>
    <m/>
    <m/>
    <m/>
  </r>
  <r>
    <x v="10"/>
    <x v="2"/>
    <x v="0"/>
    <x v="0"/>
    <s v="Fine hot glue for attached Lightguide with PCBA "/>
    <s v="Enersys"/>
    <s v="Kumpon"/>
    <d v="2026-03-17T00:00:00"/>
    <x v="51"/>
    <d v="2026-03-17T00:00:00"/>
    <x v="0"/>
    <x v="0"/>
    <x v="0"/>
    <m/>
    <m/>
    <m/>
    <m/>
    <m/>
    <m/>
    <m/>
    <m/>
    <m/>
    <m/>
    <m/>
    <m/>
    <m/>
    <m/>
    <m/>
    <m/>
    <m/>
    <m/>
    <m/>
    <m/>
    <m/>
    <m/>
    <m/>
    <m/>
    <m/>
    <m/>
    <m/>
    <m/>
  </r>
  <r>
    <x v="10"/>
    <x v="2"/>
    <x v="3"/>
    <x v="5"/>
    <s v="DFM part Metal for BouchonCopletNanoSPY"/>
    <s v="JRI"/>
    <s v="Kumpon"/>
    <d v="2026-03-18T00:00:00"/>
    <x v="52"/>
    <d v="2026-03-20T00:00:00"/>
    <x v="0"/>
    <x v="0"/>
    <x v="0"/>
    <m/>
    <m/>
    <m/>
    <m/>
    <m/>
    <m/>
    <m/>
    <m/>
    <m/>
    <m/>
    <m/>
    <m/>
    <m/>
    <m/>
    <m/>
    <m/>
    <m/>
    <m/>
    <m/>
    <m/>
    <m/>
    <m/>
    <m/>
    <m/>
    <m/>
    <m/>
    <m/>
    <m/>
  </r>
  <r>
    <x v="10"/>
    <x v="2"/>
    <x v="0"/>
    <x v="0"/>
    <s v="Drawing new factory layout"/>
    <s v="Fairland"/>
    <s v="Kumpon"/>
    <d v="2026-03-19T00:00:00"/>
    <x v="52"/>
    <d v="2026-03-20T00:00:00"/>
    <x v="0"/>
    <x v="0"/>
    <x v="0"/>
    <m/>
    <m/>
    <m/>
    <m/>
    <m/>
    <m/>
    <m/>
    <m/>
    <m/>
    <m/>
    <m/>
    <m/>
    <m/>
    <m/>
    <m/>
    <m/>
    <m/>
    <m/>
    <m/>
    <m/>
    <m/>
    <m/>
    <m/>
    <m/>
    <m/>
    <m/>
    <m/>
    <m/>
  </r>
  <r>
    <x v="11"/>
    <x v="2"/>
    <x v="4"/>
    <x v="8"/>
    <s v="Training SolidWorks Simulation"/>
    <m/>
    <s v="Kumpon"/>
    <d v="2026-03-23T00:00:00"/>
    <x v="53"/>
    <d v="2026-03-25T00:00:00"/>
    <x v="0"/>
    <x v="0"/>
    <x v="0"/>
    <m/>
    <m/>
    <m/>
    <m/>
    <m/>
    <m/>
    <m/>
    <m/>
    <m/>
    <m/>
    <m/>
    <m/>
    <m/>
    <m/>
    <m/>
    <m/>
    <m/>
    <m/>
    <m/>
    <m/>
    <m/>
    <m/>
    <m/>
    <m/>
    <m/>
    <m/>
    <m/>
    <m/>
  </r>
  <r>
    <x v="10"/>
    <x v="2"/>
    <x v="0"/>
    <x v="0"/>
    <s v="Discuss with tesa for new material of battery adhesive"/>
    <s v="Numworks"/>
    <s v="Thiti"/>
    <d v="2026-03-16T00:00:00"/>
    <x v="50"/>
    <d v="2026-03-16T00:00:00"/>
    <x v="0"/>
    <x v="0"/>
    <x v="0"/>
    <m/>
    <m/>
    <m/>
    <m/>
    <m/>
    <m/>
    <m/>
    <m/>
    <m/>
    <m/>
    <m/>
    <m/>
    <m/>
    <m/>
    <m/>
    <m/>
    <m/>
    <m/>
    <m/>
    <m/>
    <m/>
    <m/>
    <m/>
    <m/>
    <m/>
    <m/>
    <m/>
    <m/>
  </r>
  <r>
    <x v="12"/>
    <x v="3"/>
    <x v="4"/>
    <x v="8"/>
    <s v="Training SolidWorks Simulation"/>
    <m/>
    <s v="Thiti"/>
    <d v="2026-04-20T00:00:00"/>
    <x v="54"/>
    <d v="2026-04-22T00:00:00"/>
    <x v="0"/>
    <x v="0"/>
    <x v="0"/>
    <m/>
    <m/>
    <m/>
    <m/>
    <m/>
    <m/>
    <m/>
    <m/>
    <m/>
    <m/>
    <m/>
    <m/>
    <m/>
    <m/>
    <m/>
    <m/>
    <m/>
    <m/>
    <m/>
    <m/>
    <m/>
    <m/>
    <m/>
    <m/>
    <m/>
    <m/>
    <m/>
    <m/>
  </r>
  <r>
    <x v="10"/>
    <x v="2"/>
    <x v="0"/>
    <x v="0"/>
    <s v="Review Numworks PreSeries reworks process"/>
    <s v="Numworks"/>
    <s v="Thiti"/>
    <d v="2026-03-16T00:00:00"/>
    <x v="50"/>
    <d v="2026-03-16T00:00:00"/>
    <x v="0"/>
    <x v="0"/>
    <x v="0"/>
    <m/>
    <m/>
    <m/>
    <m/>
    <m/>
    <m/>
    <m/>
    <m/>
    <m/>
    <m/>
    <m/>
    <m/>
    <m/>
    <m/>
    <m/>
    <m/>
    <m/>
    <m/>
    <m/>
    <m/>
    <m/>
    <m/>
    <m/>
    <m/>
    <m/>
    <m/>
    <m/>
    <m/>
  </r>
  <r>
    <x v="10"/>
    <x v="2"/>
    <x v="0"/>
    <x v="0"/>
    <s v="Assembly confirm light guide with PCBA by double side tape"/>
    <s v="Enersys"/>
    <s v="Thiti"/>
    <d v="2026-03-16T00:00:00"/>
    <x v="50"/>
    <d v="2026-03-16T00:00:00"/>
    <x v="0"/>
    <x v="0"/>
    <x v="0"/>
    <m/>
    <m/>
    <m/>
    <m/>
    <m/>
    <m/>
    <m/>
    <m/>
    <m/>
    <m/>
    <m/>
    <m/>
    <m/>
    <m/>
    <m/>
    <m/>
    <m/>
    <m/>
    <m/>
    <m/>
    <m/>
    <m/>
    <m/>
    <m/>
    <m/>
    <m/>
    <m/>
    <m/>
  </r>
  <r>
    <x v="10"/>
    <x v="2"/>
    <x v="3"/>
    <x v="5"/>
    <s v="DFM part plastic for BouchonCopletNanoSPY"/>
    <s v="JRI"/>
    <s v="Thiti"/>
    <d v="2026-03-17T00:00:00"/>
    <x v="52"/>
    <d v="2026-03-20T00:00:00"/>
    <x v="0"/>
    <x v="0"/>
    <x v="0"/>
    <m/>
    <m/>
    <m/>
    <m/>
    <m/>
    <m/>
    <m/>
    <m/>
    <m/>
    <m/>
    <m/>
    <m/>
    <m/>
    <m/>
    <m/>
    <m/>
    <m/>
    <m/>
    <m/>
    <m/>
    <m/>
    <m/>
    <m/>
    <m/>
    <m/>
    <m/>
    <m/>
    <m/>
  </r>
  <r>
    <x v="10"/>
    <x v="2"/>
    <x v="3"/>
    <x v="6"/>
    <s v="Discuss pre-mold DFM with HARVARD"/>
    <s v="JRI"/>
    <s v="Thiti"/>
    <d v="2026-03-18T00:00:00"/>
    <x v="49"/>
    <d v="2026-03-18T00:00:00"/>
    <x v="0"/>
    <x v="0"/>
    <x v="0"/>
    <m/>
    <m/>
    <m/>
    <m/>
    <m/>
    <m/>
    <m/>
    <m/>
    <m/>
    <m/>
    <m/>
    <m/>
    <m/>
    <m/>
    <m/>
    <m/>
    <m/>
    <m/>
    <m/>
    <m/>
    <m/>
    <m/>
    <m/>
    <m/>
    <m/>
    <m/>
    <m/>
    <m/>
  </r>
  <r>
    <x v="10"/>
    <x v="2"/>
    <x v="0"/>
    <x v="0"/>
    <s v="Measure NW-defect about step between SC protection and TopCover"/>
    <s v="Numworks"/>
    <s v="Thiti"/>
    <d v="2026-03-18T00:00:00"/>
    <x v="49"/>
    <d v="2026-03-18T00:00:00"/>
    <x v="0"/>
    <x v="0"/>
    <x v="0"/>
    <m/>
    <m/>
    <m/>
    <m/>
    <m/>
    <m/>
    <m/>
    <m/>
    <m/>
    <m/>
    <m/>
    <m/>
    <m/>
    <m/>
    <m/>
    <m/>
    <m/>
    <m/>
    <m/>
    <m/>
    <m/>
    <m/>
    <m/>
    <m/>
    <m/>
    <m/>
    <m/>
    <m/>
  </r>
  <r>
    <x v="10"/>
    <x v="2"/>
    <x v="0"/>
    <x v="0"/>
    <s v="Review new Foam Screen jig concep"/>
    <s v="Numworks"/>
    <s v="Thiti"/>
    <d v="2026-03-18T00:00:00"/>
    <x v="49"/>
    <d v="2026-03-18T00:00:00"/>
    <x v="0"/>
    <x v="0"/>
    <x v="0"/>
    <m/>
    <m/>
    <m/>
    <m/>
    <m/>
    <m/>
    <m/>
    <m/>
    <m/>
    <m/>
    <m/>
    <m/>
    <m/>
    <m/>
    <m/>
    <m/>
    <m/>
    <m/>
    <m/>
    <m/>
    <m/>
    <m/>
    <m/>
    <m/>
    <m/>
    <m/>
    <m/>
    <m/>
  </r>
  <r>
    <x v="10"/>
    <x v="2"/>
    <x v="0"/>
    <x v="0"/>
    <s v="Foam Screen Jig Discussion"/>
    <s v="Numworks"/>
    <s v="Thiti"/>
    <d v="2026-03-19T00:00:00"/>
    <x v="55"/>
    <d v="2026-03-19T00:00:00"/>
    <x v="0"/>
    <x v="0"/>
    <x v="0"/>
    <m/>
    <m/>
    <m/>
    <m/>
    <m/>
    <m/>
    <m/>
    <m/>
    <m/>
    <m/>
    <m/>
    <m/>
    <m/>
    <m/>
    <m/>
    <m/>
    <m/>
    <m/>
    <m/>
    <m/>
    <m/>
    <m/>
    <m/>
    <m/>
    <m/>
    <m/>
    <m/>
    <m/>
  </r>
  <r>
    <x v="10"/>
    <x v="2"/>
    <x v="1"/>
    <x v="2"/>
    <s v="Numworks weekly progress"/>
    <s v="Numworks"/>
    <s v="Thiti"/>
    <d v="2026-03-19T00:00:00"/>
    <x v="55"/>
    <d v="2026-03-19T00:00:00"/>
    <x v="0"/>
    <x v="0"/>
    <x v="0"/>
    <m/>
    <m/>
    <m/>
    <m/>
    <m/>
    <m/>
    <m/>
    <m/>
    <m/>
    <m/>
    <m/>
    <m/>
    <m/>
    <m/>
    <m/>
    <m/>
    <m/>
    <m/>
    <m/>
    <m/>
    <m/>
    <m/>
    <m/>
    <m/>
    <m/>
    <m/>
    <m/>
    <m/>
  </r>
  <r>
    <x v="10"/>
    <x v="2"/>
    <x v="0"/>
    <x v="0"/>
    <s v="Review measurement method with Quality team and adjust measurement program_x000a_due to method is not proper"/>
    <s v="Numworks"/>
    <s v="Thiti"/>
    <d v="2026-03-19T00:00:00"/>
    <x v="55"/>
    <d v="2026-03-19T00:00:00"/>
    <x v="0"/>
    <x v="0"/>
    <x v="0"/>
    <m/>
    <m/>
    <m/>
    <m/>
    <m/>
    <m/>
    <m/>
    <m/>
    <m/>
    <m/>
    <m/>
    <m/>
    <m/>
    <m/>
    <m/>
    <m/>
    <m/>
    <m/>
    <m/>
    <m/>
    <m/>
    <m/>
    <m/>
    <m/>
    <m/>
    <m/>
    <m/>
    <m/>
  </r>
  <r>
    <x v="10"/>
    <x v="2"/>
    <x v="0"/>
    <x v="0"/>
    <s v="Discuss with supplier anti slip pad about appearance comment"/>
    <s v="Numworks"/>
    <s v="Thiti"/>
    <d v="2026-03-20T00:00:00"/>
    <x v="52"/>
    <d v="2026-03-20T00:00:00"/>
    <x v="0"/>
    <x v="0"/>
    <x v="0"/>
    <m/>
    <m/>
    <m/>
    <m/>
    <m/>
    <m/>
    <m/>
    <m/>
    <m/>
    <m/>
    <m/>
    <m/>
    <m/>
    <m/>
    <m/>
    <m/>
    <m/>
    <m/>
    <m/>
    <m/>
    <m/>
    <m/>
    <m/>
    <m/>
    <m/>
    <m/>
    <m/>
    <m/>
  </r>
  <r>
    <x v="10"/>
    <x v="2"/>
    <x v="0"/>
    <x v="0"/>
    <s v="Support NW-Shrink warp for drop test 60 pcs"/>
    <s v="Numworks"/>
    <s v="Thiti"/>
    <d v="2026-03-20T00:00:00"/>
    <x v="52"/>
    <d v="2026-03-20T00:00:00"/>
    <x v="0"/>
    <x v="0"/>
    <x v="0"/>
    <m/>
    <m/>
    <m/>
    <m/>
    <m/>
    <m/>
    <m/>
    <m/>
    <m/>
    <m/>
    <m/>
    <m/>
    <m/>
    <m/>
    <m/>
    <m/>
    <m/>
    <m/>
    <m/>
    <m/>
    <m/>
    <m/>
    <m/>
    <m/>
    <m/>
    <m/>
    <m/>
    <m/>
  </r>
  <r>
    <x v="10"/>
    <x v="2"/>
    <x v="0"/>
    <x v="0"/>
    <s v="Technical Meeting with Foamtec about NW-Slip pad how to imrprove"/>
    <s v="Numworks"/>
    <s v="Thiti"/>
    <d v="2026-03-20T00:00:00"/>
    <x v="52"/>
    <d v="2026-03-20T00:00:00"/>
    <x v="0"/>
    <x v="0"/>
    <x v="0"/>
    <m/>
    <m/>
    <m/>
    <m/>
    <m/>
    <m/>
    <m/>
    <m/>
    <m/>
    <m/>
    <m/>
    <m/>
    <m/>
    <m/>
    <m/>
    <m/>
    <m/>
    <m/>
    <m/>
    <m/>
    <m/>
    <m/>
    <m/>
    <m/>
    <m/>
    <m/>
    <m/>
    <m/>
  </r>
  <r>
    <x v="10"/>
    <x v="2"/>
    <x v="0"/>
    <x v="0"/>
    <s v="Support assembly NW with Top Cover after improved"/>
    <s v="Numworks"/>
    <s v="Thiti"/>
    <d v="2026-03-20T00:00:00"/>
    <x v="52"/>
    <d v="2026-03-20T00:00:00"/>
    <x v="0"/>
    <x v="0"/>
    <x v="0"/>
    <m/>
    <m/>
    <m/>
    <m/>
    <m/>
    <m/>
    <m/>
    <m/>
    <m/>
    <m/>
    <m/>
    <m/>
    <m/>
    <m/>
    <m/>
    <m/>
    <m/>
    <m/>
    <m/>
    <m/>
    <m/>
    <m/>
    <m/>
    <m/>
    <m/>
    <m/>
    <m/>
    <m/>
  </r>
  <r>
    <x v="10"/>
    <x v="2"/>
    <x v="0"/>
    <x v="0"/>
    <s v="Review Numworks PreSeries reworks process"/>
    <s v="Numworks"/>
    <s v="Bunnarak"/>
    <d v="2026-03-16T00:00:00"/>
    <x v="50"/>
    <d v="2026-03-16T00:00:00"/>
    <x v="0"/>
    <x v="0"/>
    <x v="0"/>
    <m/>
    <m/>
    <m/>
    <m/>
    <m/>
    <m/>
    <m/>
    <m/>
    <m/>
    <m/>
    <m/>
    <m/>
    <m/>
    <m/>
    <m/>
    <m/>
    <m/>
    <m/>
    <m/>
    <m/>
    <m/>
    <m/>
    <m/>
    <m/>
    <m/>
    <m/>
    <m/>
    <m/>
  </r>
  <r>
    <x v="10"/>
    <x v="2"/>
    <x v="0"/>
    <x v="0"/>
    <s v="Support SRC review technical term of overmold quotation"/>
    <s v="JRI"/>
    <s v="Bunnarak"/>
    <d v="2026-03-16T00:00:00"/>
    <x v="50"/>
    <d v="2026-03-16T00:00:00"/>
    <x v="0"/>
    <x v="0"/>
    <x v="0"/>
    <m/>
    <m/>
    <m/>
    <m/>
    <m/>
    <m/>
    <m/>
    <m/>
    <m/>
    <m/>
    <m/>
    <m/>
    <m/>
    <m/>
    <m/>
    <m/>
    <m/>
    <m/>
    <m/>
    <m/>
    <m/>
    <m/>
    <m/>
    <m/>
    <m/>
    <m/>
    <m/>
    <m/>
  </r>
  <r>
    <x v="10"/>
    <x v="2"/>
    <x v="7"/>
    <x v="24"/>
    <s v="DFA for BouchonCopletNanoSPY"/>
    <s v="JRI"/>
    <s v="Bunnarak"/>
    <d v="2026-03-17T00:00:00"/>
    <x v="52"/>
    <d v="2026-03-20T00:00:00"/>
    <x v="0"/>
    <x v="0"/>
    <x v="0"/>
    <m/>
    <m/>
    <m/>
    <m/>
    <m/>
    <m/>
    <m/>
    <m/>
    <m/>
    <m/>
    <m/>
    <m/>
    <m/>
    <m/>
    <m/>
    <m/>
    <m/>
    <m/>
    <m/>
    <m/>
    <m/>
    <m/>
    <m/>
    <m/>
    <m/>
    <m/>
    <m/>
    <m/>
  </r>
  <r>
    <x v="10"/>
    <x v="2"/>
    <x v="3"/>
    <x v="6"/>
    <s v="Discuss pre-mold DFM with HARVARD"/>
    <s v="JRI"/>
    <s v="Bunnarak"/>
    <d v="2026-03-18T00:00:00"/>
    <x v="49"/>
    <d v="2026-03-18T00:00:00"/>
    <x v="0"/>
    <x v="0"/>
    <x v="0"/>
    <m/>
    <m/>
    <m/>
    <m/>
    <m/>
    <m/>
    <m/>
    <m/>
    <m/>
    <m/>
    <m/>
    <m/>
    <m/>
    <m/>
    <m/>
    <m/>
    <m/>
    <m/>
    <m/>
    <m/>
    <m/>
    <m/>
    <m/>
    <m/>
    <m/>
    <m/>
    <m/>
    <m/>
  </r>
  <r>
    <x v="10"/>
    <x v="2"/>
    <x v="0"/>
    <x v="0"/>
    <s v="Request PRG confirm about soft mold made for BonChon"/>
    <s v="JRI"/>
    <s v="Bunnarak"/>
    <d v="2026-03-18T00:00:00"/>
    <x v="55"/>
    <d v="2026-03-18T00:00:00"/>
    <x v="0"/>
    <x v="0"/>
    <x v="0"/>
    <m/>
    <m/>
    <m/>
    <m/>
    <m/>
    <m/>
    <m/>
    <m/>
    <m/>
    <m/>
    <m/>
    <m/>
    <m/>
    <m/>
    <m/>
    <m/>
    <m/>
    <m/>
    <m/>
    <m/>
    <m/>
    <m/>
    <m/>
    <m/>
    <m/>
    <m/>
    <m/>
    <m/>
  </r>
  <r>
    <x v="10"/>
    <x v="2"/>
    <x v="1"/>
    <x v="2"/>
    <s v="Numworks weekly progress"/>
    <s v="Numworks"/>
    <s v="Bunnarak"/>
    <d v="2026-03-19T00:00:00"/>
    <x v="55"/>
    <d v="2026-03-19T00:00:00"/>
    <x v="0"/>
    <x v="0"/>
    <x v="0"/>
    <m/>
    <m/>
    <m/>
    <m/>
    <m/>
    <m/>
    <m/>
    <m/>
    <m/>
    <m/>
    <m/>
    <m/>
    <m/>
    <m/>
    <m/>
    <m/>
    <m/>
    <m/>
    <m/>
    <m/>
    <m/>
    <m/>
    <m/>
    <m/>
    <m/>
    <m/>
    <m/>
    <m/>
  </r>
  <r>
    <x v="10"/>
    <x v="2"/>
    <x v="6"/>
    <x v="12"/>
    <s v="AMW-QUO931(PCBA)  RFQ packing "/>
    <s v="Satys Electronic"/>
    <s v="Kamonchanok"/>
    <d v="2026-03-16T00:00:00"/>
    <x v="50"/>
    <d v="2026-03-16T00:00:00"/>
    <x v="0"/>
    <x v="0"/>
    <x v="0"/>
    <m/>
    <m/>
    <m/>
    <m/>
    <m/>
    <m/>
    <m/>
    <m/>
    <m/>
    <m/>
    <m/>
    <m/>
    <m/>
    <m/>
    <m/>
    <m/>
    <m/>
    <m/>
    <m/>
    <m/>
    <m/>
    <m/>
    <m/>
    <m/>
    <m/>
    <m/>
    <m/>
    <m/>
  </r>
  <r>
    <x v="10"/>
    <x v="2"/>
    <x v="0"/>
    <x v="0"/>
    <s v="AMW 03457 Technical support for drop test "/>
    <s v="Numworks"/>
    <s v="Kamonchanok"/>
    <d v="2026-03-16T00:00:00"/>
    <x v="49"/>
    <d v="2026-03-17T00:00:00"/>
    <x v="0"/>
    <x v="0"/>
    <x v="0"/>
    <m/>
    <m/>
    <m/>
    <m/>
    <m/>
    <m/>
    <m/>
    <m/>
    <m/>
    <m/>
    <m/>
    <m/>
    <m/>
    <m/>
    <m/>
    <m/>
    <m/>
    <m/>
    <m/>
    <m/>
    <m/>
    <m/>
    <m/>
    <m/>
    <m/>
    <m/>
    <m/>
    <m/>
  </r>
  <r>
    <x v="10"/>
    <x v="2"/>
    <x v="5"/>
    <x v="9"/>
    <s v="New Fonroche projects - Packing concepts"/>
    <s v="FONROCHE"/>
    <s v="Kamonchanok"/>
    <d v="2026-03-17T00:00:00"/>
    <x v="49"/>
    <d v="2026-03-17T00:00:00"/>
    <x v="0"/>
    <x v="0"/>
    <x v="0"/>
    <m/>
    <m/>
    <m/>
    <m/>
    <m/>
    <m/>
    <m/>
    <m/>
    <m/>
    <m/>
    <m/>
    <m/>
    <m/>
    <m/>
    <m/>
    <m/>
    <m/>
    <m/>
    <m/>
    <m/>
    <m/>
    <m/>
    <m/>
    <m/>
    <m/>
    <m/>
    <m/>
    <m/>
  </r>
  <r>
    <x v="10"/>
    <x v="2"/>
    <x v="5"/>
    <x v="9"/>
    <s v="New Fonroche projects - Packing concepts AMW 03520 and AMW 03521"/>
    <s v="FONROCHE"/>
    <s v="Kamonchanok"/>
    <d v="2026-03-17T00:00:00"/>
    <x v="49"/>
    <d v="2026-03-17T00:00:00"/>
    <x v="0"/>
    <x v="0"/>
    <x v="0"/>
    <m/>
    <m/>
    <m/>
    <m/>
    <m/>
    <m/>
    <m/>
    <m/>
    <m/>
    <m/>
    <m/>
    <m/>
    <m/>
    <m/>
    <m/>
    <m/>
    <m/>
    <m/>
    <m/>
    <m/>
    <m/>
    <m/>
    <m/>
    <m/>
    <m/>
    <m/>
    <m/>
    <m/>
  </r>
  <r>
    <x v="10"/>
    <x v="2"/>
    <x v="6"/>
    <x v="12"/>
    <s v="AMW-QUO932(M-Part) RFQ packing"/>
    <s v="Radio Energig"/>
    <s v="Kamonchanok"/>
    <d v="2026-03-18T00:00:00"/>
    <x v="55"/>
    <d v="2026-03-17T00:00:00"/>
    <x v="0"/>
    <x v="0"/>
    <x v="0"/>
    <m/>
    <m/>
    <m/>
    <m/>
    <m/>
    <m/>
    <m/>
    <m/>
    <m/>
    <m/>
    <m/>
    <m/>
    <m/>
    <m/>
    <m/>
    <m/>
    <m/>
    <m/>
    <m/>
    <m/>
    <m/>
    <m/>
    <m/>
    <m/>
    <m/>
    <m/>
    <m/>
    <m/>
  </r>
  <r>
    <x v="10"/>
    <x v="2"/>
    <x v="5"/>
    <x v="11"/>
    <s v="Support packing Numworks for drop test, 60 box"/>
    <s v="Numworks"/>
    <s v="Kamonchanok"/>
    <d v="2026-03-19T00:00:00"/>
    <x v="52"/>
    <d v="2026-03-20T00:00:00"/>
    <x v="0"/>
    <x v="0"/>
    <x v="0"/>
    <m/>
    <m/>
    <m/>
    <m/>
    <m/>
    <m/>
    <m/>
    <m/>
    <m/>
    <m/>
    <m/>
    <m/>
    <m/>
    <m/>
    <m/>
    <m/>
    <m/>
    <m/>
    <m/>
    <m/>
    <m/>
    <m/>
    <m/>
    <m/>
    <m/>
    <m/>
    <m/>
    <m/>
  </r>
  <r>
    <x v="11"/>
    <x v="2"/>
    <x v="6"/>
    <x v="12"/>
    <s v="AMW-QUO933_x000b_(BoxBuild) RFQ packing"/>
    <s v="Butronik"/>
    <s v="Kamonchanok"/>
    <d v="2026-03-23T00:00:00"/>
    <x v="56"/>
    <d v="2026-03-23T00:00:00"/>
    <x v="0"/>
    <x v="0"/>
    <x v="0"/>
    <m/>
    <m/>
    <m/>
    <m/>
    <m/>
    <m/>
    <m/>
    <m/>
    <m/>
    <m/>
    <m/>
    <m/>
    <m/>
    <m/>
    <m/>
    <m/>
    <m/>
    <m/>
    <m/>
    <m/>
    <m/>
    <m/>
    <m/>
    <m/>
    <m/>
    <m/>
    <m/>
    <m/>
  </r>
  <r>
    <x v="13"/>
    <x v="2"/>
    <x v="6"/>
    <x v="12"/>
    <s v="AMW-QUO934(PCBA) RFQ packing_x000a_"/>
    <s v="Synus power"/>
    <s v="Kamonchanok"/>
    <d v="2026-03-30T00:00:00"/>
    <x v="57"/>
    <d v="2026-03-23T00:00:00"/>
    <x v="0"/>
    <x v="0"/>
    <x v="0"/>
    <m/>
    <m/>
    <m/>
    <m/>
    <m/>
    <m/>
    <m/>
    <m/>
    <m/>
    <m/>
    <m/>
    <m/>
    <m/>
    <m/>
    <m/>
    <m/>
    <m/>
    <m/>
    <m/>
    <m/>
    <m/>
    <m/>
    <m/>
    <m/>
    <m/>
    <m/>
    <m/>
    <m/>
  </r>
  <r>
    <x v="11"/>
    <x v="2"/>
    <x v="0"/>
    <x v="0"/>
    <s v="Follow up Numworks master carton difficult to close"/>
    <s v="Numworks"/>
    <s v="Kamonchanok"/>
    <d v="2026-03-23T00:00:00"/>
    <x v="56"/>
    <d v="2026-03-24T00:00:00"/>
    <x v="0"/>
    <x v="0"/>
    <x v="0"/>
    <m/>
    <m/>
    <m/>
    <m/>
    <m/>
    <m/>
    <m/>
    <m/>
    <m/>
    <m/>
    <m/>
    <m/>
    <m/>
    <m/>
    <m/>
    <m/>
    <m/>
    <m/>
    <m/>
    <m/>
    <m/>
    <m/>
    <m/>
    <m/>
    <m/>
    <m/>
    <m/>
    <m/>
  </r>
  <r>
    <x v="11"/>
    <x v="2"/>
    <x v="6"/>
    <x v="12"/>
    <s v="AMW-QUO935 RFQ packing"/>
    <s v="Fulham"/>
    <s v="Kamonchanok"/>
    <d v="2026-03-23T00:00:00"/>
    <x v="56"/>
    <d v="2026-03-24T00:00:00"/>
    <x v="0"/>
    <x v="0"/>
    <x v="0"/>
    <m/>
    <m/>
    <m/>
    <m/>
    <m/>
    <m/>
    <m/>
    <m/>
    <m/>
    <m/>
    <m/>
    <m/>
    <m/>
    <m/>
    <m/>
    <m/>
    <m/>
    <m/>
    <m/>
    <m/>
    <m/>
    <m/>
    <m/>
    <m/>
    <m/>
    <m/>
    <m/>
    <m/>
  </r>
  <r>
    <x v="11"/>
    <x v="2"/>
    <x v="5"/>
    <x v="9"/>
    <s v="AMW 03513,03512 SMT, update part packing in process_IES 50kw"/>
    <s v="IES"/>
    <s v="Kamonchanok"/>
    <d v="2026-03-23T00:00:00"/>
    <x v="56"/>
    <d v="2026-03-23T00:00:00"/>
    <x v="0"/>
    <x v="0"/>
    <x v="0"/>
    <m/>
    <m/>
    <m/>
    <m/>
    <m/>
    <m/>
    <m/>
    <m/>
    <m/>
    <m/>
    <m/>
    <m/>
    <m/>
    <m/>
    <m/>
    <m/>
    <m/>
    <m/>
    <m/>
    <m/>
    <m/>
    <m/>
    <m/>
    <m/>
    <m/>
    <m/>
    <m/>
    <m/>
  </r>
  <r>
    <x v="11"/>
    <x v="2"/>
    <x v="5"/>
    <x v="9"/>
    <s v="New Fonroche projects - Packing concepts, AMW 03519/03520/03521/03518/03579"/>
    <s v="FONROCHE"/>
    <s v="Kamonchanok"/>
    <d v="2026-03-24T00:00:00"/>
    <x v="53"/>
    <d v="2026-03-24T00:00:00"/>
    <x v="0"/>
    <x v="0"/>
    <x v="0"/>
    <m/>
    <m/>
    <m/>
    <m/>
    <m/>
    <m/>
    <m/>
    <m/>
    <m/>
    <m/>
    <m/>
    <m/>
    <m/>
    <m/>
    <m/>
    <m/>
    <m/>
    <m/>
    <m/>
    <m/>
    <m/>
    <m/>
    <m/>
    <m/>
    <m/>
    <m/>
    <m/>
    <m/>
  </r>
  <r>
    <x v="11"/>
    <x v="2"/>
    <x v="5"/>
    <x v="9"/>
    <s v="Request sample FOAM SUPPORT STAND USA"/>
    <s v="Enersys"/>
    <s v="Kamonchanok"/>
    <d v="2026-03-24T00:00:00"/>
    <x v="53"/>
    <d v="2026-03-25T00:00:00"/>
    <x v="0"/>
    <x v="0"/>
    <x v="0"/>
    <m/>
    <m/>
    <m/>
    <m/>
    <m/>
    <m/>
    <m/>
    <m/>
    <m/>
    <m/>
    <m/>
    <m/>
    <m/>
    <m/>
    <m/>
    <m/>
    <m/>
    <m/>
    <m/>
    <m/>
    <m/>
    <m/>
    <m/>
    <m/>
    <m/>
    <m/>
    <m/>
    <m/>
  </r>
  <r>
    <x v="11"/>
    <x v="2"/>
    <x v="5"/>
    <x v="9"/>
    <s v="New Fonroche projects - Packing concepts, AMW 03577"/>
    <s v="FONROCHE"/>
    <s v="Kamonchanok"/>
    <d v="2026-03-25T00:00:00"/>
    <x v="53"/>
    <d v="2026-03-25T00:00:00"/>
    <x v="0"/>
    <x v="0"/>
    <x v="0"/>
    <m/>
    <m/>
    <m/>
    <m/>
    <m/>
    <m/>
    <m/>
    <m/>
    <m/>
    <m/>
    <m/>
    <m/>
    <m/>
    <m/>
    <m/>
    <m/>
    <m/>
    <m/>
    <m/>
    <m/>
    <m/>
    <m/>
    <m/>
    <m/>
    <m/>
    <m/>
    <m/>
    <m/>
  </r>
  <r>
    <x v="11"/>
    <x v="2"/>
    <x v="5"/>
    <x v="9"/>
    <s v="Updated packing proposals of the Fonroche, with the sticker DO NOT STACK on pallet_x000a_AMW 03518/03519/03520/03521/03579/03577"/>
    <s v="FONROCHE"/>
    <s v="Kamonchanok"/>
    <d v="2026-03-24T00:00:00"/>
    <x v="53"/>
    <d v="2026-03-25T00:00:00"/>
    <x v="0"/>
    <x v="0"/>
    <x v="0"/>
    <m/>
    <m/>
    <m/>
    <m/>
    <m/>
    <m/>
    <m/>
    <m/>
    <m/>
    <m/>
    <m/>
    <m/>
    <m/>
    <m/>
    <m/>
    <m/>
    <m/>
    <m/>
    <m/>
    <m/>
    <m/>
    <m/>
    <m/>
    <m/>
    <m/>
    <m/>
    <m/>
    <m/>
  </r>
  <r>
    <x v="11"/>
    <x v="2"/>
    <x v="0"/>
    <x v="0"/>
    <s v="Join to support Quality about master carton drop test"/>
    <s v="Numworks"/>
    <s v="Kamonchanok"/>
    <d v="2026-03-27T00:00:00"/>
    <x v="58"/>
    <d v="2026-03-27T00:00:00"/>
    <x v="0"/>
    <x v="0"/>
    <x v="0"/>
    <m/>
    <m/>
    <m/>
    <m/>
    <m/>
    <m/>
    <m/>
    <m/>
    <m/>
    <m/>
    <m/>
    <m/>
    <m/>
    <m/>
    <m/>
    <m/>
    <m/>
    <m/>
    <m/>
    <m/>
    <m/>
    <m/>
    <m/>
    <m/>
    <m/>
    <m/>
    <m/>
    <m/>
  </r>
  <r>
    <x v="11"/>
    <x v="2"/>
    <x v="0"/>
    <x v="0"/>
    <s v="Pre DFM mold meeting for overmold project supplier PowerMold"/>
    <s v="JRI"/>
    <s v="Bunnarak"/>
    <d v="2026-03-23T00:00:00"/>
    <x v="59"/>
    <d v="2026-03-23T00:00:00"/>
    <x v="0"/>
    <x v="0"/>
    <x v="0"/>
    <m/>
    <m/>
    <m/>
    <m/>
    <m/>
    <m/>
    <m/>
    <m/>
    <m/>
    <m/>
    <m/>
    <m/>
    <m/>
    <m/>
    <m/>
    <m/>
    <m/>
    <m/>
    <m/>
    <m/>
    <m/>
    <m/>
    <m/>
    <m/>
    <m/>
    <m/>
    <m/>
    <m/>
  </r>
  <r>
    <x v="11"/>
    <x v="2"/>
    <x v="0"/>
    <x v="0"/>
    <s v="Follow up Numworks master carton difficult to close"/>
    <s v="Numworks"/>
    <s v="Bunnarak"/>
    <d v="2026-03-23T00:00:00"/>
    <x v="56"/>
    <d v="2026-03-23T00:00:00"/>
    <x v="0"/>
    <x v="0"/>
    <x v="0"/>
    <m/>
    <m/>
    <m/>
    <m/>
    <m/>
    <m/>
    <m/>
    <m/>
    <m/>
    <m/>
    <m/>
    <m/>
    <m/>
    <m/>
    <m/>
    <m/>
    <m/>
    <m/>
    <m/>
    <m/>
    <m/>
    <m/>
    <m/>
    <m/>
    <m/>
    <m/>
    <m/>
    <m/>
  </r>
  <r>
    <x v="11"/>
    <x v="2"/>
    <x v="0"/>
    <x v="0"/>
    <s v="Feedback about DFM mold engineering perspective"/>
    <s v="FONROCHE"/>
    <s v="Bunnarak"/>
    <d v="2026-03-24T00:00:00"/>
    <x v="53"/>
    <d v="2026-03-25T00:00:00"/>
    <x v="0"/>
    <x v="0"/>
    <x v="0"/>
    <m/>
    <m/>
    <m/>
    <m/>
    <m/>
    <m/>
    <m/>
    <m/>
    <m/>
    <m/>
    <m/>
    <m/>
    <m/>
    <m/>
    <m/>
    <m/>
    <m/>
    <m/>
    <m/>
    <m/>
    <m/>
    <m/>
    <m/>
    <m/>
    <m/>
    <m/>
    <m/>
    <m/>
  </r>
  <r>
    <x v="11"/>
    <x v="2"/>
    <x v="0"/>
    <x v="0"/>
    <s v="define the critical dimension for our assy of all raw material Numworks "/>
    <s v="Numworks"/>
    <s v="Bunnarak"/>
    <d v="2026-03-24T00:00:00"/>
    <x v="53"/>
    <d v="2026-03-25T00:00:00"/>
    <x v="0"/>
    <x v="0"/>
    <x v="0"/>
    <m/>
    <m/>
    <m/>
    <m/>
    <m/>
    <m/>
    <m/>
    <m/>
    <m/>
    <m/>
    <m/>
    <m/>
    <m/>
    <m/>
    <m/>
    <m/>
    <m/>
    <m/>
    <m/>
    <m/>
    <m/>
    <m/>
    <m/>
    <m/>
    <m/>
    <m/>
    <m/>
    <m/>
  </r>
  <r>
    <x v="11"/>
    <x v="2"/>
    <x v="0"/>
    <x v="0"/>
    <s v="Mold Maker for Over Molding JRI Green Digital Sensor the NPI technical assessment below"/>
    <s v="JRI"/>
    <s v="Bunnarak"/>
    <d v="2026-03-25T00:00:00"/>
    <x v="53"/>
    <d v="2026-03-25T00:00:00"/>
    <x v="0"/>
    <x v="0"/>
    <x v="0"/>
    <m/>
    <m/>
    <m/>
    <m/>
    <m/>
    <m/>
    <m/>
    <m/>
    <m/>
    <m/>
    <m/>
    <m/>
    <m/>
    <m/>
    <m/>
    <m/>
    <m/>
    <m/>
    <m/>
    <m/>
    <m/>
    <m/>
    <m/>
    <m/>
    <m/>
    <m/>
    <m/>
    <m/>
  </r>
  <r>
    <x v="11"/>
    <x v="2"/>
    <x v="0"/>
    <x v="0"/>
    <s v="Finding the root cause and preventive action about problem the Screen protection value over spec"/>
    <s v="Numworks"/>
    <s v="Bunnarak"/>
    <d v="2026-03-25T00:00:00"/>
    <x v="53"/>
    <d v="2026-03-25T00:00:00"/>
    <x v="0"/>
    <x v="0"/>
    <x v="0"/>
    <m/>
    <m/>
    <m/>
    <m/>
    <m/>
    <m/>
    <m/>
    <m/>
    <m/>
    <m/>
    <m/>
    <m/>
    <m/>
    <m/>
    <m/>
    <m/>
    <m/>
    <m/>
    <m/>
    <m/>
    <m/>
    <m/>
    <m/>
    <m/>
    <m/>
    <m/>
    <m/>
    <m/>
  </r>
  <r>
    <x v="11"/>
    <x v="2"/>
    <x v="0"/>
    <x v="0"/>
    <s v="Support with eng validate packbox with new foam support for new short stand cabinet viper"/>
    <s v="Enersys"/>
    <s v="Bunnarak"/>
    <d v="2026-03-27T00:00:00"/>
    <x v="58"/>
    <d v="2026-03-27T00:00:00"/>
    <x v="0"/>
    <x v="0"/>
    <x v="0"/>
    <m/>
    <m/>
    <m/>
    <m/>
    <m/>
    <m/>
    <m/>
    <m/>
    <m/>
    <m/>
    <m/>
    <m/>
    <m/>
    <m/>
    <m/>
    <m/>
    <m/>
    <m/>
    <m/>
    <m/>
    <m/>
    <m/>
    <m/>
    <m/>
    <m/>
    <m/>
    <m/>
    <m/>
  </r>
  <r>
    <x v="11"/>
    <x v="2"/>
    <x v="0"/>
    <x v="0"/>
    <s v="Follow up Numworks master carton difficult to close"/>
    <s v="Numworks"/>
    <s v="Thiti"/>
    <d v="2026-03-23T00:00:00"/>
    <x v="56"/>
    <d v="2026-03-24T00:00:00"/>
    <x v="0"/>
    <x v="0"/>
    <x v="0"/>
    <m/>
    <m/>
    <m/>
    <m/>
    <m/>
    <m/>
    <m/>
    <m/>
    <m/>
    <m/>
    <m/>
    <m/>
    <m/>
    <m/>
    <m/>
    <m/>
    <m/>
    <m/>
    <m/>
    <m/>
    <m/>
    <m/>
    <m/>
    <m/>
    <m/>
    <m/>
    <m/>
    <m/>
  </r>
  <r>
    <x v="11"/>
    <x v="2"/>
    <x v="1"/>
    <x v="2"/>
    <s v="JRI weekly progress"/>
    <s v="JRI"/>
    <s v="Thiti"/>
    <d v="2026-03-23T00:00:00"/>
    <x v="59"/>
    <d v="2026-03-23T00:00:00"/>
    <x v="0"/>
    <x v="0"/>
    <x v="0"/>
    <m/>
    <m/>
    <m/>
    <m/>
    <m/>
    <m/>
    <m/>
    <m/>
    <m/>
    <m/>
    <m/>
    <m/>
    <m/>
    <m/>
    <m/>
    <m/>
    <m/>
    <m/>
    <m/>
    <m/>
    <m/>
    <m/>
    <m/>
    <m/>
    <m/>
    <m/>
    <m/>
    <m/>
  </r>
  <r>
    <x v="11"/>
    <x v="2"/>
    <x v="0"/>
    <x v="0"/>
    <s v="Pre DFM mold meeting for overmold project supplier PowerMold"/>
    <s v="JRI"/>
    <s v="Thiti"/>
    <d v="2026-03-23T00:00:00"/>
    <x v="59"/>
    <d v="2026-03-23T00:00:00"/>
    <x v="0"/>
    <x v="0"/>
    <x v="0"/>
    <m/>
    <m/>
    <m/>
    <m/>
    <m/>
    <m/>
    <m/>
    <m/>
    <m/>
    <m/>
    <m/>
    <m/>
    <m/>
    <m/>
    <m/>
    <m/>
    <m/>
    <m/>
    <m/>
    <m/>
    <m/>
    <m/>
    <m/>
    <m/>
    <m/>
    <m/>
    <m/>
    <m/>
  </r>
  <r>
    <x v="11"/>
    <x v="2"/>
    <x v="0"/>
    <x v="0"/>
    <s v="Follow up anti slip pad after improve appearance surface"/>
    <s v="Numworks"/>
    <s v="Thiti"/>
    <d v="2026-03-25T00:00:00"/>
    <x v="53"/>
    <d v="2026-03-25T00:00:00"/>
    <x v="0"/>
    <x v="0"/>
    <x v="0"/>
    <m/>
    <m/>
    <m/>
    <m/>
    <m/>
    <m/>
    <m/>
    <m/>
    <m/>
    <m/>
    <m/>
    <m/>
    <m/>
    <m/>
    <m/>
    <m/>
    <m/>
    <m/>
    <m/>
    <m/>
    <m/>
    <m/>
    <m/>
    <m/>
    <m/>
    <m/>
    <m/>
    <m/>
  </r>
  <r>
    <x v="11"/>
    <x v="2"/>
    <x v="0"/>
    <x v="0"/>
    <s v="Finding the root cause and preventive action about problem the Screen protection value over spec"/>
    <s v="Numworks"/>
    <s v="Thiti"/>
    <d v="2026-03-25T00:00:00"/>
    <x v="53"/>
    <d v="2026-03-25T00:00:00"/>
    <x v="0"/>
    <x v="0"/>
    <x v="0"/>
    <m/>
    <m/>
    <m/>
    <m/>
    <m/>
    <m/>
    <m/>
    <m/>
    <m/>
    <m/>
    <m/>
    <m/>
    <m/>
    <m/>
    <m/>
    <m/>
    <m/>
    <m/>
    <m/>
    <m/>
    <m/>
    <m/>
    <m/>
    <m/>
    <m/>
    <m/>
    <m/>
    <m/>
  </r>
  <r>
    <x v="11"/>
    <x v="2"/>
    <x v="1"/>
    <x v="2"/>
    <s v="Numworks weekly progress"/>
    <s v="Numworks"/>
    <s v="Thiti"/>
    <d v="2026-03-26T00:00:00"/>
    <x v="60"/>
    <d v="2026-03-26T00:00:00"/>
    <x v="0"/>
    <x v="0"/>
    <x v="0"/>
    <m/>
    <m/>
    <m/>
    <m/>
    <m/>
    <m/>
    <m/>
    <m/>
    <m/>
    <m/>
    <m/>
    <m/>
    <m/>
    <m/>
    <m/>
    <m/>
    <m/>
    <m/>
    <m/>
    <m/>
    <m/>
    <m/>
    <m/>
    <m/>
    <m/>
    <m/>
    <m/>
    <m/>
  </r>
  <r>
    <x v="11"/>
    <x v="2"/>
    <x v="0"/>
    <x v="0"/>
    <s v=" Foam Screen Jig Trial assembly "/>
    <s v="Numworks"/>
    <s v="Thiti"/>
    <d v="2026-03-27T00:00:00"/>
    <x v="58"/>
    <d v="2026-03-27T00:00:00"/>
    <x v="0"/>
    <x v="0"/>
    <x v="0"/>
    <m/>
    <m/>
    <m/>
    <m/>
    <m/>
    <m/>
    <m/>
    <m/>
    <m/>
    <m/>
    <m/>
    <m/>
    <m/>
    <m/>
    <m/>
    <m/>
    <m/>
    <m/>
    <m/>
    <m/>
    <m/>
    <m/>
    <m/>
    <m/>
    <m/>
    <m/>
    <m/>
    <m/>
  </r>
  <r>
    <x v="11"/>
    <x v="2"/>
    <x v="0"/>
    <x v="0"/>
    <s v="Join to support Quality about master carton drop test"/>
    <s v="Numworks"/>
    <s v="Thiti"/>
    <d v="2026-03-27T00:00:00"/>
    <x v="58"/>
    <d v="2026-03-27T00:00:00"/>
    <x v="0"/>
    <x v="0"/>
    <x v="0"/>
    <m/>
    <m/>
    <m/>
    <m/>
    <m/>
    <m/>
    <m/>
    <m/>
    <m/>
    <m/>
    <m/>
    <m/>
    <m/>
    <m/>
    <m/>
    <m/>
    <m/>
    <m/>
    <m/>
    <m/>
    <m/>
    <m/>
    <m/>
    <m/>
    <m/>
    <m/>
    <m/>
    <m/>
  </r>
  <r>
    <x v="13"/>
    <x v="2"/>
    <x v="1"/>
    <x v="2"/>
    <s v="Packaging job transfer"/>
    <m/>
    <s v="Kamonchanok"/>
    <d v="2026-03-30T00:00:00"/>
    <x v="61"/>
    <d v="2026-03-30T00:00:00"/>
    <x v="0"/>
    <x v="0"/>
    <x v="0"/>
    <m/>
    <m/>
    <m/>
    <m/>
    <m/>
    <m/>
    <m/>
    <m/>
    <m/>
    <m/>
    <m/>
    <m/>
    <m/>
    <m/>
    <m/>
    <m/>
    <m/>
    <m/>
    <m/>
    <m/>
    <m/>
    <m/>
    <m/>
    <m/>
    <m/>
    <m/>
    <m/>
    <m/>
  </r>
  <r>
    <x v="13"/>
    <x v="2"/>
    <x v="6"/>
    <x v="12"/>
    <s v="AMW QUO820 rev03 RFQ packing"/>
    <m/>
    <s v="Kamonchanok"/>
    <d v="2026-03-31T00:00:00"/>
    <x v="62"/>
    <d v="2026-03-31T00:00:00"/>
    <x v="0"/>
    <x v="0"/>
    <x v="0"/>
    <m/>
    <m/>
    <m/>
    <m/>
    <m/>
    <m/>
    <m/>
    <m/>
    <m/>
    <m/>
    <m/>
    <m/>
    <m/>
    <m/>
    <m/>
    <m/>
    <m/>
    <m/>
    <m/>
    <m/>
    <m/>
    <m/>
    <m/>
    <m/>
    <m/>
    <m/>
    <m/>
    <m/>
  </r>
  <r>
    <x v="13"/>
    <x v="2"/>
    <x v="5"/>
    <x v="9"/>
    <s v="AMW 03457 provide usage for pallet 100*120"/>
    <m/>
    <s v="Kamonchanok"/>
    <d v="2026-03-30T00:00:00"/>
    <x v="57"/>
    <d v="2026-03-30T00:00:00"/>
    <x v="0"/>
    <x v="0"/>
    <x v="0"/>
    <m/>
    <m/>
    <m/>
    <m/>
    <m/>
    <m/>
    <m/>
    <m/>
    <m/>
    <m/>
    <m/>
    <m/>
    <m/>
    <m/>
    <m/>
    <m/>
    <m/>
    <m/>
    <m/>
    <m/>
    <m/>
    <m/>
    <m/>
    <m/>
    <m/>
    <m/>
    <m/>
    <m/>
  </r>
  <r>
    <x v="13"/>
    <x v="2"/>
    <x v="6"/>
    <x v="12"/>
    <s v="AMW QUO936 RFQ packing"/>
    <m/>
    <s v="Kamonchanok"/>
    <d v="2026-03-30T00:00:00"/>
    <x v="57"/>
    <d v="2026-03-31T00:00:00"/>
    <x v="0"/>
    <x v="0"/>
    <x v="0"/>
    <m/>
    <m/>
    <m/>
    <m/>
    <m/>
    <m/>
    <m/>
    <m/>
    <m/>
    <m/>
    <m/>
    <m/>
    <m/>
    <m/>
    <m/>
    <m/>
    <m/>
    <m/>
    <m/>
    <m/>
    <m/>
    <m/>
    <m/>
    <m/>
    <m/>
    <m/>
    <m/>
    <m/>
  </r>
  <r>
    <x v="13"/>
    <x v="3"/>
    <x v="0"/>
    <x v="0"/>
    <s v="AMW 03577 create packing proposal send to tech-Eng for request customer"/>
    <m/>
    <s v="Bunnarak"/>
    <d v="2026-04-01T00:00:00"/>
    <x v="63"/>
    <d v="2026-04-02T00:00:00"/>
    <x v="0"/>
    <x v="0"/>
    <x v="0"/>
    <m/>
    <m/>
    <m/>
    <m/>
    <m/>
    <m/>
    <m/>
    <m/>
    <m/>
    <m/>
    <m/>
    <m/>
    <m/>
    <m/>
    <m/>
    <m/>
    <m/>
    <m/>
    <m/>
    <m/>
    <m/>
    <m/>
    <m/>
    <m/>
    <m/>
    <m/>
    <m/>
    <m/>
  </r>
  <r>
    <x v="13"/>
    <x v="2"/>
    <x v="0"/>
    <x v="0"/>
    <s v="AMW  03577 customer support audit "/>
    <s v="FONROCHE"/>
    <s v="Bunnarak"/>
    <d v="2026-03-31T00:00:00"/>
    <x v="63"/>
    <d v="2026-04-02T00:00:00"/>
    <x v="0"/>
    <x v="0"/>
    <x v="0"/>
    <m/>
    <m/>
    <m/>
    <m/>
    <m/>
    <m/>
    <m/>
    <m/>
    <m/>
    <m/>
    <m/>
    <m/>
    <m/>
    <m/>
    <m/>
    <m/>
    <m/>
    <m/>
    <m/>
    <m/>
    <m/>
    <m/>
    <m/>
    <m/>
    <m/>
    <m/>
    <m/>
    <m/>
  </r>
  <r>
    <x v="13"/>
    <x v="2"/>
    <x v="0"/>
    <x v="0"/>
    <s v="Support JRI liberty box pre series "/>
    <s v="JRI"/>
    <s v="Bunnarak"/>
    <d v="2026-03-31T00:00:00"/>
    <x v="64"/>
    <d v="2026-04-03T00:00:00"/>
    <x v="0"/>
    <x v="0"/>
    <x v="0"/>
    <m/>
    <m/>
    <m/>
    <m/>
    <m/>
    <m/>
    <m/>
    <m/>
    <m/>
    <m/>
    <m/>
    <m/>
    <m/>
    <m/>
    <m/>
    <m/>
    <m/>
    <m/>
    <m/>
    <m/>
    <m/>
    <m/>
    <m/>
    <m/>
    <m/>
    <m/>
    <m/>
    <m/>
  </r>
  <r>
    <x v="13"/>
    <x v="2"/>
    <x v="1"/>
    <x v="2"/>
    <s v="Packaging job transfer"/>
    <m/>
    <s v="Thiti"/>
    <d v="2026-03-30T00:00:00"/>
    <x v="61"/>
    <d v="2026-03-30T00:00:00"/>
    <x v="0"/>
    <x v="0"/>
    <x v="0"/>
    <m/>
    <m/>
    <m/>
    <m/>
    <m/>
    <m/>
    <m/>
    <m/>
    <m/>
    <m/>
    <m/>
    <m/>
    <m/>
    <m/>
    <m/>
    <m/>
    <m/>
    <m/>
    <m/>
    <m/>
    <m/>
    <m/>
    <m/>
    <m/>
    <m/>
    <m/>
    <m/>
    <m/>
  </r>
  <r>
    <x v="13"/>
    <x v="2"/>
    <x v="0"/>
    <x v="0"/>
    <s v="AMW 03457 MP monitoring"/>
    <s v="Numworks"/>
    <s v="Thiti"/>
    <d v="2026-03-31T00:00:00"/>
    <x v="64"/>
    <d v="2026-04-03T00:00:00"/>
    <x v="0"/>
    <x v="0"/>
    <x v="0"/>
    <m/>
    <m/>
    <m/>
    <m/>
    <m/>
    <m/>
    <m/>
    <m/>
    <m/>
    <m/>
    <m/>
    <m/>
    <m/>
    <m/>
    <m/>
    <m/>
    <m/>
    <m/>
    <m/>
    <m/>
    <m/>
    <m/>
    <m/>
    <m/>
    <m/>
    <m/>
    <m/>
    <m/>
  </r>
  <r>
    <x v="13"/>
    <x v="3"/>
    <x v="0"/>
    <x v="0"/>
    <s v="Numwork Confrim sample drop test with QA"/>
    <s v="Numworks"/>
    <s v="Thiti"/>
    <d v="2026-04-01T00:00:00"/>
    <x v="62"/>
    <d v="2026-04-01T00:00:00"/>
    <x v="0"/>
    <x v="0"/>
    <x v="0"/>
    <m/>
    <m/>
    <m/>
    <m/>
    <m/>
    <m/>
    <m/>
    <m/>
    <m/>
    <m/>
    <m/>
    <m/>
    <m/>
    <m/>
    <m/>
    <m/>
    <m/>
    <m/>
    <m/>
    <m/>
    <m/>
    <m/>
    <m/>
    <m/>
    <m/>
    <m/>
    <m/>
    <m/>
  </r>
  <r>
    <x v="13"/>
    <x v="3"/>
    <x v="5"/>
    <x v="11"/>
    <s v="Design packing and finding part for AMW-03579"/>
    <s v="FONROCHE"/>
    <s v="Thiti"/>
    <d v="2026-04-01T00:00:00"/>
    <x v="62"/>
    <d v="2026-04-01T00:00:00"/>
    <x v="0"/>
    <x v="0"/>
    <x v="0"/>
    <m/>
    <m/>
    <m/>
    <m/>
    <m/>
    <m/>
    <m/>
    <m/>
    <m/>
    <m/>
    <m/>
    <m/>
    <m/>
    <m/>
    <m/>
    <m/>
    <m/>
    <m/>
    <m/>
    <m/>
    <m/>
    <m/>
    <m/>
    <m/>
    <m/>
    <m/>
    <m/>
    <m/>
  </r>
  <r>
    <x v="13"/>
    <x v="3"/>
    <x v="0"/>
    <x v="0"/>
    <s v="Air leak test after get JRI-Trapp modification"/>
    <s v="JRI"/>
    <s v="Thiti"/>
    <d v="2026-04-01T00:00:00"/>
    <x v="62"/>
    <d v="2026-04-01T00:00:00"/>
    <x v="0"/>
    <x v="0"/>
    <x v="0"/>
    <m/>
    <m/>
    <m/>
    <m/>
    <m/>
    <m/>
    <m/>
    <m/>
    <m/>
    <m/>
    <m/>
    <m/>
    <m/>
    <m/>
    <m/>
    <m/>
    <m/>
    <m/>
    <m/>
    <m/>
    <m/>
    <m/>
    <m/>
    <m/>
    <m/>
    <m/>
    <m/>
    <m/>
  </r>
  <r>
    <x v="13"/>
    <x v="3"/>
    <x v="0"/>
    <x v="0"/>
    <s v="COnfirm part trap after modify"/>
    <s v="JRI"/>
    <s v="Thiti"/>
    <d v="2026-04-02T00:00:00"/>
    <x v="64"/>
    <d v="2026-04-01T00:00:00"/>
    <x v="0"/>
    <x v="0"/>
    <x v="0"/>
    <m/>
    <m/>
    <m/>
    <m/>
    <m/>
    <m/>
    <m/>
    <m/>
    <m/>
    <m/>
    <m/>
    <m/>
    <m/>
    <m/>
    <m/>
    <m/>
    <m/>
    <m/>
    <m/>
    <m/>
    <m/>
    <m/>
    <m/>
    <m/>
    <m/>
    <m/>
    <m/>
    <m/>
  </r>
  <r>
    <x v="13"/>
    <x v="3"/>
    <x v="1"/>
    <x v="2"/>
    <s v="Numworks weekly progress"/>
    <s v="Numworks"/>
    <s v="Thiti"/>
    <d v="2026-04-02T00:00:00"/>
    <x v="63"/>
    <d v="2026-04-02T00:00:00"/>
    <x v="0"/>
    <x v="0"/>
    <x v="0"/>
    <m/>
    <m/>
    <m/>
    <m/>
    <m/>
    <m/>
    <m/>
    <m/>
    <m/>
    <m/>
    <m/>
    <m/>
    <m/>
    <m/>
    <m/>
    <m/>
    <m/>
    <m/>
    <m/>
    <m/>
    <m/>
    <m/>
    <m/>
    <m/>
    <m/>
    <m/>
    <m/>
    <m/>
  </r>
  <r>
    <x v="13"/>
    <x v="3"/>
    <x v="5"/>
    <x v="11"/>
    <s v="Design packing and finding part for AMW-03256-R.BD"/>
    <s v="Gutor"/>
    <s v="Thiti"/>
    <d v="2026-04-02T00:00:00"/>
    <x v="63"/>
    <d v="2026-04-02T00:00:00"/>
    <x v="0"/>
    <x v="0"/>
    <x v="0"/>
    <m/>
    <m/>
    <m/>
    <m/>
    <m/>
    <m/>
    <m/>
    <m/>
    <m/>
    <m/>
    <m/>
    <m/>
    <m/>
    <m/>
    <m/>
    <m/>
    <m/>
    <m/>
    <m/>
    <m/>
    <m/>
    <m/>
    <m/>
    <m/>
    <m/>
    <m/>
    <m/>
    <m/>
  </r>
  <r>
    <x v="13"/>
    <x v="3"/>
    <x v="0"/>
    <x v="0"/>
    <s v="Confirm NEW foam-C with density 22"/>
    <s v="Numworks"/>
    <s v="Thiti"/>
    <d v="2026-04-02T00:00:00"/>
    <x v="63"/>
    <d v="2026-04-02T00:00:00"/>
    <x v="0"/>
    <x v="0"/>
    <x v="0"/>
    <m/>
    <m/>
    <m/>
    <m/>
    <m/>
    <m/>
    <m/>
    <m/>
    <m/>
    <m/>
    <m/>
    <m/>
    <m/>
    <m/>
    <m/>
    <m/>
    <m/>
    <m/>
    <m/>
    <m/>
    <m/>
    <m/>
    <m/>
    <m/>
    <m/>
    <m/>
    <m/>
    <m/>
  </r>
  <r>
    <x v="13"/>
    <x v="3"/>
    <x v="0"/>
    <x v="0"/>
    <s v="Confirm NW-Anti Slip pad with new color"/>
    <s v="Numworks"/>
    <s v="Thiti"/>
    <d v="2026-04-02T00:00:00"/>
    <x v="63"/>
    <d v="2026-04-02T00:00:00"/>
    <x v="0"/>
    <x v="0"/>
    <x v="0"/>
    <m/>
    <m/>
    <m/>
    <m/>
    <m/>
    <m/>
    <m/>
    <m/>
    <m/>
    <m/>
    <m/>
    <m/>
    <m/>
    <m/>
    <m/>
    <m/>
    <m/>
    <m/>
    <m/>
    <m/>
    <m/>
    <m/>
    <m/>
    <m/>
    <m/>
    <m/>
    <m/>
    <m/>
  </r>
  <r>
    <x v="14"/>
    <x v="4"/>
    <x v="6"/>
    <x v="12"/>
    <s v="AMW-QUO947 Rev01.01 - project T411 part 2 for LEACH RFQZ Packing"/>
    <s v="LEACH"/>
    <s v="Bunnarak"/>
    <d v="2026-05-06T00:00:00"/>
    <x v="65"/>
    <d v="2026-05-07T00:00:00"/>
    <x v="0"/>
    <x v="0"/>
    <x v="0"/>
    <m/>
    <m/>
    <m/>
    <m/>
    <m/>
    <m/>
    <m/>
    <m/>
    <m/>
    <m/>
    <m/>
    <m/>
    <m/>
    <m/>
    <m/>
    <m/>
    <m/>
    <m/>
    <m/>
    <m/>
    <m/>
    <m/>
    <m/>
    <m/>
    <m/>
    <m/>
    <m/>
    <m/>
  </r>
  <r>
    <x v="14"/>
    <x v="4"/>
    <x v="5"/>
    <x v="9"/>
    <s v="RFQ for Tray ESD TRAY AMW 03721 confirmation tray plug nano"/>
    <s v="JRI"/>
    <s v="Bunnarak"/>
    <d v="2026-05-07T00:00:00"/>
    <x v="65"/>
    <d v="2026-05-07T00:00:00"/>
    <x v="0"/>
    <x v="0"/>
    <x v="0"/>
    <m/>
    <m/>
    <m/>
    <m/>
    <m/>
    <m/>
    <m/>
    <m/>
    <m/>
    <m/>
    <m/>
    <m/>
    <m/>
    <m/>
    <m/>
    <m/>
    <m/>
    <m/>
    <m/>
    <m/>
    <m/>
    <m/>
    <m/>
    <m/>
    <m/>
    <m/>
    <m/>
    <m/>
  </r>
  <r>
    <x v="14"/>
    <x v="4"/>
    <x v="6"/>
    <x v="12"/>
    <s v="AMW-QUO951 Rev01.01 RFQ packing"/>
    <s v="FONROCHE"/>
    <s v="Bunnarak"/>
    <d v="2026-05-06T00:00:00"/>
    <x v="65"/>
    <d v="2026-05-07T00:00:00"/>
    <x v="0"/>
    <x v="0"/>
    <x v="0"/>
    <m/>
    <m/>
    <m/>
    <m/>
    <m/>
    <m/>
    <m/>
    <m/>
    <m/>
    <m/>
    <m/>
    <m/>
    <m/>
    <m/>
    <m/>
    <m/>
    <m/>
    <m/>
    <m/>
    <m/>
    <m/>
    <m/>
    <m/>
    <m/>
    <m/>
    <m/>
    <m/>
    <m/>
  </r>
  <r>
    <x v="14"/>
    <x v="4"/>
    <x v="5"/>
    <x v="9"/>
    <s v="Confirm Internal packaging  for PCBA external packaging for Module and Cabinet for viper 600v."/>
    <s v="Enersys"/>
    <s v="Bunnarak"/>
    <d v="2026-05-08T00:00:00"/>
    <x v="66"/>
    <d v="2026-05-12T00:00:00"/>
    <x v="0"/>
    <x v="0"/>
    <x v="0"/>
    <m/>
    <m/>
    <m/>
    <m/>
    <m/>
    <m/>
    <m/>
    <m/>
    <m/>
    <m/>
    <m/>
    <m/>
    <m/>
    <m/>
    <m/>
    <m/>
    <m/>
    <m/>
    <m/>
    <m/>
    <m/>
    <m/>
    <m/>
    <m/>
    <m/>
    <m/>
    <m/>
    <m/>
  </r>
  <r>
    <x v="14"/>
    <x v="4"/>
    <x v="6"/>
    <x v="12"/>
    <s v="AMW-QUO507 Rev.06.01 for Numworks  RFQ packing"/>
    <s v="Numworks"/>
    <s v="Bunnarak"/>
    <d v="2026-05-07T00:00:00"/>
    <x v="67"/>
    <d v="2026-05-13T00:00:00"/>
    <x v="0"/>
    <x v="0"/>
    <x v="0"/>
    <m/>
    <m/>
    <m/>
    <m/>
    <m/>
    <m/>
    <m/>
    <m/>
    <m/>
    <m/>
    <m/>
    <m/>
    <m/>
    <m/>
    <m/>
    <m/>
    <m/>
    <m/>
    <m/>
    <m/>
    <m/>
    <m/>
    <m/>
    <m/>
    <m/>
    <m/>
    <m/>
    <m/>
  </r>
  <r>
    <x v="15"/>
    <x v="4"/>
    <x v="1"/>
    <x v="2"/>
    <s v="BAT - Numworks low voltage meeting"/>
    <s v="Numworks"/>
    <s v="Bunnarak"/>
    <d v="2026-05-15T00:00:00"/>
    <x v="68"/>
    <d v="2026-05-15T00:00:00"/>
    <x v="0"/>
    <x v="0"/>
    <x v="0"/>
    <m/>
    <m/>
    <m/>
    <m/>
    <m/>
    <m/>
    <m/>
    <m/>
    <m/>
    <m/>
    <m/>
    <m/>
    <m/>
    <m/>
    <m/>
    <m/>
    <m/>
    <m/>
    <m/>
    <m/>
    <m/>
    <m/>
    <m/>
    <m/>
    <m/>
    <m/>
    <m/>
    <m/>
  </r>
  <r>
    <x v="14"/>
    <x v="4"/>
    <x v="5"/>
    <x v="11"/>
    <s v="Design Packing concept of AMW 03716 &amp; 03718 "/>
    <s v="Maatel"/>
    <s v="Thiti"/>
    <d v="2026-05-05T00:00:00"/>
    <x v="69"/>
    <d v="2026-05-06T00:00:00"/>
    <x v="0"/>
    <x v="0"/>
    <x v="0"/>
    <m/>
    <m/>
    <m/>
    <m/>
    <m/>
    <m/>
    <m/>
    <m/>
    <m/>
    <m/>
    <m/>
    <m/>
    <m/>
    <m/>
    <m/>
    <m/>
    <m/>
    <m/>
    <m/>
    <m/>
    <m/>
    <m/>
    <m/>
    <m/>
    <m/>
    <m/>
    <m/>
    <m/>
  </r>
  <r>
    <x v="14"/>
    <x v="4"/>
    <x v="5"/>
    <x v="11"/>
    <s v="Design Packing concept of AMW 03520 &amp; 03521"/>
    <s v="FONROCHE"/>
    <s v="Thiti"/>
    <d v="2026-05-05T00:00:00"/>
    <x v="69"/>
    <d v="2026-05-06T00:00:00"/>
    <x v="0"/>
    <x v="0"/>
    <x v="0"/>
    <m/>
    <m/>
    <m/>
    <m/>
    <m/>
    <m/>
    <m/>
    <m/>
    <m/>
    <m/>
    <m/>
    <m/>
    <m/>
    <m/>
    <m/>
    <m/>
    <m/>
    <m/>
    <m/>
    <m/>
    <m/>
    <m/>
    <m/>
    <m/>
    <m/>
    <m/>
    <m/>
    <m/>
  </r>
  <r>
    <x v="14"/>
    <x v="4"/>
    <x v="3"/>
    <x v="5"/>
    <s v="NW-FOAM SCN-S propose to relax the tolerance "/>
    <s v="Numworks"/>
    <s v="Thiti"/>
    <d v="2026-05-05T00:00:00"/>
    <x v="69"/>
    <d v="2026-05-06T00:00:00"/>
    <x v="0"/>
    <x v="0"/>
    <x v="0"/>
    <m/>
    <m/>
    <m/>
    <m/>
    <m/>
    <m/>
    <m/>
    <m/>
    <m/>
    <m/>
    <m/>
    <m/>
    <m/>
    <m/>
    <m/>
    <m/>
    <m/>
    <m/>
    <m/>
    <m/>
    <m/>
    <m/>
    <m/>
    <m/>
    <m/>
    <m/>
    <m/>
    <m/>
  </r>
  <r>
    <x v="14"/>
    <x v="4"/>
    <x v="5"/>
    <x v="11"/>
    <s v="Packing of AMW 03716 MAATEL"/>
    <s v="Maatel"/>
    <s v="Thiti"/>
    <d v="2026-05-06T00:00:00"/>
    <x v="70"/>
    <d v="2026-05-07T00:00:00"/>
    <x v="0"/>
    <x v="0"/>
    <x v="0"/>
    <m/>
    <m/>
    <m/>
    <m/>
    <m/>
    <m/>
    <m/>
    <m/>
    <m/>
    <m/>
    <m/>
    <m/>
    <m/>
    <m/>
    <m/>
    <m/>
    <m/>
    <m/>
    <m/>
    <m/>
    <m/>
    <m/>
    <m/>
    <m/>
    <m/>
    <m/>
    <m/>
    <m/>
  </r>
  <r>
    <x v="14"/>
    <x v="4"/>
    <x v="5"/>
    <x v="11"/>
    <s v="Packing of AMW 03718 MAATEL"/>
    <s v="Maatel"/>
    <s v="Thiti"/>
    <d v="2026-05-06T00:00:00"/>
    <x v="70"/>
    <d v="2026-05-07T00:00:00"/>
    <x v="0"/>
    <x v="0"/>
    <x v="0"/>
    <m/>
    <m/>
    <m/>
    <m/>
    <m/>
    <m/>
    <m/>
    <m/>
    <m/>
    <m/>
    <m/>
    <m/>
    <m/>
    <m/>
    <m/>
    <m/>
    <m/>
    <m/>
    <m/>
    <m/>
    <m/>
    <m/>
    <m/>
    <m/>
    <m/>
    <m/>
    <m/>
    <m/>
  </r>
  <r>
    <x v="14"/>
    <x v="4"/>
    <x v="5"/>
    <x v="11"/>
    <s v="Packing of AMW 03545 OBC"/>
    <s v="ณฎฆ"/>
    <s v="Thiti"/>
    <d v="2026-05-07T00:00:00"/>
    <x v="65"/>
    <d v="2026-05-08T00:00:00"/>
    <x v="0"/>
    <x v="0"/>
    <x v="0"/>
    <m/>
    <m/>
    <m/>
    <m/>
    <m/>
    <m/>
    <m/>
    <m/>
    <m/>
    <m/>
    <m/>
    <m/>
    <m/>
    <m/>
    <m/>
    <m/>
    <m/>
    <m/>
    <m/>
    <m/>
    <m/>
    <m/>
    <m/>
    <m/>
    <m/>
    <m/>
    <m/>
    <m/>
  </r>
  <r>
    <x v="14"/>
    <x v="4"/>
    <x v="5"/>
    <x v="11"/>
    <s v="AMW 03530 SP support sample packing 5 pcs. (shipment)_x000a_MO: 17125319"/>
    <s v="Traco"/>
    <s v="Thiti"/>
    <d v="2026-05-08T00:00:00"/>
    <x v="65"/>
    <d v="2026-05-08T00:00:00"/>
    <x v="0"/>
    <x v="0"/>
    <x v="0"/>
    <m/>
    <m/>
    <m/>
    <m/>
    <m/>
    <m/>
    <m/>
    <m/>
    <m/>
    <m/>
    <m/>
    <m/>
    <m/>
    <m/>
    <m/>
    <m/>
    <m/>
    <m/>
    <m/>
    <m/>
    <m/>
    <m/>
    <m/>
    <m/>
    <m/>
    <m/>
    <m/>
    <m/>
  </r>
  <r>
    <x v="16"/>
    <x v="3"/>
    <x v="0"/>
    <x v="0"/>
    <s v="Design NM-Foam to extend dimension to cover coner of carton"/>
    <s v="Numworks"/>
    <s v="Thiti"/>
    <d v="2026-04-06T00:00:00"/>
    <x v="71"/>
    <d v="2026-04-06T00:00:00"/>
    <x v="0"/>
    <x v="0"/>
    <x v="0"/>
    <m/>
    <m/>
    <m/>
    <m/>
    <m/>
    <m/>
    <m/>
    <m/>
    <m/>
    <m/>
    <m/>
    <m/>
    <m/>
    <m/>
    <m/>
    <m/>
    <m/>
    <m/>
    <m/>
    <m/>
    <m/>
    <m/>
    <m/>
    <m/>
    <m/>
    <m/>
    <m/>
    <m/>
  </r>
  <r>
    <x v="16"/>
    <x v="3"/>
    <x v="5"/>
    <x v="11"/>
    <s v="AMW-03256-R.BD support packing for shipment"/>
    <s v="Gutor"/>
    <s v="Thiti"/>
    <d v="2026-04-06T00:00:00"/>
    <x v="71"/>
    <d v="2026-04-06T00:00:00"/>
    <x v="0"/>
    <x v="0"/>
    <x v="0"/>
    <m/>
    <m/>
    <m/>
    <m/>
    <m/>
    <m/>
    <m/>
    <m/>
    <m/>
    <m/>
    <m/>
    <m/>
    <m/>
    <m/>
    <m/>
    <m/>
    <m/>
    <m/>
    <m/>
    <m/>
    <m/>
    <m/>
    <m/>
    <m/>
    <m/>
    <m/>
    <m/>
    <m/>
  </r>
  <r>
    <x v="16"/>
    <x v="3"/>
    <x v="0"/>
    <x v="0"/>
    <s v="Kick-Off RFQ project of AMW-QUO944"/>
    <s v="MG Development"/>
    <s v="Thiti"/>
    <d v="2026-04-06T00:00:00"/>
    <x v="71"/>
    <d v="2026-04-06T00:00:00"/>
    <x v="0"/>
    <x v="0"/>
    <x v="0"/>
    <m/>
    <m/>
    <m/>
    <m/>
    <m/>
    <m/>
    <m/>
    <m/>
    <m/>
    <m/>
    <m/>
    <m/>
    <m/>
    <m/>
    <m/>
    <m/>
    <m/>
    <m/>
    <m/>
    <m/>
    <m/>
    <m/>
    <m/>
    <m/>
    <m/>
    <m/>
    <m/>
    <m/>
  </r>
  <r>
    <x v="16"/>
    <x v="3"/>
    <x v="5"/>
    <x v="11"/>
    <s v="List up product to shiment within this week"/>
    <m/>
    <s v="Thiti"/>
    <d v="2026-04-06T00:00:00"/>
    <x v="71"/>
    <d v="2026-04-06T00:00:00"/>
    <x v="0"/>
    <x v="0"/>
    <x v="0"/>
    <m/>
    <m/>
    <m/>
    <m/>
    <m/>
    <m/>
    <m/>
    <m/>
    <m/>
    <m/>
    <m/>
    <m/>
    <m/>
    <m/>
    <m/>
    <m/>
    <m/>
    <m/>
    <m/>
    <m/>
    <m/>
    <m/>
    <m/>
    <m/>
    <m/>
    <m/>
    <m/>
    <m/>
  </r>
  <r>
    <x v="16"/>
    <x v="3"/>
    <x v="1"/>
    <x v="2"/>
    <s v="MP Quality issue and improvement action for AMW 03457"/>
    <s v="Numworks"/>
    <s v="Thiti"/>
    <d v="2026-04-07T00:00:00"/>
    <x v="72"/>
    <d v="2026-04-07T00:00:00"/>
    <x v="0"/>
    <x v="0"/>
    <x v="0"/>
    <m/>
    <m/>
    <m/>
    <m/>
    <m/>
    <m/>
    <m/>
    <m/>
    <m/>
    <m/>
    <m/>
    <m/>
    <m/>
    <m/>
    <m/>
    <m/>
    <m/>
    <m/>
    <m/>
    <m/>
    <m/>
    <m/>
    <m/>
    <m/>
    <m/>
    <m/>
    <m/>
    <m/>
  </r>
  <r>
    <x v="16"/>
    <x v="3"/>
    <x v="1"/>
    <x v="2"/>
    <s v="JRI weekly progress"/>
    <s v="JRI"/>
    <s v="Thiti"/>
    <d v="2026-04-07T00:00:00"/>
    <x v="72"/>
    <d v="2026-04-07T00:00:00"/>
    <x v="0"/>
    <x v="0"/>
    <x v="0"/>
    <m/>
    <m/>
    <m/>
    <m/>
    <m/>
    <m/>
    <m/>
    <m/>
    <m/>
    <m/>
    <m/>
    <m/>
    <m/>
    <m/>
    <m/>
    <m/>
    <m/>
    <m/>
    <m/>
    <m/>
    <m/>
    <m/>
    <m/>
    <m/>
    <m/>
    <m/>
    <m/>
    <m/>
  </r>
  <r>
    <x v="16"/>
    <x v="3"/>
    <x v="1"/>
    <x v="2"/>
    <s v="Numworks weekly progress"/>
    <s v="Numworks"/>
    <s v="Thiti"/>
    <d v="2026-04-09T00:00:00"/>
    <x v="73"/>
    <d v="2026-04-09T00:00:00"/>
    <x v="0"/>
    <x v="0"/>
    <x v="0"/>
    <m/>
    <m/>
    <m/>
    <m/>
    <m/>
    <m/>
    <m/>
    <m/>
    <m/>
    <m/>
    <m/>
    <m/>
    <m/>
    <m/>
    <m/>
    <m/>
    <m/>
    <m/>
    <m/>
    <m/>
    <m/>
    <m/>
    <m/>
    <m/>
    <m/>
    <m/>
    <m/>
    <m/>
  </r>
  <r>
    <x v="16"/>
    <x v="3"/>
    <x v="1"/>
    <x v="2"/>
    <s v="JRI support packing to shipment"/>
    <s v="JRI"/>
    <s v="Thiti"/>
    <d v="2026-04-09T00:00:00"/>
    <x v="74"/>
    <d v="2026-04-10T00:00:00"/>
    <x v="0"/>
    <x v="0"/>
    <x v="0"/>
    <m/>
    <m/>
    <m/>
    <m/>
    <m/>
    <m/>
    <m/>
    <m/>
    <m/>
    <m/>
    <m/>
    <m/>
    <m/>
    <m/>
    <m/>
    <m/>
    <m/>
    <m/>
    <m/>
    <m/>
    <m/>
    <m/>
    <m/>
    <m/>
    <m/>
    <m/>
    <m/>
    <m/>
  </r>
  <r>
    <x v="12"/>
    <x v="3"/>
    <x v="5"/>
    <x v="11"/>
    <s v="AMW 03710 support sample packing 25 pcs. (shipment)_x000a_MO. 29555101"/>
    <s v="ENSTO"/>
    <s v="Thiti"/>
    <d v="2026-04-21T00:00:00"/>
    <x v="54"/>
    <d v="2026-04-22T00:00:00"/>
    <x v="0"/>
    <x v="0"/>
    <x v="0"/>
    <m/>
    <m/>
    <m/>
    <m/>
    <m/>
    <m/>
    <m/>
    <m/>
    <m/>
    <m/>
    <m/>
    <m/>
    <m/>
    <m/>
    <m/>
    <m/>
    <m/>
    <m/>
    <m/>
    <m/>
    <m/>
    <m/>
    <m/>
    <m/>
    <m/>
    <m/>
    <m/>
    <m/>
  </r>
  <r>
    <x v="16"/>
    <x v="3"/>
    <x v="5"/>
    <x v="11"/>
    <s v="AMW 03676 support sample packing  (400 pcs)"/>
    <s v="LEACH"/>
    <s v="Thiti"/>
    <d v="2026-04-10T00:00:00"/>
    <x v="74"/>
    <d v="2026-04-10T00:00:00"/>
    <x v="0"/>
    <x v="0"/>
    <x v="0"/>
    <m/>
    <m/>
    <m/>
    <m/>
    <m/>
    <m/>
    <m/>
    <m/>
    <m/>
    <m/>
    <m/>
    <m/>
    <m/>
    <m/>
    <m/>
    <m/>
    <m/>
    <m/>
    <m/>
    <m/>
    <m/>
    <m/>
    <m/>
    <m/>
    <m/>
    <m/>
    <m/>
    <m/>
  </r>
  <r>
    <x v="13"/>
    <x v="2"/>
    <x v="1"/>
    <x v="2"/>
    <s v="Packaging job transfer"/>
    <m/>
    <s v="Kumpon"/>
    <d v="2026-03-30T00:00:00"/>
    <x v="61"/>
    <d v="2026-03-30T00:00:00"/>
    <x v="0"/>
    <x v="0"/>
    <x v="0"/>
    <m/>
    <m/>
    <m/>
    <m/>
    <m/>
    <m/>
    <m/>
    <m/>
    <m/>
    <m/>
    <m/>
    <m/>
    <m/>
    <m/>
    <m/>
    <m/>
    <m/>
    <m/>
    <m/>
    <m/>
    <m/>
    <m/>
    <m/>
    <m/>
    <m/>
    <m/>
    <m/>
    <m/>
  </r>
  <r>
    <x v="13"/>
    <x v="3"/>
    <x v="0"/>
    <x v="0"/>
    <s v="AMW 03577 Create Label for support attached master carton"/>
    <s v="FONROCHE"/>
    <s v="Kumpon"/>
    <d v="2026-04-01T00:00:00"/>
    <x v="63"/>
    <d v="2026-04-02T00:00:00"/>
    <x v="0"/>
    <x v="0"/>
    <x v="0"/>
    <m/>
    <m/>
    <m/>
    <m/>
    <m/>
    <m/>
    <m/>
    <m/>
    <m/>
    <m/>
    <m/>
    <m/>
    <m/>
    <m/>
    <m/>
    <m/>
    <m/>
    <m/>
    <m/>
    <m/>
    <m/>
    <m/>
    <m/>
    <m/>
    <m/>
    <m/>
    <m/>
    <m/>
  </r>
  <r>
    <x v="13"/>
    <x v="3"/>
    <x v="6"/>
    <x v="17"/>
    <s v="AMW QUO907 confirmation posibility  to change Poco pin - Connector to poco pin - Soldering"/>
    <s v="MG "/>
    <s v="Bunnarak"/>
    <d v="2026-04-03T00:00:00"/>
    <x v="64"/>
    <d v="2026-04-03T00:00:00"/>
    <x v="0"/>
    <x v="0"/>
    <x v="0"/>
    <m/>
    <m/>
    <m/>
    <m/>
    <m/>
    <m/>
    <m/>
    <m/>
    <m/>
    <m/>
    <m/>
    <m/>
    <m/>
    <m/>
    <m/>
    <m/>
    <m/>
    <m/>
    <m/>
    <m/>
    <m/>
    <m/>
    <m/>
    <m/>
    <m/>
    <m/>
    <m/>
    <m/>
  </r>
  <r>
    <x v="12"/>
    <x v="3"/>
    <x v="5"/>
    <x v="9"/>
    <s v="Follow up src wood crate box model 3.5kW to use screw "/>
    <s v="Enersys"/>
    <s v="Bunnarak"/>
    <d v="2026-04-20T00:00:00"/>
    <x v="75"/>
    <d v="2026-04-20T00:00:00"/>
    <x v="0"/>
    <x v="0"/>
    <x v="0"/>
    <m/>
    <m/>
    <m/>
    <m/>
    <m/>
    <m/>
    <m/>
    <m/>
    <m/>
    <m/>
    <m/>
    <m/>
    <m/>
    <m/>
    <m/>
    <m/>
    <m/>
    <m/>
    <m/>
    <m/>
    <m/>
    <m/>
    <m/>
    <m/>
    <m/>
    <m/>
    <m/>
    <m/>
  </r>
  <r>
    <x v="16"/>
    <x v="3"/>
    <x v="1"/>
    <x v="2"/>
    <s v="JRI weekly progress"/>
    <s v="JRI"/>
    <s v="Bunnarak"/>
    <d v="2026-04-08T00:00:00"/>
    <x v="76"/>
    <d v="2026-04-08T00:00:00"/>
    <x v="0"/>
    <x v="0"/>
    <x v="0"/>
    <m/>
    <m/>
    <m/>
    <m/>
    <m/>
    <m/>
    <m/>
    <m/>
    <m/>
    <m/>
    <m/>
    <m/>
    <m/>
    <m/>
    <m/>
    <m/>
    <m/>
    <m/>
    <m/>
    <m/>
    <m/>
    <m/>
    <m/>
    <m/>
    <m/>
    <m/>
    <m/>
    <m/>
  </r>
  <r>
    <x v="16"/>
    <x v="3"/>
    <x v="1"/>
    <x v="2"/>
    <s v="Numworks weekly progress"/>
    <s v="Numworks"/>
    <s v="Bunnarak"/>
    <d v="2026-04-09T00:00:00"/>
    <x v="73"/>
    <d v="2026-04-09T00:00:00"/>
    <x v="0"/>
    <x v="0"/>
    <x v="0"/>
    <m/>
    <m/>
    <m/>
    <m/>
    <m/>
    <m/>
    <m/>
    <m/>
    <m/>
    <m/>
    <m/>
    <m/>
    <m/>
    <m/>
    <m/>
    <m/>
    <m/>
    <m/>
    <m/>
    <m/>
    <m/>
    <m/>
    <m/>
    <m/>
    <m/>
    <m/>
    <m/>
    <m/>
  </r>
  <r>
    <x v="16"/>
    <x v="3"/>
    <x v="0"/>
    <x v="0"/>
    <s v="Support cutting pattition for AMW  03577 MP"/>
    <s v="FONROCHE"/>
    <s v="Nattachai"/>
    <d v="2026-04-09T00:00:00"/>
    <x v="74"/>
    <d v="2026-04-10T00:00:00"/>
    <x v="0"/>
    <x v="0"/>
    <x v="0"/>
    <m/>
    <m/>
    <m/>
    <m/>
    <m/>
    <m/>
    <m/>
    <m/>
    <m/>
    <m/>
    <m/>
    <m/>
    <m/>
    <m/>
    <m/>
    <m/>
    <m/>
    <m/>
    <m/>
    <m/>
    <m/>
    <m/>
    <m/>
    <m/>
    <m/>
    <m/>
    <m/>
    <m/>
  </r>
  <r>
    <x v="12"/>
    <x v="3"/>
    <x v="0"/>
    <x v="0"/>
    <s v="Support cutting pattition for AMW  03577 MP"/>
    <s v="FONROCHE"/>
    <s v="Nattachai"/>
    <d v="2026-04-20T00:00:00"/>
    <x v="77"/>
    <d v="2026-04-20T00:00:00"/>
    <x v="0"/>
    <x v="0"/>
    <x v="0"/>
    <m/>
    <m/>
    <m/>
    <m/>
    <m/>
    <m/>
    <m/>
    <m/>
    <m/>
    <m/>
    <m/>
    <m/>
    <m/>
    <m/>
    <m/>
    <m/>
    <m/>
    <m/>
    <m/>
    <m/>
    <m/>
    <m/>
    <m/>
    <m/>
    <m/>
    <m/>
    <m/>
    <m/>
  </r>
  <r>
    <x v="12"/>
    <x v="3"/>
    <x v="5"/>
    <x v="11"/>
    <s v="Support packing AMW 03710"/>
    <s v="FONROCHE"/>
    <s v="Nattachai"/>
    <d v="2026-04-22T00:00:00"/>
    <x v="78"/>
    <d v="2026-04-23T00:00:00"/>
    <x v="0"/>
    <x v="0"/>
    <x v="0"/>
    <m/>
    <m/>
    <m/>
    <m/>
    <m/>
    <m/>
    <m/>
    <m/>
    <m/>
    <m/>
    <m/>
    <m/>
    <m/>
    <m/>
    <m/>
    <m/>
    <m/>
    <m/>
    <m/>
    <m/>
    <m/>
    <m/>
    <m/>
    <m/>
    <m/>
    <m/>
    <m/>
    <m/>
  </r>
  <r>
    <x v="12"/>
    <x v="3"/>
    <x v="4"/>
    <x v="8"/>
    <s v="Trianing Solidworks"/>
    <m/>
    <s v="Thiti"/>
    <d v="2026-04-20T00:00:00"/>
    <x v="54"/>
    <d v="2026-04-22T00:00:00"/>
    <x v="0"/>
    <x v="0"/>
    <x v="0"/>
    <m/>
    <m/>
    <m/>
    <m/>
    <m/>
    <m/>
    <m/>
    <m/>
    <m/>
    <m/>
    <m/>
    <m/>
    <m/>
    <m/>
    <m/>
    <m/>
    <m/>
    <m/>
    <m/>
    <m/>
    <m/>
    <m/>
    <m/>
    <m/>
    <m/>
    <m/>
    <m/>
    <m/>
  </r>
  <r>
    <x v="17"/>
    <x v="3"/>
    <x v="6"/>
    <x v="12"/>
    <s v="AMW QUO949 RFQ Packing"/>
    <s v="MG Development"/>
    <s v="Chutiporn"/>
    <d v="2026-04-28T00:00:00"/>
    <x v="79"/>
    <d v="2026-04-30T00:00:00"/>
    <x v="0"/>
    <x v="0"/>
    <x v="0"/>
    <m/>
    <m/>
    <m/>
    <m/>
    <m/>
    <m/>
    <m/>
    <m/>
    <m/>
    <m/>
    <m/>
    <m/>
    <m/>
    <m/>
    <m/>
    <m/>
    <m/>
    <m/>
    <m/>
    <m/>
    <m/>
    <m/>
    <m/>
    <m/>
    <m/>
    <m/>
    <m/>
    <m/>
  </r>
  <r>
    <x v="17"/>
    <x v="3"/>
    <x v="6"/>
    <x v="17"/>
    <s v="AMW QUO949 NPI integration requirement"/>
    <s v="MG Development"/>
    <s v="Bunnarak"/>
    <d v="2026-04-28T00:00:00"/>
    <x v="80"/>
    <d v="2026-04-29T00:00:00"/>
    <x v="0"/>
    <x v="0"/>
    <x v="0"/>
    <m/>
    <m/>
    <m/>
    <m/>
    <m/>
    <m/>
    <m/>
    <m/>
    <m/>
    <m/>
    <m/>
    <m/>
    <m/>
    <m/>
    <m/>
    <m/>
    <m/>
    <m/>
    <m/>
    <m/>
    <m/>
    <m/>
    <m/>
    <m/>
    <m/>
    <m/>
    <m/>
    <m/>
  </r>
  <r>
    <x v="12"/>
    <x v="3"/>
    <x v="6"/>
    <x v="12"/>
    <s v="AMW QUO944 RFQ Packing"/>
    <s v="MG Development"/>
    <s v="Bunnarak"/>
    <d v="2026-04-23T00:00:00"/>
    <x v="81"/>
    <d v="2026-04-24T00:00:00"/>
    <x v="0"/>
    <x v="0"/>
    <x v="0"/>
    <m/>
    <m/>
    <m/>
    <m/>
    <m/>
    <m/>
    <m/>
    <m/>
    <m/>
    <m/>
    <m/>
    <m/>
    <m/>
    <m/>
    <m/>
    <m/>
    <m/>
    <m/>
    <m/>
    <m/>
    <m/>
    <m/>
    <m/>
    <m/>
    <m/>
    <m/>
    <m/>
    <m/>
  </r>
  <r>
    <x v="12"/>
    <x v="3"/>
    <x v="6"/>
    <x v="17"/>
    <s v="AMW QUO944 NPI integration requirement"/>
    <s v="MG Development"/>
    <s v="Bunnarak"/>
    <d v="2026-04-23T00:00:00"/>
    <x v="81"/>
    <d v="2026-04-04T00:00:00"/>
    <x v="0"/>
    <x v="0"/>
    <x v="0"/>
    <m/>
    <m/>
    <m/>
    <m/>
    <m/>
    <m/>
    <m/>
    <m/>
    <m/>
    <m/>
    <m/>
    <m/>
    <m/>
    <m/>
    <m/>
    <m/>
    <m/>
    <m/>
    <m/>
    <m/>
    <m/>
    <m/>
    <m/>
    <m/>
    <m/>
    <m/>
    <m/>
    <m/>
  </r>
  <r>
    <x v="17"/>
    <x v="3"/>
    <x v="6"/>
    <x v="12"/>
    <s v="AMW QUO879 RFQ Packing"/>
    <s v="Actia"/>
    <s v="Bunnarak"/>
    <d v="2026-04-27T00:00:00"/>
    <x v="82"/>
    <d v="2026-04-28T00:00:00"/>
    <x v="0"/>
    <x v="0"/>
    <x v="0"/>
    <m/>
    <m/>
    <m/>
    <m/>
    <m/>
    <m/>
    <m/>
    <m/>
    <m/>
    <m/>
    <m/>
    <m/>
    <m/>
    <m/>
    <m/>
    <m/>
    <m/>
    <m/>
    <m/>
    <m/>
    <m/>
    <m/>
    <m/>
    <m/>
    <m/>
    <m/>
    <m/>
    <m/>
  </r>
  <r>
    <x v="17"/>
    <x v="3"/>
    <x v="6"/>
    <x v="17"/>
    <s v="AMW QUO879 NPI integration requirement"/>
    <s v="Actia"/>
    <s v="Bunnarak"/>
    <d v="2026-04-27T00:00:00"/>
    <x v="82"/>
    <d v="2026-04-27T00:00:00"/>
    <x v="0"/>
    <x v="0"/>
    <x v="0"/>
    <m/>
    <m/>
    <m/>
    <m/>
    <m/>
    <m/>
    <m/>
    <m/>
    <m/>
    <m/>
    <m/>
    <m/>
    <m/>
    <m/>
    <m/>
    <m/>
    <m/>
    <m/>
    <m/>
    <m/>
    <m/>
    <m/>
    <m/>
    <m/>
    <m/>
    <m/>
    <m/>
    <m/>
  </r>
  <r>
    <x v="12"/>
    <x v="3"/>
    <x v="2"/>
    <x v="28"/>
    <s v="DFM feedback for JRI Nano plug"/>
    <s v="JRI"/>
    <s v="Bunnarak"/>
    <d v="2026-04-23T00:00:00"/>
    <x v="81"/>
    <d v="2026-04-24T00:00:00"/>
    <x v="0"/>
    <x v="0"/>
    <x v="0"/>
    <m/>
    <m/>
    <m/>
    <m/>
    <m/>
    <m/>
    <m/>
    <m/>
    <m/>
    <m/>
    <m/>
    <m/>
    <m/>
    <m/>
    <m/>
    <m/>
    <m/>
    <m/>
    <m/>
    <m/>
    <m/>
    <m/>
    <m/>
    <m/>
    <m/>
    <m/>
    <m/>
    <m/>
  </r>
  <r>
    <x v="12"/>
    <x v="3"/>
    <x v="0"/>
    <x v="0"/>
    <s v="Support adjust shirkwarp machine "/>
    <s v="Numworks"/>
    <s v="Bunnarak"/>
    <d v="2026-04-22T00:00:00"/>
    <x v="78"/>
    <d v="2026-04-23T00:00:00"/>
    <x v="0"/>
    <x v="0"/>
    <x v="0"/>
    <m/>
    <m/>
    <m/>
    <m/>
    <m/>
    <m/>
    <m/>
    <m/>
    <m/>
    <m/>
    <m/>
    <m/>
    <m/>
    <m/>
    <m/>
    <m/>
    <m/>
    <m/>
    <m/>
    <m/>
    <m/>
    <m/>
    <m/>
    <m/>
    <m/>
    <m/>
    <m/>
    <m/>
  </r>
  <r>
    <x v="12"/>
    <x v="3"/>
    <x v="5"/>
    <x v="11"/>
    <s v="Numworks monitoring production packing with new foam-C (5+3 mm)"/>
    <s v="Numworks"/>
    <s v="Chutiporn"/>
    <d v="2026-04-23T00:00:00"/>
    <x v="81"/>
    <d v="2026-04-24T00:00:00"/>
    <x v="0"/>
    <x v="0"/>
    <x v="0"/>
    <m/>
    <m/>
    <m/>
    <m/>
    <m/>
    <m/>
    <m/>
    <m/>
    <m/>
    <m/>
    <m/>
    <m/>
    <m/>
    <m/>
    <m/>
    <m/>
    <m/>
    <m/>
    <m/>
    <m/>
    <m/>
    <m/>
    <m/>
    <m/>
    <m/>
    <m/>
    <m/>
    <m/>
  </r>
  <r>
    <x v="12"/>
    <x v="3"/>
    <x v="5"/>
    <x v="11"/>
    <s v="Numworks monitoring production packing with new foam-C (5+3 mm)"/>
    <s v="Numworks"/>
    <s v="Thiti"/>
    <d v="2026-04-23T00:00:00"/>
    <x v="81"/>
    <d v="2026-04-24T00:00:00"/>
    <x v="0"/>
    <x v="0"/>
    <x v="0"/>
    <m/>
    <m/>
    <m/>
    <m/>
    <m/>
    <m/>
    <m/>
    <m/>
    <m/>
    <m/>
    <m/>
    <m/>
    <m/>
    <m/>
    <m/>
    <m/>
    <m/>
    <m/>
    <m/>
    <m/>
    <m/>
    <m/>
    <m/>
    <m/>
    <m/>
    <m/>
    <m/>
    <m/>
  </r>
  <r>
    <x v="12"/>
    <x v="3"/>
    <x v="1"/>
    <x v="2"/>
    <s v="Kick-off Meeting_Hapticore4 PROTOTYPE_PO# 2613-0554  (per Quotation: AMW-QUO906 Rev02)"/>
    <s v="Stiwa"/>
    <s v="Bunnarak"/>
    <d v="2026-04-24T00:00:00"/>
    <x v="81"/>
    <d v="2026-04-24T00:00:00"/>
    <x v="0"/>
    <x v="0"/>
    <x v="0"/>
    <m/>
    <m/>
    <m/>
    <m/>
    <m/>
    <m/>
    <m/>
    <m/>
    <m/>
    <m/>
    <m/>
    <m/>
    <m/>
    <m/>
    <m/>
    <m/>
    <m/>
    <m/>
    <m/>
    <m/>
    <m/>
    <m/>
    <m/>
    <m/>
    <m/>
    <m/>
    <m/>
    <m/>
  </r>
  <r>
    <x v="14"/>
    <x v="4"/>
    <x v="5"/>
    <x v="9"/>
    <s v="Design External packaging for AMW 03317"/>
    <s v="IES"/>
    <s v="Chutiporn"/>
    <d v="2026-05-05T00:00:00"/>
    <x v="70"/>
    <d v="2026-05-07T00:00:00"/>
    <x v="0"/>
    <x v="0"/>
    <x v="0"/>
    <m/>
    <m/>
    <m/>
    <m/>
    <m/>
    <m/>
    <m/>
    <m/>
    <m/>
    <m/>
    <m/>
    <m/>
    <m/>
    <m/>
    <m/>
    <m/>
    <m/>
    <m/>
    <m/>
    <m/>
    <m/>
    <m/>
    <m/>
    <m/>
    <m/>
    <m/>
    <m/>
    <m/>
  </r>
  <r>
    <x v="14"/>
    <x v="4"/>
    <x v="5"/>
    <x v="9"/>
    <s v="Design external packaging for AMW 03317"/>
    <s v="IES"/>
    <s v="Chutiporn"/>
    <d v="2026-05-05T00:00:00"/>
    <x v="70"/>
    <d v="2026-05-07T00:00:00"/>
    <x v="0"/>
    <x v="0"/>
    <x v="0"/>
    <m/>
    <m/>
    <m/>
    <m/>
    <m/>
    <m/>
    <m/>
    <m/>
    <m/>
    <m/>
    <m/>
    <m/>
    <m/>
    <m/>
    <m/>
    <m/>
    <m/>
    <m/>
    <m/>
    <m/>
    <m/>
    <m/>
    <m/>
    <m/>
    <m/>
    <m/>
    <m/>
    <m/>
  </r>
  <r>
    <x v="15"/>
    <x v="4"/>
    <x v="5"/>
    <x v="9"/>
    <s v="Re Design External packaging for  AMW03454 OBC"/>
    <s v="IES"/>
    <s v="Chutiporn"/>
    <d v="2026-05-15T00:00:00"/>
    <x v="83"/>
    <d v="2026-05-18T00:00:00"/>
    <x v="0"/>
    <x v="0"/>
    <x v="0"/>
    <m/>
    <m/>
    <m/>
    <m/>
    <m/>
    <m/>
    <m/>
    <m/>
    <m/>
    <m/>
    <m/>
    <m/>
    <m/>
    <m/>
    <m/>
    <m/>
    <m/>
    <m/>
    <m/>
    <m/>
    <m/>
    <m/>
    <m/>
    <m/>
    <m/>
    <m/>
    <m/>
    <m/>
  </r>
  <r>
    <x v="12"/>
    <x v="3"/>
    <x v="0"/>
    <x v="0"/>
    <s v="Review and suggest relax tolerance of NW-Foam Screen"/>
    <s v="Numworks"/>
    <s v="Thiti"/>
    <d v="2026-04-24T00:00:00"/>
    <x v="81"/>
    <d v="2026-04-24T00:00:00"/>
    <x v="0"/>
    <x v="0"/>
    <x v="0"/>
    <m/>
    <m/>
    <m/>
    <m/>
    <m/>
    <m/>
    <m/>
    <m/>
    <m/>
    <m/>
    <m/>
    <m/>
    <m/>
    <m/>
    <m/>
    <m/>
    <m/>
    <m/>
    <m/>
    <m/>
    <m/>
    <m/>
    <m/>
    <m/>
    <m/>
    <m/>
    <m/>
    <m/>
  </r>
  <r>
    <x v="12"/>
    <x v="3"/>
    <x v="5"/>
    <x v="11"/>
    <s v="Packing of AMW 03189 Viper"/>
    <s v="Enersys"/>
    <s v="Thiti"/>
    <d v="2026-04-24T00:00:00"/>
    <x v="81"/>
    <d v="2026-04-23T00:00:00"/>
    <x v="0"/>
    <x v="0"/>
    <x v="0"/>
    <m/>
    <m/>
    <m/>
    <m/>
    <m/>
    <m/>
    <m/>
    <m/>
    <m/>
    <m/>
    <m/>
    <m/>
    <m/>
    <m/>
    <m/>
    <m/>
    <m/>
    <m/>
    <m/>
    <m/>
    <m/>
    <m/>
    <m/>
    <m/>
    <m/>
    <m/>
    <m/>
    <m/>
  </r>
  <r>
    <x v="12"/>
    <x v="3"/>
    <x v="5"/>
    <x v="11"/>
    <s v="Packing of AMW 03614 Viper"/>
    <s v="Enersys"/>
    <s v="Thiti"/>
    <d v="2026-04-23T00:00:00"/>
    <x v="78"/>
    <d v="2026-04-23T00:00:00"/>
    <x v="0"/>
    <x v="0"/>
    <x v="0"/>
    <m/>
    <m/>
    <m/>
    <m/>
    <m/>
    <m/>
    <m/>
    <m/>
    <m/>
    <m/>
    <m/>
    <m/>
    <m/>
    <m/>
    <m/>
    <m/>
    <m/>
    <m/>
    <m/>
    <m/>
    <m/>
    <m/>
    <m/>
    <m/>
    <m/>
    <m/>
    <m/>
    <m/>
  </r>
  <r>
    <x v="12"/>
    <x v="3"/>
    <x v="5"/>
    <x v="11"/>
    <s v="Design Packaging of AMW 03454 OBC"/>
    <s v="Enersys"/>
    <s v="Thiti"/>
    <d v="2026-04-23T00:00:00"/>
    <x v="78"/>
    <d v="2026-04-23T00:00:00"/>
    <x v="0"/>
    <x v="0"/>
    <x v="0"/>
    <m/>
    <m/>
    <m/>
    <m/>
    <m/>
    <m/>
    <m/>
    <m/>
    <m/>
    <m/>
    <m/>
    <m/>
    <m/>
    <m/>
    <m/>
    <m/>
    <m/>
    <m/>
    <m/>
    <m/>
    <m/>
    <m/>
    <m/>
    <m/>
    <m/>
    <m/>
    <m/>
    <m/>
  </r>
  <r>
    <x v="17"/>
    <x v="3"/>
    <x v="0"/>
    <x v="0"/>
    <s v="Trial assembly NW-Batt Adhesive of Delson"/>
    <s v="Numworks"/>
    <s v="Thiti"/>
    <d v="2026-04-27T00:00:00"/>
    <x v="84"/>
    <d v="2026-04-27T00:00:00"/>
    <x v="0"/>
    <x v="0"/>
    <x v="0"/>
    <m/>
    <m/>
    <m/>
    <m/>
    <m/>
    <m/>
    <m/>
    <m/>
    <m/>
    <m/>
    <m/>
    <m/>
    <m/>
    <m/>
    <m/>
    <m/>
    <m/>
    <m/>
    <m/>
    <m/>
    <m/>
    <m/>
    <m/>
    <m/>
    <m/>
    <m/>
    <m/>
    <m/>
  </r>
  <r>
    <x v="17"/>
    <x v="3"/>
    <x v="5"/>
    <x v="11"/>
    <s v="Take action solution of AMW 03676 LEACH about Packing Drop"/>
    <s v="Leach"/>
    <s v="Thiti"/>
    <d v="2026-04-27T00:00:00"/>
    <x v="84"/>
    <d v="2026-04-27T00:00:00"/>
    <x v="0"/>
    <x v="0"/>
    <x v="0"/>
    <m/>
    <m/>
    <m/>
    <m/>
    <m/>
    <m/>
    <m/>
    <m/>
    <m/>
    <m/>
    <m/>
    <m/>
    <m/>
    <m/>
    <m/>
    <m/>
    <m/>
    <m/>
    <m/>
    <m/>
    <m/>
    <m/>
    <m/>
    <m/>
    <m/>
    <m/>
    <m/>
    <m/>
  </r>
  <r>
    <x v="17"/>
    <x v="3"/>
    <x v="5"/>
    <x v="11"/>
    <s v="Packing of AMW 03454 OBC"/>
    <s v="IES"/>
    <s v="Thiti"/>
    <d v="2026-04-27T00:00:00"/>
    <x v="84"/>
    <d v="2026-04-27T00:00:00"/>
    <x v="0"/>
    <x v="0"/>
    <x v="0"/>
    <m/>
    <m/>
    <m/>
    <m/>
    <m/>
    <m/>
    <m/>
    <m/>
    <m/>
    <m/>
    <m/>
    <m/>
    <m/>
    <m/>
    <m/>
    <m/>
    <m/>
    <m/>
    <m/>
    <m/>
    <m/>
    <m/>
    <m/>
    <m/>
    <m/>
    <m/>
    <m/>
    <m/>
  </r>
  <r>
    <x v="17"/>
    <x v="3"/>
    <x v="5"/>
    <x v="11"/>
    <s v="Packing of AMW 03454 OBC"/>
    <s v="IES"/>
    <s v="Nattachai"/>
    <d v="2026-04-27T00:00:00"/>
    <x v="84"/>
    <d v="2026-04-27T00:00:00"/>
    <x v="0"/>
    <x v="0"/>
    <x v="0"/>
    <m/>
    <m/>
    <m/>
    <m/>
    <m/>
    <m/>
    <m/>
    <m/>
    <m/>
    <m/>
    <m/>
    <m/>
    <m/>
    <m/>
    <m/>
    <m/>
    <m/>
    <m/>
    <m/>
    <m/>
    <m/>
    <m/>
    <m/>
    <m/>
    <m/>
    <m/>
    <m/>
    <m/>
  </r>
  <r>
    <x v="17"/>
    <x v="3"/>
    <x v="5"/>
    <x v="11"/>
    <s v="Confirm NM-Foam C with 10 mm and 5 mm for consume stock"/>
    <s v="Numworks"/>
    <s v="Thiti"/>
    <d v="2026-04-28T00:00:00"/>
    <x v="82"/>
    <d v="2026-04-28T00:00:00"/>
    <x v="0"/>
    <x v="0"/>
    <x v="0"/>
    <m/>
    <m/>
    <m/>
    <m/>
    <m/>
    <m/>
    <m/>
    <m/>
    <m/>
    <m/>
    <m/>
    <m/>
    <m/>
    <m/>
    <m/>
    <m/>
    <m/>
    <m/>
    <m/>
    <m/>
    <m/>
    <m/>
    <m/>
    <m/>
    <m/>
    <m/>
    <m/>
    <m/>
  </r>
  <r>
    <x v="17"/>
    <x v="3"/>
    <x v="5"/>
    <x v="11"/>
    <s v="Packing of AMW 03369 AEG : 28-Apr"/>
    <s v="AEG"/>
    <s v="Thiti"/>
    <d v="2026-04-28T00:00:00"/>
    <x v="82"/>
    <d v="2026-04-28T00:00:00"/>
    <x v="0"/>
    <x v="0"/>
    <x v="0"/>
    <m/>
    <m/>
    <m/>
    <m/>
    <m/>
    <m/>
    <m/>
    <m/>
    <m/>
    <m/>
    <m/>
    <m/>
    <m/>
    <m/>
    <m/>
    <m/>
    <m/>
    <m/>
    <m/>
    <m/>
    <m/>
    <m/>
    <m/>
    <m/>
    <m/>
    <m/>
    <m/>
    <m/>
  </r>
  <r>
    <x v="17"/>
    <x v="3"/>
    <x v="5"/>
    <x v="11"/>
    <s v="Packing of AMW 03369 AEG : 28-Apr"/>
    <s v="AEG"/>
    <s v="Nattachai"/>
    <d v="2026-04-28T00:00:00"/>
    <x v="82"/>
    <d v="2026-04-28T00:00:00"/>
    <x v="0"/>
    <x v="0"/>
    <x v="0"/>
    <m/>
    <m/>
    <m/>
    <m/>
    <m/>
    <m/>
    <m/>
    <m/>
    <m/>
    <m/>
    <m/>
    <m/>
    <m/>
    <m/>
    <m/>
    <m/>
    <m/>
    <m/>
    <m/>
    <m/>
    <m/>
    <m/>
    <m/>
    <m/>
    <m/>
    <m/>
    <m/>
    <m/>
  </r>
  <r>
    <x v="17"/>
    <x v="3"/>
    <x v="5"/>
    <x v="11"/>
    <s v="Packing of AMW 03275 AEG : 28-Apr"/>
    <s v="AEG"/>
    <s v="Thiti"/>
    <d v="2026-04-28T00:00:00"/>
    <x v="82"/>
    <d v="2026-04-28T00:00:00"/>
    <x v="0"/>
    <x v="0"/>
    <x v="0"/>
    <m/>
    <m/>
    <m/>
    <m/>
    <m/>
    <m/>
    <m/>
    <m/>
    <m/>
    <m/>
    <m/>
    <m/>
    <m/>
    <m/>
    <m/>
    <m/>
    <m/>
    <m/>
    <m/>
    <m/>
    <m/>
    <m/>
    <m/>
    <m/>
    <m/>
    <m/>
    <m/>
    <m/>
  </r>
  <r>
    <x v="17"/>
    <x v="3"/>
    <x v="5"/>
    <x v="11"/>
    <s v="Packing of AMW 03275 AEG : 28-Apr"/>
    <s v="AEG"/>
    <s v="Nattachai"/>
    <d v="2026-04-28T00:00:00"/>
    <x v="82"/>
    <d v="2026-04-28T00:00:00"/>
    <x v="0"/>
    <x v="0"/>
    <x v="0"/>
    <m/>
    <m/>
    <m/>
    <m/>
    <m/>
    <m/>
    <m/>
    <m/>
    <m/>
    <m/>
    <m/>
    <m/>
    <m/>
    <m/>
    <m/>
    <m/>
    <m/>
    <m/>
    <m/>
    <m/>
    <m/>
    <m/>
    <m/>
    <m/>
    <m/>
    <m/>
    <m/>
    <m/>
  </r>
  <r>
    <x v="12"/>
    <x v="3"/>
    <x v="0"/>
    <x v="0"/>
    <s v="Support confirm ID box of master carton numworks"/>
    <s v="Numworks"/>
    <s v="Bunnarak"/>
    <d v="2026-04-20T00:00:00"/>
    <x v="77"/>
    <d v="2026-04-20T00:00:00"/>
    <x v="0"/>
    <x v="0"/>
    <x v="0"/>
    <m/>
    <m/>
    <m/>
    <m/>
    <m/>
    <m/>
    <m/>
    <m/>
    <m/>
    <m/>
    <m/>
    <m/>
    <m/>
    <m/>
    <m/>
    <m/>
    <m/>
    <m/>
    <m/>
    <m/>
    <m/>
    <m/>
    <m/>
    <m/>
    <m/>
    <m/>
    <m/>
    <m/>
  </r>
  <r>
    <x v="12"/>
    <x v="3"/>
    <x v="0"/>
    <x v="0"/>
    <s v="AMW 03577 support cutting partition"/>
    <s v="Fonroche"/>
    <s v="Nattachai"/>
    <d v="2026-04-21T00:00:00"/>
    <x v="75"/>
    <d v="2026-04-21T00:00:00"/>
    <x v="0"/>
    <x v="0"/>
    <x v="0"/>
    <m/>
    <m/>
    <m/>
    <m/>
    <m/>
    <m/>
    <m/>
    <m/>
    <m/>
    <m/>
    <m/>
    <m/>
    <m/>
    <m/>
    <m/>
    <m/>
    <m/>
    <m/>
    <m/>
    <m/>
    <m/>
    <m/>
    <m/>
    <m/>
    <m/>
    <m/>
    <m/>
    <m/>
  </r>
  <r>
    <x v="12"/>
    <x v="3"/>
    <x v="5"/>
    <x v="11"/>
    <s v="Design packing AMW 03189 Viper"/>
    <s v="Enersys"/>
    <s v="Thiti"/>
    <d v="2026-04-23T00:00:00"/>
    <x v="78"/>
    <d v="2026-04-23T00:00:00"/>
    <x v="0"/>
    <x v="0"/>
    <x v="0"/>
    <m/>
    <m/>
    <m/>
    <m/>
    <m/>
    <m/>
    <m/>
    <m/>
    <m/>
    <m/>
    <m/>
    <m/>
    <m/>
    <m/>
    <m/>
    <m/>
    <m/>
    <m/>
    <m/>
    <m/>
    <m/>
    <m/>
    <m/>
    <m/>
    <m/>
    <m/>
    <m/>
    <m/>
  </r>
  <r>
    <x v="12"/>
    <x v="3"/>
    <x v="5"/>
    <x v="11"/>
    <s v="Design packing AMW 03614 Viper"/>
    <s v="Enersys"/>
    <s v="Thiti"/>
    <d v="2026-04-23T00:00:00"/>
    <x v="78"/>
    <d v="2026-04-23T00:00:00"/>
    <x v="0"/>
    <x v="0"/>
    <x v="0"/>
    <m/>
    <m/>
    <m/>
    <m/>
    <m/>
    <m/>
    <m/>
    <m/>
    <m/>
    <m/>
    <m/>
    <m/>
    <m/>
    <m/>
    <m/>
    <m/>
    <m/>
    <m/>
    <m/>
    <m/>
    <m/>
    <m/>
    <m/>
    <m/>
    <m/>
    <m/>
    <m/>
    <m/>
  </r>
  <r>
    <x v="17"/>
    <x v="3"/>
    <x v="6"/>
    <x v="12"/>
    <s v="AMW 03551 - AMW-QUO733 rev06 RFQ Packing"/>
    <s v="Atlantic"/>
    <s v="Chutiporn"/>
    <d v="2026-04-30T00:00:00"/>
    <x v="85"/>
    <d v="2026-05-05T00:00:00"/>
    <x v="0"/>
    <x v="0"/>
    <x v="0"/>
    <m/>
    <m/>
    <m/>
    <m/>
    <m/>
    <m/>
    <m/>
    <m/>
    <m/>
    <m/>
    <m/>
    <m/>
    <m/>
    <m/>
    <m/>
    <m/>
    <m/>
    <m/>
    <m/>
    <m/>
    <m/>
    <m/>
    <m/>
    <m/>
    <m/>
    <m/>
    <m/>
    <m/>
  </r>
  <r>
    <x v="17"/>
    <x v="3"/>
    <x v="7"/>
    <x v="24"/>
    <s v="Review Numwork Battery -- alternative source from ZD"/>
    <s v="Numworks"/>
    <s v="Thiti"/>
    <d v="2026-04-28T00:00:00"/>
    <x v="80"/>
    <d v="2026-04-29T00:00:00"/>
    <x v="0"/>
    <x v="0"/>
    <x v="0"/>
    <m/>
    <m/>
    <m/>
    <m/>
    <m/>
    <m/>
    <m/>
    <m/>
    <m/>
    <m/>
    <m/>
    <m/>
    <m/>
    <m/>
    <m/>
    <m/>
    <m/>
    <m/>
    <m/>
    <m/>
    <m/>
    <m/>
    <m/>
    <m/>
    <m/>
    <m/>
    <m/>
    <m/>
  </r>
  <r>
    <x v="15"/>
    <x v="4"/>
    <x v="3"/>
    <x v="6"/>
    <s v="1st Standalone Internal DFM mold review"/>
    <s v="Enersys"/>
    <s v="Bunnarak"/>
    <d v="2026-05-11T00:00:00"/>
    <x v="86"/>
    <d v="2026-05-11T00:00:00"/>
    <x v="0"/>
    <x v="0"/>
    <x v="0"/>
    <m/>
    <m/>
    <m/>
    <m/>
    <m/>
    <m/>
    <m/>
    <m/>
    <m/>
    <m/>
    <m/>
    <m/>
    <m/>
    <m/>
    <m/>
    <m/>
    <m/>
    <m/>
    <m/>
    <m/>
    <m/>
    <m/>
    <m/>
    <m/>
    <m/>
    <m/>
    <m/>
    <m/>
  </r>
  <r>
    <x v="15"/>
    <x v="4"/>
    <x v="3"/>
    <x v="6"/>
    <s v="1st Standalone DFM mold meeting"/>
    <s v="Enersys"/>
    <s v="Bunnarak"/>
    <d v="2026-05-11T00:00:00"/>
    <x v="86"/>
    <d v="2026-05-11T00:00:00"/>
    <x v="0"/>
    <x v="0"/>
    <x v="0"/>
    <m/>
    <m/>
    <m/>
    <m/>
    <m/>
    <m/>
    <m/>
    <m/>
    <m/>
    <m/>
    <m/>
    <m/>
    <m/>
    <m/>
    <m/>
    <m/>
    <m/>
    <m/>
    <m/>
    <m/>
    <m/>
    <m/>
    <m/>
    <m/>
    <m/>
    <m/>
    <m/>
    <m/>
  </r>
  <r>
    <x v="15"/>
    <x v="4"/>
    <x v="3"/>
    <x v="6"/>
    <s v="2nd Standalone Internal DFM mold review"/>
    <s v="Enersys"/>
    <s v="Bunnarak"/>
    <d v="2026-05-12T00:00:00"/>
    <x v="66"/>
    <d v="2026-05-12T00:00:00"/>
    <x v="0"/>
    <x v="0"/>
    <x v="0"/>
    <m/>
    <m/>
    <m/>
    <m/>
    <m/>
    <m/>
    <m/>
    <m/>
    <m/>
    <m/>
    <m/>
    <m/>
    <m/>
    <m/>
    <m/>
    <m/>
    <m/>
    <m/>
    <m/>
    <m/>
    <m/>
    <m/>
    <m/>
    <m/>
    <m/>
    <m/>
    <m/>
    <m/>
  </r>
  <r>
    <x v="15"/>
    <x v="4"/>
    <x v="3"/>
    <x v="6"/>
    <s v="2nd Standalone DFM mold review"/>
    <s v="Enersys"/>
    <s v="Bunnarak"/>
    <d v="2026-05-12T00:00:00"/>
    <x v="66"/>
    <d v="2026-05-12T00:00:00"/>
    <x v="0"/>
    <x v="0"/>
    <x v="0"/>
    <m/>
    <m/>
    <m/>
    <m/>
    <m/>
    <m/>
    <m/>
    <m/>
    <m/>
    <m/>
    <m/>
    <m/>
    <m/>
    <m/>
    <m/>
    <m/>
    <m/>
    <m/>
    <m/>
    <m/>
    <m/>
    <m/>
    <m/>
    <m/>
    <m/>
    <m/>
    <m/>
    <m/>
  </r>
  <r>
    <x v="15"/>
    <x v="4"/>
    <x v="3"/>
    <x v="6"/>
    <s v="1st 6bays Internal DFM mold review"/>
    <s v="Enersys"/>
    <s v="Bunnarak"/>
    <d v="2026-05-13T00:00:00"/>
    <x v="67"/>
    <d v="2026-05-13T00:00:00"/>
    <x v="0"/>
    <x v="0"/>
    <x v="0"/>
    <m/>
    <m/>
    <m/>
    <m/>
    <m/>
    <m/>
    <m/>
    <m/>
    <m/>
    <m/>
    <m/>
    <m/>
    <m/>
    <m/>
    <m/>
    <m/>
    <m/>
    <m/>
    <m/>
    <m/>
    <m/>
    <m/>
    <m/>
    <m/>
    <m/>
    <m/>
    <m/>
    <m/>
  </r>
  <r>
    <x v="15"/>
    <x v="4"/>
    <x v="3"/>
    <x v="6"/>
    <s v="1st 6Bays DFM mold review"/>
    <s v="Enersys"/>
    <s v="Bunnarak"/>
    <d v="2026-05-13T00:00:00"/>
    <x v="67"/>
    <d v="2026-05-13T00:00:00"/>
    <x v="0"/>
    <x v="0"/>
    <x v="0"/>
    <m/>
    <m/>
    <m/>
    <m/>
    <m/>
    <m/>
    <m/>
    <m/>
    <m/>
    <m/>
    <m/>
    <m/>
    <m/>
    <m/>
    <m/>
    <m/>
    <m/>
    <m/>
    <m/>
    <m/>
    <m/>
    <m/>
    <m/>
    <m/>
    <m/>
    <m/>
    <m/>
    <m/>
  </r>
  <r>
    <x v="15"/>
    <x v="4"/>
    <x v="3"/>
    <x v="6"/>
    <s v="2nd 6Bays Internal DFM mold review"/>
    <s v="Enersys"/>
    <s v="Bunnarak"/>
    <d v="2026-05-15T00:00:00"/>
    <x v="68"/>
    <d v="2026-05-15T00:00:00"/>
    <x v="0"/>
    <x v="0"/>
    <x v="0"/>
    <m/>
    <m/>
    <m/>
    <m/>
    <m/>
    <m/>
    <m/>
    <m/>
    <m/>
    <m/>
    <m/>
    <m/>
    <m/>
    <m/>
    <m/>
    <m/>
    <m/>
    <m/>
    <m/>
    <m/>
    <m/>
    <m/>
    <m/>
    <m/>
    <m/>
    <m/>
    <m/>
    <m/>
  </r>
  <r>
    <x v="15"/>
    <x v="4"/>
    <x v="3"/>
    <x v="6"/>
    <s v="1st Standalone Internal DFM mold review"/>
    <s v="Enersys"/>
    <s v="Thiti"/>
    <d v="2026-05-11T00:00:00"/>
    <x v="86"/>
    <d v="2026-05-11T00:00:00"/>
    <x v="0"/>
    <x v="0"/>
    <x v="0"/>
    <m/>
    <m/>
    <m/>
    <m/>
    <m/>
    <m/>
    <m/>
    <m/>
    <m/>
    <m/>
    <m/>
    <m/>
    <m/>
    <m/>
    <m/>
    <m/>
    <m/>
    <m/>
    <m/>
    <m/>
    <m/>
    <m/>
    <m/>
    <m/>
    <m/>
    <m/>
    <m/>
    <m/>
  </r>
  <r>
    <x v="15"/>
    <x v="4"/>
    <x v="3"/>
    <x v="6"/>
    <s v="1st Standalone DFM mold meeting"/>
    <s v="Enersys"/>
    <s v="Thiti"/>
    <d v="2026-05-11T00:00:00"/>
    <x v="86"/>
    <d v="2026-05-11T00:00:00"/>
    <x v="0"/>
    <x v="0"/>
    <x v="0"/>
    <m/>
    <m/>
    <m/>
    <m/>
    <m/>
    <m/>
    <m/>
    <m/>
    <m/>
    <m/>
    <m/>
    <m/>
    <m/>
    <m/>
    <m/>
    <m/>
    <m/>
    <m/>
    <m/>
    <m/>
    <m/>
    <m/>
    <m/>
    <m/>
    <m/>
    <m/>
    <m/>
    <m/>
  </r>
  <r>
    <x v="15"/>
    <x v="4"/>
    <x v="3"/>
    <x v="6"/>
    <s v="2nd Standalone Internal DFM mold review"/>
    <s v="Enersys"/>
    <s v="Thiti"/>
    <d v="2026-05-12T00:00:00"/>
    <x v="66"/>
    <d v="2026-05-12T00:00:00"/>
    <x v="0"/>
    <x v="0"/>
    <x v="0"/>
    <m/>
    <m/>
    <m/>
    <m/>
    <m/>
    <m/>
    <m/>
    <m/>
    <m/>
    <m/>
    <m/>
    <m/>
    <m/>
    <m/>
    <m/>
    <m/>
    <m/>
    <m/>
    <m/>
    <m/>
    <m/>
    <m/>
    <m/>
    <m/>
    <m/>
    <m/>
    <m/>
    <m/>
  </r>
  <r>
    <x v="15"/>
    <x v="4"/>
    <x v="3"/>
    <x v="6"/>
    <s v="2nd Standalone DFM mold review"/>
    <s v="Enersys"/>
    <s v="Thiti"/>
    <d v="2026-05-12T00:00:00"/>
    <x v="66"/>
    <d v="2026-05-12T00:00:00"/>
    <x v="0"/>
    <x v="0"/>
    <x v="0"/>
    <m/>
    <m/>
    <m/>
    <m/>
    <m/>
    <m/>
    <m/>
    <m/>
    <m/>
    <m/>
    <m/>
    <m/>
    <m/>
    <m/>
    <m/>
    <m/>
    <m/>
    <m/>
    <m/>
    <m/>
    <m/>
    <m/>
    <m/>
    <m/>
    <m/>
    <m/>
    <m/>
    <m/>
  </r>
  <r>
    <x v="15"/>
    <x v="4"/>
    <x v="3"/>
    <x v="6"/>
    <s v="1st 6bays Internal DFM mold review"/>
    <s v="Enersys"/>
    <s v="Thiti"/>
    <d v="2026-05-13T00:00:00"/>
    <x v="67"/>
    <d v="2026-05-13T00:00:00"/>
    <x v="0"/>
    <x v="0"/>
    <x v="0"/>
    <m/>
    <m/>
    <m/>
    <m/>
    <m/>
    <m/>
    <m/>
    <m/>
    <m/>
    <m/>
    <m/>
    <m/>
    <m/>
    <m/>
    <m/>
    <m/>
    <m/>
    <m/>
    <m/>
    <m/>
    <m/>
    <m/>
    <m/>
    <m/>
    <m/>
    <m/>
    <m/>
    <m/>
  </r>
  <r>
    <x v="15"/>
    <x v="4"/>
    <x v="3"/>
    <x v="6"/>
    <s v="1st 6Bays DFM mold review"/>
    <s v="Enersys"/>
    <s v="Thiti"/>
    <d v="2026-05-13T00:00:00"/>
    <x v="67"/>
    <d v="2026-05-13T00:00:00"/>
    <x v="0"/>
    <x v="0"/>
    <x v="0"/>
    <m/>
    <m/>
    <m/>
    <m/>
    <m/>
    <m/>
    <m/>
    <m/>
    <m/>
    <m/>
    <m/>
    <m/>
    <m/>
    <m/>
    <m/>
    <m/>
    <m/>
    <m/>
    <m/>
    <m/>
    <m/>
    <m/>
    <m/>
    <m/>
    <m/>
    <m/>
    <m/>
    <m/>
  </r>
  <r>
    <x v="15"/>
    <x v="4"/>
    <x v="3"/>
    <x v="6"/>
    <s v="1st Standalone Internal DFM mold review"/>
    <s v="Enersys"/>
    <s v="Tae"/>
    <d v="2026-05-11T00:00:00"/>
    <x v="86"/>
    <d v="2026-05-11T00:00:00"/>
    <x v="0"/>
    <x v="0"/>
    <x v="0"/>
    <m/>
    <m/>
    <m/>
    <m/>
    <m/>
    <m/>
    <m/>
    <m/>
    <m/>
    <m/>
    <m/>
    <m/>
    <m/>
    <m/>
    <m/>
    <m/>
    <m/>
    <m/>
    <m/>
    <m/>
    <m/>
    <m/>
    <m/>
    <m/>
    <m/>
    <m/>
    <m/>
    <m/>
  </r>
  <r>
    <x v="15"/>
    <x v="4"/>
    <x v="3"/>
    <x v="6"/>
    <s v="1st Standalone DFM mold meeting"/>
    <s v="Enersys"/>
    <s v="Tae"/>
    <d v="2026-05-11T00:00:00"/>
    <x v="86"/>
    <d v="2026-05-11T00:00:00"/>
    <x v="0"/>
    <x v="0"/>
    <x v="0"/>
    <m/>
    <m/>
    <m/>
    <m/>
    <m/>
    <m/>
    <m/>
    <m/>
    <m/>
    <m/>
    <m/>
    <m/>
    <m/>
    <m/>
    <m/>
    <m/>
    <m/>
    <m/>
    <m/>
    <m/>
    <m/>
    <m/>
    <m/>
    <m/>
    <m/>
    <m/>
    <m/>
    <m/>
  </r>
  <r>
    <x v="15"/>
    <x v="4"/>
    <x v="3"/>
    <x v="6"/>
    <s v="2nd Standalone Internal DFM mold review"/>
    <s v="Enersys"/>
    <s v="Tae"/>
    <d v="2026-05-12T00:00:00"/>
    <x v="66"/>
    <d v="2026-05-12T00:00:00"/>
    <x v="0"/>
    <x v="0"/>
    <x v="0"/>
    <m/>
    <m/>
    <m/>
    <m/>
    <m/>
    <m/>
    <m/>
    <m/>
    <m/>
    <m/>
    <m/>
    <m/>
    <m/>
    <m/>
    <m/>
    <m/>
    <m/>
    <m/>
    <m/>
    <m/>
    <m/>
    <m/>
    <m/>
    <m/>
    <m/>
    <m/>
    <m/>
    <m/>
  </r>
  <r>
    <x v="15"/>
    <x v="4"/>
    <x v="3"/>
    <x v="6"/>
    <s v="2nd Standalone DFM mold meeting"/>
    <s v="Enersys"/>
    <s v="Tae"/>
    <d v="2026-05-12T00:00:00"/>
    <x v="66"/>
    <d v="2026-05-12T00:00:00"/>
    <x v="0"/>
    <x v="0"/>
    <x v="0"/>
    <m/>
    <m/>
    <m/>
    <m/>
    <m/>
    <m/>
    <m/>
    <m/>
    <m/>
    <m/>
    <m/>
    <m/>
    <m/>
    <m/>
    <m/>
    <m/>
    <m/>
    <m/>
    <m/>
    <m/>
    <m/>
    <m/>
    <m/>
    <m/>
    <m/>
    <m/>
    <m/>
    <m/>
  </r>
  <r>
    <x v="15"/>
    <x v="4"/>
    <x v="3"/>
    <x v="6"/>
    <s v="2nd Standalone Internal DFM mold review"/>
    <s v="Enersys"/>
    <s v="Tae"/>
    <d v="2026-05-12T00:00:00"/>
    <x v="66"/>
    <d v="2026-05-12T00:00:00"/>
    <x v="0"/>
    <x v="0"/>
    <x v="0"/>
    <m/>
    <m/>
    <m/>
    <m/>
    <m/>
    <m/>
    <m/>
    <m/>
    <m/>
    <m/>
    <m/>
    <m/>
    <m/>
    <m/>
    <m/>
    <m/>
    <m/>
    <m/>
    <m/>
    <m/>
    <m/>
    <m/>
    <m/>
    <m/>
    <m/>
    <m/>
    <m/>
    <m/>
  </r>
  <r>
    <x v="15"/>
    <x v="4"/>
    <x v="3"/>
    <x v="6"/>
    <s v="1st 6bays Internal DFM mold review"/>
    <s v="Enersys"/>
    <s v="Tae"/>
    <d v="2026-05-13T00:00:00"/>
    <x v="67"/>
    <d v="2026-05-13T00:00:00"/>
    <x v="0"/>
    <x v="0"/>
    <x v="0"/>
    <m/>
    <m/>
    <m/>
    <m/>
    <m/>
    <m/>
    <m/>
    <m/>
    <m/>
    <m/>
    <m/>
    <m/>
    <m/>
    <m/>
    <m/>
    <m/>
    <m/>
    <m/>
    <m/>
    <m/>
    <m/>
    <m/>
    <m/>
    <m/>
    <m/>
    <m/>
    <m/>
    <m/>
  </r>
  <r>
    <x v="15"/>
    <x v="4"/>
    <x v="3"/>
    <x v="6"/>
    <s v="1st 6bays  DFM mold meeting"/>
    <s v="Enersys"/>
    <s v="Tae"/>
    <d v="2026-05-13T00:00:00"/>
    <x v="67"/>
    <d v="2026-05-13T00:00:00"/>
    <x v="0"/>
    <x v="0"/>
    <x v="0"/>
    <m/>
    <m/>
    <m/>
    <m/>
    <m/>
    <m/>
    <m/>
    <m/>
    <m/>
    <m/>
    <m/>
    <m/>
    <m/>
    <m/>
    <m/>
    <m/>
    <m/>
    <m/>
    <m/>
    <m/>
    <m/>
    <m/>
    <m/>
    <m/>
    <m/>
    <m/>
    <m/>
    <m/>
  </r>
  <r>
    <x v="15"/>
    <x v="4"/>
    <x v="3"/>
    <x v="5"/>
    <s v="Review steel bar DFM part for localization"/>
    <s v="Gutor"/>
    <s v="Tae"/>
    <d v="2026-05-14T00:00:00"/>
    <x v="68"/>
    <d v="2026-05-15T00:00:00"/>
    <x v="0"/>
    <x v="0"/>
    <x v="0"/>
    <m/>
    <m/>
    <m/>
    <m/>
    <m/>
    <m/>
    <m/>
    <m/>
    <m/>
    <m/>
    <m/>
    <m/>
    <m/>
    <m/>
    <m/>
    <m/>
    <m/>
    <m/>
    <m/>
    <m/>
    <m/>
    <m/>
    <m/>
    <m/>
    <m/>
    <m/>
    <m/>
    <m/>
  </r>
  <r>
    <x v="15"/>
    <x v="4"/>
    <x v="3"/>
    <x v="5"/>
    <s v="Review Heatsink DFM part for localization"/>
    <s v="Gutor"/>
    <s v="Tae"/>
    <d v="2026-05-14T00:00:00"/>
    <x v="68"/>
    <d v="2026-05-15T00:00:00"/>
    <x v="0"/>
    <x v="0"/>
    <x v="0"/>
    <m/>
    <m/>
    <m/>
    <m/>
    <m/>
    <m/>
    <m/>
    <m/>
    <m/>
    <m/>
    <m/>
    <m/>
    <m/>
    <m/>
    <m/>
    <m/>
    <m/>
    <m/>
    <m/>
    <m/>
    <m/>
    <m/>
    <m/>
    <m/>
    <m/>
    <m/>
    <m/>
    <m/>
  </r>
  <r>
    <x v="15"/>
    <x v="4"/>
    <x v="3"/>
    <x v="6"/>
    <s v="2nd 6Bays Internal DFM mold review"/>
    <s v="Enersys"/>
    <s v="Tae"/>
    <d v="2026-05-15T00:00:00"/>
    <x v="68"/>
    <d v="2026-05-15T00:00:00"/>
    <x v="0"/>
    <x v="0"/>
    <x v="0"/>
    <m/>
    <m/>
    <m/>
    <m/>
    <m/>
    <m/>
    <m/>
    <m/>
    <m/>
    <m/>
    <m/>
    <m/>
    <m/>
    <m/>
    <m/>
    <m/>
    <m/>
    <m/>
    <m/>
    <m/>
    <m/>
    <m/>
    <m/>
    <m/>
    <m/>
    <m/>
    <m/>
    <m/>
  </r>
  <r>
    <x v="18"/>
    <x v="4"/>
    <x v="3"/>
    <x v="6"/>
    <s v="2nd 6Bays Internal DFM mold meeting"/>
    <s v="Enersys"/>
    <s v="Tae"/>
    <d v="2026-05-18T00:00:00"/>
    <x v="87"/>
    <d v="2026-05-18T00:00:00"/>
    <x v="0"/>
    <x v="0"/>
    <x v="0"/>
    <m/>
    <m/>
    <m/>
    <m/>
    <m/>
    <m/>
    <m/>
    <m/>
    <m/>
    <m/>
    <m/>
    <m/>
    <m/>
    <m/>
    <m/>
    <m/>
    <m/>
    <m/>
    <m/>
    <m/>
    <m/>
    <m/>
    <m/>
    <m/>
    <m/>
    <m/>
    <m/>
    <m/>
  </r>
  <r>
    <x v="15"/>
    <x v="4"/>
    <x v="6"/>
    <x v="12"/>
    <s v="AMW QUO958 Rev01"/>
    <s v="MG Development"/>
    <s v="Chutiporn"/>
    <d v="2026-05-11T00:00:00"/>
    <x v="67"/>
    <d v="2026-05-13T00:00:00"/>
    <x v="0"/>
    <x v="0"/>
    <x v="0"/>
    <m/>
    <m/>
    <m/>
    <m/>
    <m/>
    <m/>
    <m/>
    <m/>
    <m/>
    <m/>
    <m/>
    <m/>
    <m/>
    <m/>
    <m/>
    <m/>
    <m/>
    <m/>
    <m/>
    <m/>
    <m/>
    <m/>
    <m/>
    <m/>
    <m/>
    <m/>
    <m/>
    <m/>
  </r>
  <r>
    <x v="15"/>
    <x v="4"/>
    <x v="6"/>
    <x v="12"/>
    <s v=" AMW-QUO957 Rev01.01 RFQ Packing"/>
    <s v="Digital Power Systems "/>
    <s v="Chutiporn"/>
    <d v="2026-05-12T00:00:00"/>
    <x v="88"/>
    <d v="2026-05-14T00:00:00"/>
    <x v="0"/>
    <x v="0"/>
    <x v="0"/>
    <m/>
    <m/>
    <m/>
    <m/>
    <m/>
    <m/>
    <m/>
    <m/>
    <m/>
    <m/>
    <m/>
    <m/>
    <m/>
    <m/>
    <m/>
    <m/>
    <m/>
    <m/>
    <m/>
    <m/>
    <m/>
    <m/>
    <m/>
    <m/>
    <m/>
    <m/>
    <m/>
    <m/>
  </r>
  <r>
    <x v="15"/>
    <x v="4"/>
    <x v="5"/>
    <x v="9"/>
    <s v="AMW 03545-OBC Elips720 for IES_Redesign of Packing Concept"/>
    <s v="IES"/>
    <s v="Chutiporn"/>
    <d v="2026-05-13T00:00:00"/>
    <x v="68"/>
    <d v="2026-05-15T00:00:00"/>
    <x v="0"/>
    <x v="0"/>
    <x v="0"/>
    <m/>
    <m/>
    <m/>
    <m/>
    <m/>
    <m/>
    <m/>
    <m/>
    <m/>
    <m/>
    <m/>
    <m/>
    <m/>
    <m/>
    <m/>
    <m/>
    <m/>
    <m/>
    <m/>
    <m/>
    <m/>
    <m/>
    <m/>
    <m/>
    <m/>
    <m/>
    <m/>
    <m/>
  </r>
  <r>
    <x v="18"/>
    <x v="4"/>
    <x v="0"/>
    <x v="0"/>
    <s v="Support customer STIWA "/>
    <s v="Stiwa"/>
    <s v="Bunnarak"/>
    <d v="2026-05-19T00:00:00"/>
    <x v="89"/>
    <d v="2026-05-21T00:00:00"/>
    <x v="0"/>
    <x v="0"/>
    <x v="0"/>
    <m/>
    <m/>
    <m/>
    <m/>
    <m/>
    <m/>
    <m/>
    <m/>
    <m/>
    <m/>
    <m/>
    <m/>
    <m/>
    <m/>
    <m/>
    <m/>
    <m/>
    <m/>
    <m/>
    <m/>
    <m/>
    <m/>
    <m/>
    <m/>
    <m/>
    <m/>
    <m/>
    <m/>
  </r>
  <r>
    <x v="18"/>
    <x v="4"/>
    <x v="3"/>
    <x v="6"/>
    <s v="Review the new proposal of project updated and timeline for the stand alone project. "/>
    <s v="Enersys"/>
    <s v="Bunnarak"/>
    <d v="2026-05-21T00:00:00"/>
    <x v="89"/>
    <d v="2026-05-21T00:00:00"/>
    <x v="0"/>
    <x v="0"/>
    <x v="0"/>
    <m/>
    <m/>
    <m/>
    <m/>
    <m/>
    <m/>
    <m/>
    <m/>
    <m/>
    <m/>
    <m/>
    <m/>
    <m/>
    <m/>
    <m/>
    <m/>
    <m/>
    <m/>
    <m/>
    <m/>
    <m/>
    <m/>
    <m/>
    <m/>
    <m/>
    <m/>
    <m/>
    <m/>
  </r>
  <r>
    <x v="18"/>
    <x v="4"/>
    <x v="1"/>
    <x v="2"/>
    <s v="AMW QUO961 EMERSON project alignment"/>
    <s v="Emerson"/>
    <s v="Bunnarak"/>
    <d v="2026-05-22T00:00:00"/>
    <x v="90"/>
    <d v="2026-05-22T00:00:00"/>
    <x v="0"/>
    <x v="0"/>
    <x v="0"/>
    <m/>
    <m/>
    <m/>
    <m/>
    <m/>
    <m/>
    <m/>
    <m/>
    <m/>
    <m/>
    <m/>
    <m/>
    <m/>
    <m/>
    <m/>
    <m/>
    <m/>
    <m/>
    <m/>
    <m/>
    <m/>
    <m/>
    <m/>
    <m/>
    <m/>
    <m/>
    <m/>
    <m/>
  </r>
  <r>
    <x v="18"/>
    <x v="4"/>
    <x v="3"/>
    <x v="6"/>
    <s v="2nd 6Bays Internal DFM mold meeting"/>
    <s v="Enersys"/>
    <s v="Thiti"/>
    <d v="2026-05-18T00:00:00"/>
    <x v="87"/>
    <d v="2026-05-18T00:00:00"/>
    <x v="0"/>
    <x v="0"/>
    <x v="0"/>
    <m/>
    <m/>
    <m/>
    <m/>
    <m/>
    <m/>
    <m/>
    <m/>
    <m/>
    <m/>
    <m/>
    <m/>
    <m/>
    <m/>
    <m/>
    <m/>
    <m/>
    <m/>
    <m/>
    <m/>
    <m/>
    <m/>
    <m/>
    <m/>
    <m/>
    <m/>
    <m/>
    <m/>
  </r>
  <r>
    <x v="18"/>
    <x v="4"/>
    <x v="1"/>
    <x v="2"/>
    <s v="JRI weekly meeting "/>
    <s v="JRI"/>
    <s v="Thiti"/>
    <d v="2026-05-18T00:00:00"/>
    <x v="87"/>
    <d v="2026-05-18T00:00:00"/>
    <x v="0"/>
    <x v="0"/>
    <x v="0"/>
    <m/>
    <m/>
    <m/>
    <m/>
    <m/>
    <m/>
    <m/>
    <m/>
    <m/>
    <m/>
    <m/>
    <m/>
    <m/>
    <m/>
    <m/>
    <m/>
    <m/>
    <m/>
    <m/>
    <m/>
    <m/>
    <m/>
    <m/>
    <m/>
    <m/>
    <m/>
    <m/>
    <m/>
  </r>
  <r>
    <x v="18"/>
    <x v="4"/>
    <x v="3"/>
    <x v="22"/>
    <s v="Plastic for JRI Nano Plug QUO874"/>
    <s v="JRI"/>
    <s v="Thiti"/>
    <d v="2026-05-18T00:00:00"/>
    <x v="83"/>
    <d v="2026-05-19T00:00:00"/>
    <x v="0"/>
    <x v="0"/>
    <x v="0"/>
    <m/>
    <m/>
    <m/>
    <m/>
    <m/>
    <m/>
    <m/>
    <m/>
    <m/>
    <m/>
    <m/>
    <m/>
    <m/>
    <m/>
    <m/>
    <m/>
    <m/>
    <m/>
    <m/>
    <m/>
    <m/>
    <m/>
    <m/>
    <m/>
    <m/>
    <m/>
    <m/>
    <m/>
  </r>
  <r>
    <x v="18"/>
    <x v="4"/>
    <x v="5"/>
    <x v="11"/>
    <s v="Packaging Design of AMW 03207 BOARD VIPER "/>
    <s v="Enersys"/>
    <s v="Thiti"/>
    <d v="2026-05-18T00:00:00"/>
    <x v="83"/>
    <d v="2026-05-19T00:00:00"/>
    <x v="0"/>
    <x v="0"/>
    <x v="0"/>
    <m/>
    <m/>
    <m/>
    <m/>
    <m/>
    <m/>
    <m/>
    <m/>
    <m/>
    <m/>
    <m/>
    <m/>
    <m/>
    <m/>
    <m/>
    <m/>
    <m/>
    <m/>
    <m/>
    <m/>
    <m/>
    <m/>
    <m/>
    <m/>
    <m/>
    <m/>
    <m/>
    <m/>
  </r>
  <r>
    <x v="18"/>
    <x v="4"/>
    <x v="5"/>
    <x v="11"/>
    <s v="Packaging Design of AMW 03661 AEG"/>
    <s v="AEG"/>
    <s v="Thiti"/>
    <d v="2026-05-18T00:00:00"/>
    <x v="83"/>
    <d v="2026-05-19T00:00:00"/>
    <x v="0"/>
    <x v="0"/>
    <x v="0"/>
    <m/>
    <m/>
    <m/>
    <m/>
    <m/>
    <m/>
    <m/>
    <m/>
    <m/>
    <m/>
    <m/>
    <m/>
    <m/>
    <m/>
    <m/>
    <m/>
    <m/>
    <m/>
    <m/>
    <m/>
    <m/>
    <m/>
    <m/>
    <m/>
    <m/>
    <m/>
    <m/>
    <m/>
  </r>
  <r>
    <x v="18"/>
    <x v="4"/>
    <x v="5"/>
    <x v="11"/>
    <s v="Packing of AMW 03520 FONROCHE ( Repacking )"/>
    <s v="Fonroche"/>
    <s v="Thiti"/>
    <d v="2026-05-20T00:00:00"/>
    <x v="91"/>
    <d v="2026-05-20T00:00:00"/>
    <x v="0"/>
    <x v="0"/>
    <x v="0"/>
    <m/>
    <m/>
    <m/>
    <m/>
    <m/>
    <m/>
    <m/>
    <m/>
    <m/>
    <m/>
    <m/>
    <m/>
    <m/>
    <m/>
    <m/>
    <m/>
    <m/>
    <m/>
    <m/>
    <m/>
    <m/>
    <m/>
    <m/>
    <m/>
    <m/>
    <m/>
    <m/>
    <m/>
  </r>
  <r>
    <x v="18"/>
    <x v="4"/>
    <x v="5"/>
    <x v="11"/>
    <s v="Packing of AMW 03521 FONROCHE ( Repacking )"/>
    <s v="Fonroche"/>
    <s v="Thiti"/>
    <d v="2026-05-20T00:00:00"/>
    <x v="91"/>
    <d v="2026-05-20T00:00:00"/>
    <x v="0"/>
    <x v="0"/>
    <x v="0"/>
    <m/>
    <m/>
    <m/>
    <m/>
    <m/>
    <m/>
    <m/>
    <m/>
    <m/>
    <m/>
    <m/>
    <m/>
    <m/>
    <m/>
    <m/>
    <m/>
    <m/>
    <m/>
    <m/>
    <m/>
    <m/>
    <m/>
    <m/>
    <m/>
    <m/>
    <m/>
    <m/>
    <m/>
  </r>
  <r>
    <x v="18"/>
    <x v="4"/>
    <x v="5"/>
    <x v="11"/>
    <s v="Packing of AMW 03207 BOARD VIPER "/>
    <s v="Enersys"/>
    <s v="Thiti"/>
    <d v="2026-05-20T00:00:00"/>
    <x v="91"/>
    <d v="2026-05-20T00:00:00"/>
    <x v="0"/>
    <x v="0"/>
    <x v="0"/>
    <m/>
    <m/>
    <m/>
    <m/>
    <m/>
    <m/>
    <m/>
    <m/>
    <m/>
    <m/>
    <m/>
    <m/>
    <m/>
    <m/>
    <m/>
    <m/>
    <m/>
    <m/>
    <m/>
    <m/>
    <m/>
    <m/>
    <m/>
    <m/>
    <m/>
    <m/>
    <m/>
    <m/>
  </r>
  <r>
    <x v="18"/>
    <x v="4"/>
    <x v="0"/>
    <x v="0"/>
    <s v="Confirm NW-Reset Silicone with NEW grey color "/>
    <s v="Numworks"/>
    <s v="Thiti"/>
    <d v="2026-05-20T00:00:00"/>
    <x v="91"/>
    <d v="2026-05-20T00:00:00"/>
    <x v="0"/>
    <x v="0"/>
    <x v="0"/>
    <m/>
    <m/>
    <m/>
    <m/>
    <m/>
    <m/>
    <m/>
    <m/>
    <m/>
    <m/>
    <m/>
    <m/>
    <m/>
    <m/>
    <m/>
    <m/>
    <m/>
    <m/>
    <m/>
    <m/>
    <m/>
    <m/>
    <m/>
    <m/>
    <m/>
    <m/>
    <m/>
    <m/>
  </r>
  <r>
    <x v="18"/>
    <x v="4"/>
    <x v="5"/>
    <x v="11"/>
    <s v="Packing of AMW 03685 AEG"/>
    <s v="AEG"/>
    <s v="Thiti"/>
    <d v="2026-05-21T00:00:00"/>
    <x v="89"/>
    <d v="2026-05-21T00:00:00"/>
    <x v="0"/>
    <x v="0"/>
    <x v="0"/>
    <m/>
    <m/>
    <m/>
    <m/>
    <m/>
    <m/>
    <m/>
    <m/>
    <m/>
    <m/>
    <m/>
    <m/>
    <m/>
    <m/>
    <m/>
    <m/>
    <m/>
    <m/>
    <m/>
    <m/>
    <m/>
    <m/>
    <m/>
    <m/>
    <m/>
    <m/>
    <m/>
    <m/>
  </r>
  <r>
    <x v="18"/>
    <x v="4"/>
    <x v="5"/>
    <x v="11"/>
    <s v="Packing of AMW 03661 AEG"/>
    <s v="AEG"/>
    <s v="Thiti"/>
    <d v="2026-05-21T00:00:00"/>
    <x v="89"/>
    <d v="2026-05-21T00:00:00"/>
    <x v="0"/>
    <x v="0"/>
    <x v="0"/>
    <m/>
    <m/>
    <m/>
    <m/>
    <m/>
    <m/>
    <m/>
    <m/>
    <m/>
    <m/>
    <m/>
    <m/>
    <m/>
    <m/>
    <m/>
    <m/>
    <m/>
    <m/>
    <m/>
    <m/>
    <m/>
    <m/>
    <m/>
    <m/>
    <m/>
    <m/>
    <m/>
    <m/>
  </r>
  <r>
    <x v="18"/>
    <x v="4"/>
    <x v="5"/>
    <x v="11"/>
    <s v="Packing of AMW 03371 AEG"/>
    <s v="AEG"/>
    <s v="Thiti"/>
    <d v="2026-05-21T00:00:00"/>
    <x v="89"/>
    <d v="2026-05-21T00:00:00"/>
    <x v="0"/>
    <x v="0"/>
    <x v="0"/>
    <m/>
    <m/>
    <m/>
    <m/>
    <m/>
    <m/>
    <m/>
    <m/>
    <m/>
    <m/>
    <m/>
    <m/>
    <m/>
    <m/>
    <m/>
    <m/>
    <m/>
    <m/>
    <m/>
    <m/>
    <m/>
    <m/>
    <m/>
    <m/>
    <m/>
    <m/>
    <m/>
    <m/>
  </r>
  <r>
    <x v="18"/>
    <x v="4"/>
    <x v="3"/>
    <x v="6"/>
    <s v="Review the new proposal of project updated and timeline for the stand alone project. "/>
    <s v="Enersys"/>
    <s v="Thiti"/>
    <d v="2026-05-21T00:00:00"/>
    <x v="89"/>
    <d v="2026-05-21T00:00:00"/>
    <x v="0"/>
    <x v="0"/>
    <x v="0"/>
    <m/>
    <m/>
    <m/>
    <m/>
    <m/>
    <m/>
    <m/>
    <m/>
    <m/>
    <m/>
    <m/>
    <m/>
    <m/>
    <m/>
    <m/>
    <m/>
    <m/>
    <m/>
    <m/>
    <m/>
    <m/>
    <m/>
    <m/>
    <m/>
    <m/>
    <m/>
    <m/>
    <m/>
  </r>
  <r>
    <x v="18"/>
    <x v="4"/>
    <x v="8"/>
    <x v="29"/>
    <s v="Kaizen JIG attached Foam screen NW"/>
    <s v="Numworks"/>
    <s v="Thiti"/>
    <d v="2026-05-20T00:00:00"/>
    <x v="89"/>
    <d v="2026-05-21T00:00:00"/>
    <x v="0"/>
    <x v="0"/>
    <x v="0"/>
    <m/>
    <m/>
    <m/>
    <m/>
    <m/>
    <m/>
    <m/>
    <m/>
    <m/>
    <m/>
    <m/>
    <m/>
    <m/>
    <m/>
    <m/>
    <m/>
    <m/>
    <m/>
    <m/>
    <m/>
    <m/>
    <m/>
    <m/>
    <m/>
    <m/>
    <m/>
    <m/>
    <m/>
  </r>
  <r>
    <x v="18"/>
    <x v="4"/>
    <x v="5"/>
    <x v="11"/>
    <s v="Packing of AMW 03275 AEG"/>
    <s v="AEG"/>
    <s v="Thiti"/>
    <d v="2026-05-22T00:00:00"/>
    <x v="90"/>
    <d v="2026-05-22T00:00:00"/>
    <x v="0"/>
    <x v="0"/>
    <x v="0"/>
    <m/>
    <m/>
    <m/>
    <m/>
    <m/>
    <m/>
    <m/>
    <m/>
    <m/>
    <m/>
    <m/>
    <m/>
    <m/>
    <m/>
    <m/>
    <m/>
    <m/>
    <m/>
    <m/>
    <m/>
    <m/>
    <m/>
    <m/>
    <m/>
    <m/>
    <m/>
    <m/>
    <m/>
  </r>
  <r>
    <x v="18"/>
    <x v="4"/>
    <x v="5"/>
    <x v="11"/>
    <s v="Packing of AMW 03675 LEACH"/>
    <s v="Leach"/>
    <s v="Thiti"/>
    <d v="2026-05-22T00:00:00"/>
    <x v="90"/>
    <d v="2026-05-22T00:00:00"/>
    <x v="0"/>
    <x v="0"/>
    <x v="0"/>
    <m/>
    <m/>
    <m/>
    <m/>
    <m/>
    <m/>
    <m/>
    <m/>
    <m/>
    <m/>
    <m/>
    <m/>
    <m/>
    <m/>
    <m/>
    <m/>
    <m/>
    <m/>
    <m/>
    <m/>
    <m/>
    <m/>
    <m/>
    <m/>
    <m/>
    <m/>
    <m/>
    <m/>
  </r>
  <r>
    <x v="18"/>
    <x v="4"/>
    <x v="3"/>
    <x v="22"/>
    <s v="GUTOR Localization (Heat Sink)_x000b_Drawing comparison between _x000b_Readore and Customer"/>
    <s v="Gutor"/>
    <s v="Tae"/>
    <d v="2026-05-18T00:00:00"/>
    <x v="83"/>
    <d v="2026-05-19T00:00:00"/>
    <x v="0"/>
    <x v="0"/>
    <x v="0"/>
    <m/>
    <m/>
    <m/>
    <m/>
    <m/>
    <m/>
    <m/>
    <m/>
    <m/>
    <m/>
    <m/>
    <m/>
    <m/>
    <m/>
    <m/>
    <m/>
    <m/>
    <m/>
    <m/>
    <m/>
    <m/>
    <m/>
    <m/>
    <m/>
    <m/>
    <m/>
    <m/>
    <m/>
  </r>
  <r>
    <x v="18"/>
    <x v="4"/>
    <x v="3"/>
    <x v="22"/>
    <s v="Metal for JRI Nano plug"/>
    <s v="JRI"/>
    <s v="Tae"/>
    <d v="2026-05-18T00:00:00"/>
    <x v="83"/>
    <d v="2026-05-19T00:00:00"/>
    <x v="0"/>
    <x v="0"/>
    <x v="0"/>
    <m/>
    <m/>
    <m/>
    <m/>
    <m/>
    <m/>
    <m/>
    <m/>
    <m/>
    <m/>
    <m/>
    <m/>
    <m/>
    <m/>
    <m/>
    <m/>
    <m/>
    <m/>
    <m/>
    <m/>
    <m/>
    <m/>
    <m/>
    <m/>
    <m/>
    <m/>
    <m/>
    <m/>
  </r>
  <r>
    <x v="18"/>
    <x v="4"/>
    <x v="3"/>
    <x v="22"/>
    <s v="GUTOR (Heat Sink)_x000b_Drawing comparison between _x000b_New Propose 16 FIN &amp; 851-9876 Rev.02"/>
    <s v="Gutor"/>
    <s v="Tae"/>
    <d v="2026-05-19T00:00:00"/>
    <x v="91"/>
    <d v="2026-05-20T00:00:00"/>
    <x v="0"/>
    <x v="0"/>
    <x v="0"/>
    <m/>
    <m/>
    <m/>
    <m/>
    <m/>
    <m/>
    <m/>
    <m/>
    <m/>
    <m/>
    <m/>
    <m/>
    <m/>
    <m/>
    <m/>
    <m/>
    <m/>
    <m/>
    <m/>
    <m/>
    <m/>
    <m/>
    <m/>
    <m/>
    <m/>
    <m/>
    <m/>
    <m/>
  </r>
  <r>
    <x v="18"/>
    <x v="4"/>
    <x v="5"/>
    <x v="30"/>
    <s v="Prepare Label AMW 03739 AUX Board GL0023748-0000-3.2"/>
    <s v="Enersys"/>
    <s v="Tae"/>
    <d v="2026-05-20T00:00:00"/>
    <x v="89"/>
    <d v="2026-05-20T00:00:00"/>
    <x v="0"/>
    <x v="0"/>
    <x v="0"/>
    <m/>
    <m/>
    <m/>
    <m/>
    <m/>
    <m/>
    <m/>
    <m/>
    <m/>
    <m/>
    <m/>
    <m/>
    <m/>
    <m/>
    <m/>
    <m/>
    <m/>
    <m/>
    <m/>
    <m/>
    <m/>
    <m/>
    <m/>
    <m/>
    <m/>
    <m/>
    <m/>
    <m/>
  </r>
  <r>
    <x v="18"/>
    <x v="4"/>
    <x v="5"/>
    <x v="30"/>
    <s v="Prepare Label  AMW 03206-01-13.5 Backplane GL0014718-0001-13.5"/>
    <s v="Enersys"/>
    <s v="Tae"/>
    <d v="2026-05-20T00:00:00"/>
    <x v="89"/>
    <d v="2026-05-20T00:00:00"/>
    <x v="0"/>
    <x v="0"/>
    <x v="0"/>
    <m/>
    <m/>
    <m/>
    <m/>
    <m/>
    <m/>
    <m/>
    <m/>
    <m/>
    <m/>
    <m/>
    <m/>
    <m/>
    <m/>
    <m/>
    <m/>
    <m/>
    <m/>
    <m/>
    <m/>
    <m/>
    <m/>
    <m/>
    <m/>
    <m/>
    <m/>
    <m/>
    <m/>
  </r>
  <r>
    <x v="18"/>
    <x v="4"/>
    <x v="5"/>
    <x v="30"/>
    <s v="Prepare Label AMW 03209-01-13.5 EMC GL0016316-0001-13.5"/>
    <s v="Enersys"/>
    <s v="Tae"/>
    <d v="2026-05-20T00:00:00"/>
    <x v="89"/>
    <d v="2026-05-20T00:00:00"/>
    <x v="0"/>
    <x v="0"/>
    <x v="0"/>
    <m/>
    <m/>
    <m/>
    <m/>
    <m/>
    <m/>
    <m/>
    <m/>
    <m/>
    <m/>
    <m/>
    <m/>
    <m/>
    <m/>
    <m/>
    <m/>
    <m/>
    <m/>
    <m/>
    <m/>
    <m/>
    <m/>
    <m/>
    <m/>
    <m/>
    <m/>
    <m/>
    <m/>
  </r>
  <r>
    <x v="18"/>
    <x v="4"/>
    <x v="3"/>
    <x v="6"/>
    <s v="Review the new proposal of project updated and timeline for the stand alone project. "/>
    <s v="Enersys"/>
    <s v="Tae"/>
    <d v="2026-05-21T00:00:00"/>
    <x v="89"/>
    <d v="2026-05-21T00:00:00"/>
    <x v="0"/>
    <x v="0"/>
    <x v="0"/>
    <m/>
    <m/>
    <m/>
    <m/>
    <m/>
    <m/>
    <m/>
    <m/>
    <m/>
    <m/>
    <m/>
    <m/>
    <m/>
    <m/>
    <m/>
    <m/>
    <m/>
    <m/>
    <m/>
    <m/>
    <m/>
    <m/>
    <m/>
    <m/>
    <m/>
    <m/>
    <m/>
    <m/>
  </r>
  <r>
    <x v="18"/>
    <x v="4"/>
    <x v="5"/>
    <x v="30"/>
    <s v="Prepare Label AMW 03156-00-13.8 Control Board GL0013339-0000-13.8"/>
    <s v="Enersys"/>
    <s v="Tae"/>
    <d v="2026-05-21T00:00:00"/>
    <x v="90"/>
    <d v="2026-05-20T00:00:00"/>
    <x v="0"/>
    <x v="0"/>
    <x v="0"/>
    <m/>
    <m/>
    <m/>
    <m/>
    <m/>
    <m/>
    <m/>
    <m/>
    <m/>
    <m/>
    <m/>
    <m/>
    <m/>
    <m/>
    <m/>
    <m/>
    <m/>
    <m/>
    <m/>
    <m/>
    <m/>
    <m/>
    <m/>
    <m/>
    <m/>
    <m/>
    <m/>
    <m/>
  </r>
  <r>
    <x v="18"/>
    <x v="4"/>
    <x v="5"/>
    <x v="30"/>
    <s v="Prepare Label AMW 03157-02-13.7 Power Board GL0013336-0002-13.7"/>
    <s v="Enersys"/>
    <s v="Tae"/>
    <d v="2026-05-21T00:00:00"/>
    <x v="90"/>
    <d v="2026-05-20T00:00:00"/>
    <x v="0"/>
    <x v="0"/>
    <x v="0"/>
    <m/>
    <m/>
    <m/>
    <m/>
    <m/>
    <m/>
    <m/>
    <m/>
    <m/>
    <m/>
    <m/>
    <m/>
    <m/>
    <m/>
    <m/>
    <m/>
    <m/>
    <m/>
    <m/>
    <m/>
    <m/>
    <m/>
    <m/>
    <m/>
    <m/>
    <m/>
    <m/>
    <m/>
  </r>
  <r>
    <x v="18"/>
    <x v="4"/>
    <x v="5"/>
    <x v="30"/>
    <s v="Prepare Label AMW 03208-00-8.4 GL0015848-0000 DISPLAY BOARD ENTRY"/>
    <s v="Enersys"/>
    <s v="Tae"/>
    <d v="2026-05-21T00:00:00"/>
    <x v="90"/>
    <d v="2026-05-20T00:00:00"/>
    <x v="0"/>
    <x v="0"/>
    <x v="0"/>
    <m/>
    <m/>
    <m/>
    <m/>
    <m/>
    <m/>
    <m/>
    <m/>
    <m/>
    <m/>
    <m/>
    <m/>
    <m/>
    <m/>
    <m/>
    <m/>
    <m/>
    <m/>
    <m/>
    <m/>
    <m/>
    <m/>
    <m/>
    <m/>
    <m/>
    <m/>
    <m/>
    <m/>
  </r>
  <r>
    <x v="18"/>
    <x v="4"/>
    <x v="5"/>
    <x v="30"/>
    <s v="Label AMW 03577"/>
    <s v="Fonroche"/>
    <s v="Tae"/>
    <d v="2026-05-22T00:00:00"/>
    <x v="92"/>
    <d v="2026-05-25T00:00:00"/>
    <x v="0"/>
    <x v="0"/>
    <x v="0"/>
    <m/>
    <m/>
    <m/>
    <m/>
    <m/>
    <m/>
    <m/>
    <m/>
    <m/>
    <m/>
    <m/>
    <m/>
    <m/>
    <m/>
    <m/>
    <m/>
    <m/>
    <m/>
    <m/>
    <m/>
    <m/>
    <m/>
    <m/>
    <m/>
    <m/>
    <m/>
    <m/>
    <m/>
  </r>
  <r>
    <x v="18"/>
    <x v="4"/>
    <x v="5"/>
    <x v="30"/>
    <s v="Label AMW 03746"/>
    <s v="JRI"/>
    <s v="Tae"/>
    <d v="2026-05-22T00:00:00"/>
    <x v="92"/>
    <d v="2026-05-25T00:00:00"/>
    <x v="0"/>
    <x v="0"/>
    <x v="0"/>
    <m/>
    <m/>
    <m/>
    <m/>
    <m/>
    <m/>
    <m/>
    <m/>
    <m/>
    <m/>
    <m/>
    <m/>
    <m/>
    <m/>
    <m/>
    <m/>
    <m/>
    <m/>
    <m/>
    <m/>
    <m/>
    <m/>
    <m/>
    <m/>
    <m/>
    <m/>
    <m/>
    <m/>
  </r>
  <r>
    <x v="18"/>
    <x v="4"/>
    <x v="5"/>
    <x v="30"/>
    <s v="Label AMW 03668"/>
    <s v="JRI"/>
    <s v="Tae"/>
    <d v="2026-05-22T00:00:00"/>
    <x v="92"/>
    <d v="2026-05-25T00:00:00"/>
    <x v="0"/>
    <x v="0"/>
    <x v="0"/>
    <m/>
    <m/>
    <m/>
    <m/>
    <m/>
    <m/>
    <m/>
    <m/>
    <m/>
    <m/>
    <m/>
    <m/>
    <m/>
    <m/>
    <m/>
    <m/>
    <m/>
    <m/>
    <m/>
    <m/>
    <m/>
    <m/>
    <m/>
    <m/>
    <m/>
    <m/>
    <m/>
    <m/>
  </r>
  <r>
    <x v="19"/>
    <x v="4"/>
    <x v="0"/>
    <x v="31"/>
    <s v="Visit for technical confirmation"/>
    <m/>
    <s v="Tae"/>
    <d v="2026-05-25T00:00:00"/>
    <x v="92"/>
    <d v="2026-05-25T00:00:00"/>
    <x v="0"/>
    <x v="0"/>
    <x v="0"/>
    <m/>
    <m/>
    <m/>
    <m/>
    <m/>
    <m/>
    <m/>
    <m/>
    <m/>
    <m/>
    <m/>
    <m/>
    <m/>
    <m/>
    <m/>
    <m/>
    <m/>
    <m/>
    <m/>
    <m/>
    <m/>
    <m/>
    <m/>
    <m/>
    <m/>
    <m/>
    <m/>
    <m/>
  </r>
  <r>
    <x v="19"/>
    <x v="4"/>
    <x v="2"/>
    <x v="3"/>
    <s v="Confirm Heat sink quotation_DONGGUAN READORE"/>
    <s v="Gutor"/>
    <s v="Tae"/>
    <d v="2026-05-25T00:00:00"/>
    <x v="93"/>
    <d v="2026-05-26T00:00:00"/>
    <x v="0"/>
    <x v="0"/>
    <x v="0"/>
    <m/>
    <m/>
    <m/>
    <m/>
    <m/>
    <m/>
    <m/>
    <m/>
    <m/>
    <m/>
    <m/>
    <m/>
    <m/>
    <m/>
    <m/>
    <m/>
    <m/>
    <m/>
    <m/>
    <m/>
    <m/>
    <m/>
    <m/>
    <m/>
    <m/>
    <m/>
    <m/>
    <m/>
  </r>
  <r>
    <x v="19"/>
    <x v="4"/>
    <x v="2"/>
    <x v="3"/>
    <s v="GUTOR Localization and Cost reduction timeline (Metal bar)"/>
    <s v="Gutor"/>
    <s v="Tae"/>
    <d v="2026-05-25T00:00:00"/>
    <x v="93"/>
    <d v="2026-05-26T00:00:00"/>
    <x v="0"/>
    <x v="0"/>
    <x v="0"/>
    <m/>
    <m/>
    <m/>
    <m/>
    <m/>
    <m/>
    <m/>
    <m/>
    <m/>
    <m/>
    <m/>
    <m/>
    <m/>
    <m/>
    <m/>
    <m/>
    <m/>
    <m/>
    <m/>
    <m/>
    <m/>
    <m/>
    <m/>
    <m/>
    <m/>
    <m/>
    <m/>
    <m/>
  </r>
  <r>
    <x v="19"/>
    <x v="4"/>
    <x v="3"/>
    <x v="6"/>
    <s v="Follow up DFM Viper Stand-alone &amp; 6 Bays"/>
    <s v="Enersys"/>
    <s v="Tae"/>
    <d v="2026-05-27T00:00:00"/>
    <x v="94"/>
    <d v="2026-05-27T00:00:00"/>
    <x v="0"/>
    <x v="0"/>
    <x v="0"/>
    <m/>
    <m/>
    <m/>
    <m/>
    <m/>
    <m/>
    <m/>
    <m/>
    <m/>
    <m/>
    <m/>
    <m/>
    <m/>
    <m/>
    <m/>
    <m/>
    <m/>
    <m/>
    <m/>
    <m/>
    <m/>
    <m/>
    <m/>
    <m/>
    <m/>
    <m/>
    <m/>
    <m/>
  </r>
  <r>
    <x v="19"/>
    <x v="4"/>
    <x v="3"/>
    <x v="6"/>
    <s v="DFM Mold metal part of standalond"/>
    <s v="Enersys"/>
    <s v="Tae"/>
    <d v="2026-05-28T00:00:00"/>
    <x v="95"/>
    <d v="2026-05-29T00:00:00"/>
    <x v="0"/>
    <x v="0"/>
    <x v="0"/>
    <m/>
    <m/>
    <m/>
    <m/>
    <m/>
    <m/>
    <m/>
    <m/>
    <m/>
    <m/>
    <m/>
    <m/>
    <m/>
    <m/>
    <m/>
    <m/>
    <m/>
    <m/>
    <m/>
    <m/>
    <m/>
    <m/>
    <m/>
    <m/>
    <m/>
    <m/>
    <m/>
    <m/>
  </r>
  <r>
    <x v="19"/>
    <x v="4"/>
    <x v="4"/>
    <x v="8"/>
    <s v="barTender print training"/>
    <m/>
    <s v="Tae"/>
    <d v="2026-05-28T00:00:00"/>
    <x v="96"/>
    <d v="2026-05-28T00:00:00"/>
    <x v="0"/>
    <x v="0"/>
    <x v="0"/>
    <m/>
    <m/>
    <m/>
    <m/>
    <m/>
    <m/>
    <m/>
    <m/>
    <m/>
    <m/>
    <m/>
    <m/>
    <m/>
    <m/>
    <m/>
    <m/>
    <m/>
    <m/>
    <m/>
    <m/>
    <m/>
    <m/>
    <m/>
    <m/>
    <m/>
    <m/>
    <m/>
    <m/>
  </r>
  <r>
    <x v="19"/>
    <x v="4"/>
    <x v="5"/>
    <x v="30"/>
    <s v="Prepare label AMW 03156 (Revise digit follow customer request)"/>
    <s v="Enersys"/>
    <s v="Tae"/>
    <d v="2026-05-28T00:00:00"/>
    <x v="95"/>
    <d v="2026-05-28T00:00:00"/>
    <x v="0"/>
    <x v="0"/>
    <x v="0"/>
    <m/>
    <m/>
    <m/>
    <m/>
    <m/>
    <m/>
    <m/>
    <m/>
    <m/>
    <m/>
    <m/>
    <m/>
    <m/>
    <m/>
    <m/>
    <m/>
    <m/>
    <m/>
    <m/>
    <m/>
    <m/>
    <m/>
    <m/>
    <m/>
    <m/>
    <m/>
    <m/>
    <m/>
  </r>
  <r>
    <x v="19"/>
    <x v="4"/>
    <x v="5"/>
    <x v="30"/>
    <s v="Prepare label AMW 03209 (Revise digit follow customer request)"/>
    <s v="Enersys"/>
    <s v="Tae"/>
    <d v="2026-05-28T00:00:00"/>
    <x v="95"/>
    <d v="2026-05-28T00:00:00"/>
    <x v="0"/>
    <x v="0"/>
    <x v="0"/>
    <m/>
    <m/>
    <m/>
    <m/>
    <m/>
    <m/>
    <m/>
    <m/>
    <m/>
    <m/>
    <m/>
    <m/>
    <m/>
    <m/>
    <m/>
    <m/>
    <m/>
    <m/>
    <m/>
    <m/>
    <m/>
    <m/>
    <m/>
    <m/>
    <m/>
    <m/>
    <m/>
    <m/>
  </r>
  <r>
    <x v="18"/>
    <x v="4"/>
    <x v="5"/>
    <x v="9"/>
    <s v="Discuss OBC packing "/>
    <s v="IES"/>
    <s v="Chutiporn"/>
    <d v="2026-05-21T00:00:00"/>
    <x v="89"/>
    <d v="2026-05-21T00:00:00"/>
    <x v="0"/>
    <x v="0"/>
    <x v="0"/>
    <m/>
    <m/>
    <m/>
    <m/>
    <m/>
    <m/>
    <m/>
    <m/>
    <m/>
    <m/>
    <m/>
    <m/>
    <m/>
    <m/>
    <m/>
    <m/>
    <m/>
    <m/>
    <m/>
    <m/>
    <m/>
    <m/>
    <m/>
    <m/>
    <m/>
    <m/>
    <m/>
    <m/>
  </r>
  <r>
    <x v="18"/>
    <x v="4"/>
    <x v="5"/>
    <x v="9"/>
    <s v="Technical support for confirm PaperPad subtitute for MP AMW 03100 "/>
    <m/>
    <s v="Chutiporn"/>
    <d v="2026-05-21T00:00:00"/>
    <x v="89"/>
    <d v="2026-05-21T00:00:00"/>
    <x v="0"/>
    <x v="0"/>
    <x v="0"/>
    <m/>
    <m/>
    <m/>
    <m/>
    <m/>
    <m/>
    <m/>
    <m/>
    <m/>
    <m/>
    <m/>
    <m/>
    <m/>
    <m/>
    <m/>
    <m/>
    <m/>
    <m/>
    <m/>
    <m/>
    <m/>
    <m/>
    <m/>
    <m/>
    <m/>
    <m/>
    <m/>
    <m/>
  </r>
  <r>
    <x v="18"/>
    <x v="4"/>
    <x v="6"/>
    <x v="12"/>
    <s v="AMW QUO889 Rev2.01 Packing RFQ"/>
    <s v="Leach"/>
    <s v="Chutiporn"/>
    <d v="2026-05-21T00:00:00"/>
    <x v="90"/>
    <d v="2026-05-22T00:00:00"/>
    <x v="0"/>
    <x v="0"/>
    <x v="0"/>
    <m/>
    <m/>
    <m/>
    <m/>
    <m/>
    <m/>
    <m/>
    <m/>
    <m/>
    <m/>
    <m/>
    <m/>
    <m/>
    <m/>
    <m/>
    <m/>
    <m/>
    <m/>
    <m/>
    <m/>
    <m/>
    <m/>
    <m/>
    <m/>
    <m/>
    <m/>
    <m/>
    <m/>
  </r>
  <r>
    <x v="18"/>
    <x v="4"/>
    <x v="1"/>
    <x v="2"/>
    <s v="AMW QUO961 EMERSON project alignment"/>
    <s v="Emerson"/>
    <s v="Chutiporn"/>
    <d v="2026-05-22T00:00:00"/>
    <x v="90"/>
    <d v="2026-05-22T00:00:00"/>
    <x v="0"/>
    <x v="0"/>
    <x v="0"/>
    <m/>
    <m/>
    <m/>
    <m/>
    <m/>
    <m/>
    <m/>
    <m/>
    <m/>
    <m/>
    <m/>
    <m/>
    <m/>
    <m/>
    <m/>
    <m/>
    <m/>
    <m/>
    <m/>
    <m/>
    <m/>
    <m/>
    <m/>
    <m/>
    <m/>
    <m/>
    <m/>
    <m/>
  </r>
  <r>
    <x v="18"/>
    <x v="4"/>
    <x v="6"/>
    <x v="12"/>
    <s v="[REQ] New Tray for Magnetic Parts (Stiwa)"/>
    <s v="Stiwa"/>
    <s v="Chutiporn"/>
    <d v="2026-05-22T00:00:00"/>
    <x v="90"/>
    <d v="2026-05-22T00:00:00"/>
    <x v="0"/>
    <x v="0"/>
    <x v="0"/>
    <m/>
    <m/>
    <m/>
    <m/>
    <m/>
    <m/>
    <m/>
    <m/>
    <m/>
    <m/>
    <m/>
    <m/>
    <m/>
    <m/>
    <m/>
    <m/>
    <m/>
    <m/>
    <m/>
    <m/>
    <m/>
    <m/>
    <m/>
    <m/>
    <m/>
    <m/>
    <m/>
    <m/>
  </r>
  <r>
    <x v="18"/>
    <x v="4"/>
    <x v="5"/>
    <x v="9"/>
    <s v="AMW 03617-01-02 design packing concept"/>
    <s v="Enersys"/>
    <s v="Chutiporn"/>
    <d v="2026-05-22T00:00:00"/>
    <x v="92"/>
    <d v="2026-05-25T00:00:00"/>
    <x v="0"/>
    <x v="0"/>
    <x v="0"/>
    <m/>
    <m/>
    <m/>
    <m/>
    <m/>
    <m/>
    <m/>
    <m/>
    <m/>
    <m/>
    <m/>
    <m/>
    <m/>
    <m/>
    <m/>
    <m/>
    <m/>
    <m/>
    <m/>
    <m/>
    <m/>
    <m/>
    <m/>
    <m/>
    <m/>
    <m/>
    <m/>
    <m/>
  </r>
  <r>
    <x v="19"/>
    <x v="4"/>
    <x v="6"/>
    <x v="12"/>
    <s v="AMW QUO961 (5 Box Build/20 PCBA) RFQ Packing "/>
    <s v="Emersob"/>
    <s v="Chutiporn"/>
    <d v="2026-05-25T00:00:00"/>
    <x v="94"/>
    <d v="2026-05-27T00:00:00"/>
    <x v="0"/>
    <x v="0"/>
    <x v="0"/>
    <m/>
    <m/>
    <m/>
    <m/>
    <m/>
    <m/>
    <m/>
    <m/>
    <m/>
    <m/>
    <m/>
    <m/>
    <m/>
    <m/>
    <m/>
    <m/>
    <m/>
    <m/>
    <m/>
    <m/>
    <m/>
    <m/>
    <m/>
    <m/>
    <m/>
    <m/>
    <m/>
    <m/>
  </r>
  <r>
    <x v="19"/>
    <x v="4"/>
    <x v="0"/>
    <x v="31"/>
    <s v="Visit for technical confirmation Fagerdala"/>
    <m/>
    <s v="Chutiporn"/>
    <d v="2026-05-26T00:00:00"/>
    <x v="93"/>
    <d v="2026-05-26T00:00:00"/>
    <x v="0"/>
    <x v="0"/>
    <x v="0"/>
    <m/>
    <m/>
    <m/>
    <m/>
    <m/>
    <m/>
    <m/>
    <m/>
    <m/>
    <m/>
    <m/>
    <m/>
    <m/>
    <m/>
    <m/>
    <m/>
    <m/>
    <m/>
    <m/>
    <m/>
    <m/>
    <m/>
    <m/>
    <m/>
    <m/>
    <m/>
    <m/>
    <m/>
  </r>
  <r>
    <x v="19"/>
    <x v="4"/>
    <x v="5"/>
    <x v="13"/>
    <s v="Support confirm est. net and gross weight of  Kit Option 3BAY - AMW 03617"/>
    <s v="Enersys"/>
    <s v="Chutiporn"/>
    <d v="2026-05-26T00:00:00"/>
    <x v="93"/>
    <d v="2026-05-26T00:00:00"/>
    <x v="0"/>
    <x v="0"/>
    <x v="0"/>
    <m/>
    <m/>
    <m/>
    <m/>
    <m/>
    <m/>
    <m/>
    <m/>
    <m/>
    <m/>
    <m/>
    <m/>
    <m/>
    <m/>
    <m/>
    <m/>
    <m/>
    <m/>
    <m/>
    <m/>
    <m/>
    <m/>
    <m/>
    <m/>
    <m/>
    <m/>
    <m/>
    <m/>
  </r>
  <r>
    <x v="20"/>
    <x v="5"/>
    <x v="6"/>
    <x v="12"/>
    <s v="AMW-QUO969_x000b_(5 PCBA) RFQ Packing"/>
    <s v="Staubli Hangzhou_x000a_"/>
    <s v="Chutiporn"/>
    <d v="2026-06-03T00:00:00"/>
    <x v="97"/>
    <d v="2026-06-04T00:00:00"/>
    <x v="0"/>
    <x v="0"/>
    <x v="0"/>
    <m/>
    <m/>
    <m/>
    <m/>
    <m/>
    <m/>
    <m/>
    <m/>
    <m/>
    <m/>
    <m/>
    <m/>
    <m/>
    <m/>
    <m/>
    <m/>
    <m/>
    <m/>
    <m/>
    <m/>
    <m/>
    <m/>
    <m/>
    <m/>
    <m/>
    <m/>
    <m/>
    <m/>
  </r>
  <r>
    <x v="19"/>
    <x v="4"/>
    <x v="5"/>
    <x v="9"/>
    <s v="Confirm tray plug nano "/>
    <s v="JRI"/>
    <s v="Chutiporn"/>
    <d v="2026-05-28T00:00:00"/>
    <x v="95"/>
    <d v="2026-05-28T00:00:00"/>
    <x v="0"/>
    <x v="0"/>
    <x v="0"/>
    <m/>
    <m/>
    <m/>
    <m/>
    <m/>
    <m/>
    <m/>
    <m/>
    <m/>
    <m/>
    <m/>
    <m/>
    <m/>
    <m/>
    <m/>
    <m/>
    <m/>
    <m/>
    <m/>
    <m/>
    <m/>
    <m/>
    <m/>
    <m/>
    <m/>
    <m/>
    <m/>
    <m/>
  </r>
  <r>
    <x v="19"/>
    <x v="4"/>
    <x v="6"/>
    <x v="12"/>
    <s v="AMW-QUO924_x000b_(1 PCBA) RFQ packing"/>
    <s v="Gutor"/>
    <s v="Chutiporn"/>
    <d v="2026-05-29T00:00:00"/>
    <x v="98"/>
    <d v="2026-05-29T00:00:00"/>
    <x v="0"/>
    <x v="0"/>
    <x v="0"/>
    <m/>
    <m/>
    <m/>
    <m/>
    <m/>
    <m/>
    <m/>
    <m/>
    <m/>
    <m/>
    <m/>
    <m/>
    <m/>
    <m/>
    <m/>
    <m/>
    <m/>
    <m/>
    <m/>
    <m/>
    <m/>
    <m/>
    <m/>
    <m/>
    <m/>
    <m/>
    <m/>
    <m/>
  </r>
  <r>
    <x v="20"/>
    <x v="5"/>
    <x v="6"/>
    <x v="12"/>
    <s v="AMW-QUO967_x000b_(3 PCBA) "/>
    <s v="EMSISO"/>
    <s v="Chutiporn"/>
    <d v="2026-06-04T00:00:00"/>
    <x v="99"/>
    <d v="2026-06-04T00:00:00"/>
    <x v="0"/>
    <x v="0"/>
    <x v="0"/>
    <m/>
    <m/>
    <m/>
    <m/>
    <m/>
    <m/>
    <m/>
    <m/>
    <m/>
    <m/>
    <m/>
    <m/>
    <m/>
    <m/>
    <m/>
    <m/>
    <m/>
    <m/>
    <m/>
    <m/>
    <m/>
    <m/>
    <m/>
    <m/>
    <m/>
    <m/>
    <m/>
    <m/>
  </r>
  <r>
    <x v="19"/>
    <x v="4"/>
    <x v="2"/>
    <x v="28"/>
    <s v="DFM Part of new project from traco (Not have RFQ)"/>
    <s v="Traco"/>
    <s v="Thiti"/>
    <d v="2026-05-26T00:00:00"/>
    <x v="94"/>
    <d v="2026-05-27T00:00:00"/>
    <x v="0"/>
    <x v="0"/>
    <x v="0"/>
    <m/>
    <m/>
    <m/>
    <m/>
    <m/>
    <m/>
    <m/>
    <m/>
    <m/>
    <m/>
    <m/>
    <m/>
    <m/>
    <m/>
    <m/>
    <m/>
    <m/>
    <m/>
    <m/>
    <m/>
    <m/>
    <m/>
    <m/>
    <m/>
    <m/>
    <m/>
    <m/>
    <m/>
  </r>
  <r>
    <x v="19"/>
    <x v="4"/>
    <x v="5"/>
    <x v="11"/>
    <s v="Packing of AMW 03530 TRACO"/>
    <s v="Traco"/>
    <s v="Thiti"/>
    <d v="2026-05-27T00:00:00"/>
    <x v="94"/>
    <d v="2026-05-27T00:00:00"/>
    <x v="0"/>
    <x v="0"/>
    <x v="0"/>
    <m/>
    <m/>
    <m/>
    <m/>
    <m/>
    <m/>
    <m/>
    <m/>
    <m/>
    <m/>
    <m/>
    <m/>
    <m/>
    <m/>
    <m/>
    <m/>
    <m/>
    <m/>
    <m/>
    <m/>
    <m/>
    <m/>
    <m/>
    <m/>
    <m/>
    <m/>
    <m/>
    <m/>
  </r>
  <r>
    <x v="19"/>
    <x v="4"/>
    <x v="5"/>
    <x v="11"/>
    <s v="Packing of AMW 03531 TRACO"/>
    <s v="Traco"/>
    <s v="Thiti"/>
    <d v="2026-05-28T00:00:00"/>
    <x v="95"/>
    <d v="2026-05-29T00:00:00"/>
    <x v="0"/>
    <x v="0"/>
    <x v="0"/>
    <m/>
    <m/>
    <m/>
    <m/>
    <m/>
    <m/>
    <m/>
    <m/>
    <m/>
    <m/>
    <m/>
    <m/>
    <m/>
    <m/>
    <m/>
    <m/>
    <m/>
    <m/>
    <m/>
    <m/>
    <m/>
    <m/>
    <m/>
    <m/>
    <m/>
    <m/>
    <m/>
    <m/>
  </r>
  <r>
    <x v="19"/>
    <x v="4"/>
    <x v="5"/>
    <x v="11"/>
    <s v="Packing of AMW 03533 TRACO"/>
    <s v="Traco"/>
    <s v="Thiti"/>
    <d v="2026-05-27T00:00:00"/>
    <x v="94"/>
    <d v="2026-05-27T00:00:00"/>
    <x v="0"/>
    <x v="0"/>
    <x v="0"/>
    <m/>
    <m/>
    <m/>
    <m/>
    <m/>
    <m/>
    <m/>
    <m/>
    <m/>
    <m/>
    <m/>
    <m/>
    <m/>
    <m/>
    <m/>
    <m/>
    <m/>
    <m/>
    <m/>
    <m/>
    <m/>
    <m/>
    <m/>
    <m/>
    <m/>
    <m/>
    <m/>
    <m/>
  </r>
  <r>
    <x v="19"/>
    <x v="4"/>
    <x v="5"/>
    <x v="11"/>
    <s v="Packing of AMW 03534 TRACO"/>
    <s v="Traco"/>
    <s v="Thiti"/>
    <d v="2026-05-27T00:00:00"/>
    <x v="94"/>
    <d v="2026-05-27T00:00:00"/>
    <x v="0"/>
    <x v="0"/>
    <x v="0"/>
    <m/>
    <m/>
    <m/>
    <m/>
    <m/>
    <m/>
    <m/>
    <m/>
    <m/>
    <m/>
    <m/>
    <m/>
    <m/>
    <m/>
    <m/>
    <m/>
    <m/>
    <m/>
    <m/>
    <m/>
    <m/>
    <m/>
    <m/>
    <m/>
    <m/>
    <m/>
    <m/>
    <m/>
  </r>
  <r>
    <x v="19"/>
    <x v="4"/>
    <x v="3"/>
    <x v="6"/>
    <s v="Follow up DFM Viper Stand-alone &amp; 6 Bays"/>
    <s v="Enersys"/>
    <s v="Thiti"/>
    <d v="2026-05-27T00:00:00"/>
    <x v="94"/>
    <d v="2026-05-27T00:00:00"/>
    <x v="0"/>
    <x v="0"/>
    <x v="0"/>
    <m/>
    <m/>
    <m/>
    <m/>
    <m/>
    <m/>
    <m/>
    <m/>
    <m/>
    <m/>
    <m/>
    <m/>
    <m/>
    <m/>
    <m/>
    <m/>
    <m/>
    <m/>
    <m/>
    <m/>
    <m/>
    <m/>
    <m/>
    <m/>
    <m/>
    <m/>
    <m/>
    <m/>
  </r>
  <r>
    <x v="19"/>
    <x v="4"/>
    <x v="3"/>
    <x v="6"/>
    <s v="DFM meeting for overmold of JRI"/>
    <s v="JRI"/>
    <s v="Thiti"/>
    <d v="2026-05-28T00:00:00"/>
    <x v="96"/>
    <d v="2026-05-28T00:00:00"/>
    <x v="0"/>
    <x v="0"/>
    <x v="0"/>
    <m/>
    <m/>
    <m/>
    <m/>
    <m/>
    <m/>
    <m/>
    <m/>
    <m/>
    <m/>
    <m/>
    <m/>
    <m/>
    <m/>
    <m/>
    <m/>
    <m/>
    <m/>
    <m/>
    <m/>
    <m/>
    <m/>
    <m/>
    <m/>
    <m/>
    <m/>
    <m/>
    <m/>
  </r>
  <r>
    <x v="20"/>
    <x v="5"/>
    <x v="5"/>
    <x v="11"/>
    <s v="Packing of AMW 02517 SLAT "/>
    <s v="SLAT"/>
    <s v="Thiti"/>
    <d v="2026-06-04T00:00:00"/>
    <x v="97"/>
    <d v="2026-06-05T00:00:00"/>
    <x v="0"/>
    <x v="0"/>
    <x v="0"/>
    <m/>
    <m/>
    <m/>
    <m/>
    <m/>
    <m/>
    <m/>
    <m/>
    <m/>
    <m/>
    <m/>
    <m/>
    <m/>
    <m/>
    <m/>
    <m/>
    <m/>
    <m/>
    <m/>
    <m/>
    <m/>
    <m/>
    <m/>
    <m/>
    <m/>
    <m/>
    <m/>
    <m/>
  </r>
  <r>
    <x v="20"/>
    <x v="5"/>
    <x v="5"/>
    <x v="11"/>
    <s v="Packing sample AMW 03667/JRI"/>
    <s v="JRI"/>
    <s v="Thiti"/>
    <d v="2026-06-04T00:00:00"/>
    <x v="100"/>
    <d v="2026-06-04T00:00:00"/>
    <x v="0"/>
    <x v="0"/>
    <x v="0"/>
    <m/>
    <m/>
    <m/>
    <m/>
    <m/>
    <m/>
    <m/>
    <m/>
    <m/>
    <m/>
    <m/>
    <m/>
    <m/>
    <m/>
    <m/>
    <m/>
    <m/>
    <m/>
    <m/>
    <m/>
    <m/>
    <m/>
    <m/>
    <m/>
    <m/>
    <m/>
    <m/>
    <m/>
  </r>
  <r>
    <x v="20"/>
    <x v="5"/>
    <x v="0"/>
    <x v="31"/>
    <s v="JRI GDS Project go to supplier for DFM mold and confirm assessory need for injection machine"/>
    <s v="JRI"/>
    <s v="Thiti"/>
    <d v="2026-06-04T00:00:00"/>
    <x v="100"/>
    <d v="2026-06-04T00:00:00"/>
    <x v="0"/>
    <x v="0"/>
    <x v="0"/>
    <m/>
    <m/>
    <m/>
    <m/>
    <m/>
    <m/>
    <m/>
    <m/>
    <m/>
    <m/>
    <m/>
    <m/>
    <m/>
    <m/>
    <m/>
    <m/>
    <m/>
    <m/>
    <m/>
    <m/>
    <m/>
    <m/>
    <m/>
    <m/>
    <m/>
    <m/>
    <m/>
    <m/>
  </r>
  <r>
    <x v="20"/>
    <x v="5"/>
    <x v="5"/>
    <x v="11"/>
    <s v="AMW 03457 SP/NUMWORK support packing"/>
    <s v="Numworks"/>
    <s v="Thiti"/>
    <d v="2026-06-05T00:00:00"/>
    <x v="97"/>
    <d v="2026-06-05T00:00:00"/>
    <x v="0"/>
    <x v="0"/>
    <x v="0"/>
    <m/>
    <m/>
    <m/>
    <m/>
    <m/>
    <m/>
    <m/>
    <m/>
    <m/>
    <m/>
    <m/>
    <m/>
    <m/>
    <m/>
    <m/>
    <m/>
    <m/>
    <m/>
    <m/>
    <m/>
    <m/>
    <m/>
    <m/>
    <m/>
    <m/>
    <m/>
    <m/>
    <m/>
  </r>
  <r>
    <x v="20"/>
    <x v="5"/>
    <x v="5"/>
    <x v="11"/>
    <s v="AMW 03739 PCB/VIPER support packing"/>
    <s v="Enersys"/>
    <s v="Thiti"/>
    <d v="2026-06-05T00:00:00"/>
    <x v="97"/>
    <d v="2026-06-05T00:00:00"/>
    <x v="0"/>
    <x v="0"/>
    <x v="0"/>
    <m/>
    <m/>
    <m/>
    <m/>
    <m/>
    <m/>
    <m/>
    <m/>
    <m/>
    <m/>
    <m/>
    <m/>
    <m/>
    <m/>
    <m/>
    <m/>
    <m/>
    <m/>
    <m/>
    <m/>
    <m/>
    <m/>
    <m/>
    <m/>
    <m/>
    <m/>
    <m/>
    <m/>
  </r>
  <r>
    <x v="20"/>
    <x v="5"/>
    <x v="3"/>
    <x v="6"/>
    <s v="Confirm DFM mold JRI overmold green digital "/>
    <s v="JRI"/>
    <s v="Thiti"/>
    <d v="2026-06-05T00:00:00"/>
    <x v="97"/>
    <d v="2026-06-05T00:00:00"/>
    <x v="0"/>
    <x v="0"/>
    <x v="0"/>
    <m/>
    <m/>
    <m/>
    <m/>
    <m/>
    <m/>
    <m/>
    <m/>
    <m/>
    <m/>
    <m/>
    <m/>
    <m/>
    <m/>
    <m/>
    <m/>
    <m/>
    <m/>
    <m/>
    <m/>
    <m/>
    <m/>
    <m/>
    <m/>
    <m/>
    <m/>
    <m/>
    <m/>
  </r>
  <r>
    <x v="21"/>
    <x v="5"/>
    <x v="5"/>
    <x v="11"/>
    <s v="Packing of AMW 03626 IES "/>
    <s v="IES"/>
    <s v="Chutiporn"/>
    <d v="2026-06-12T00:00:00"/>
    <x v="101"/>
    <d v="2026-06-12T00:00:00"/>
    <x v="0"/>
    <x v="0"/>
    <x v="0"/>
    <m/>
    <m/>
    <m/>
    <m/>
    <m/>
    <m/>
    <m/>
    <m/>
    <m/>
    <m/>
    <m/>
    <m/>
    <m/>
    <m/>
    <m/>
    <m/>
    <m/>
    <m/>
    <m/>
    <m/>
    <m/>
    <m/>
    <m/>
    <m/>
    <m/>
    <m/>
    <m/>
    <m/>
  </r>
  <r>
    <x v="21"/>
    <x v="5"/>
    <x v="5"/>
    <x v="11"/>
    <s v="Packing of AMW 03724 SEFAM"/>
    <s v="SEFAM"/>
    <s v="Chutiporn"/>
    <d v="2026-06-12T00:00:00"/>
    <x v="101"/>
    <d v="2026-06-12T00:00:00"/>
    <x v="0"/>
    <x v="0"/>
    <x v="0"/>
    <m/>
    <m/>
    <m/>
    <m/>
    <m/>
    <m/>
    <m/>
    <m/>
    <m/>
    <m/>
    <m/>
    <m/>
    <m/>
    <m/>
    <m/>
    <m/>
    <m/>
    <m/>
    <m/>
    <m/>
    <m/>
    <m/>
    <m/>
    <m/>
    <m/>
    <m/>
    <m/>
    <m/>
  </r>
  <r>
    <x v="21"/>
    <x v="5"/>
    <x v="0"/>
    <x v="0"/>
    <s v="Injection Machine ETA AMW wk22."/>
    <s v="JRI"/>
    <s v="Thiti"/>
    <d v="2026-06-08T00:00:00"/>
    <x v="102"/>
    <d v="2026-06-08T00:00:00"/>
    <x v="0"/>
    <x v="0"/>
    <x v="0"/>
    <m/>
    <m/>
    <m/>
    <m/>
    <m/>
    <m/>
    <m/>
    <m/>
    <m/>
    <m/>
    <m/>
    <m/>
    <m/>
    <m/>
    <m/>
    <m/>
    <m/>
    <m/>
    <m/>
    <m/>
    <m/>
    <m/>
    <m/>
    <m/>
    <m/>
    <m/>
    <m/>
    <m/>
  </r>
  <r>
    <x v="19"/>
    <x v="4"/>
    <x v="5"/>
    <x v="9"/>
    <s v="Review technical data of NW SP10 individual box and ship boxwith Customer and supplier"/>
    <s v="Numworks"/>
    <s v="Bunnarak"/>
    <d v="2026-05-26T00:00:00"/>
    <x v="93"/>
    <d v="2026-05-26T00:00:00"/>
    <x v="0"/>
    <x v="0"/>
    <x v="0"/>
    <m/>
    <m/>
    <m/>
    <m/>
    <m/>
    <m/>
    <m/>
    <m/>
    <m/>
    <m/>
    <m/>
    <m/>
    <m/>
    <m/>
    <m/>
    <m/>
    <m/>
    <m/>
    <m/>
    <m/>
    <m/>
    <m/>
    <m/>
    <m/>
    <m/>
    <m/>
    <m/>
    <m/>
  </r>
  <r>
    <x v="19"/>
    <x v="4"/>
    <x v="3"/>
    <x v="6"/>
    <s v="Follow up DFM Viper Stand-alone &amp; 6 Bays"/>
    <s v="Enersys"/>
    <s v="Bunnarak"/>
    <d v="2026-05-27T00:00:00"/>
    <x v="94"/>
    <d v="2026-05-27T00:00:00"/>
    <x v="0"/>
    <x v="0"/>
    <x v="0"/>
    <m/>
    <m/>
    <m/>
    <m/>
    <m/>
    <m/>
    <m/>
    <m/>
    <m/>
    <m/>
    <m/>
    <m/>
    <m/>
    <m/>
    <m/>
    <m/>
    <m/>
    <m/>
    <m/>
    <m/>
    <m/>
    <m/>
    <m/>
    <m/>
    <m/>
    <m/>
    <m/>
    <m/>
  </r>
  <r>
    <x v="19"/>
    <x v="4"/>
    <x v="3"/>
    <x v="6"/>
    <s v="DFM meeting for overmold of JRI"/>
    <s v="JRI"/>
    <s v="Bunnarak"/>
    <d v="2026-05-28T00:00:00"/>
    <x v="96"/>
    <d v="2026-05-28T00:00:00"/>
    <x v="0"/>
    <x v="0"/>
    <x v="0"/>
    <m/>
    <m/>
    <m/>
    <m/>
    <m/>
    <m/>
    <m/>
    <m/>
    <m/>
    <m/>
    <m/>
    <m/>
    <m/>
    <m/>
    <m/>
    <m/>
    <m/>
    <m/>
    <m/>
    <m/>
    <m/>
    <m/>
    <m/>
    <m/>
    <m/>
    <m/>
    <m/>
    <m/>
  </r>
  <r>
    <x v="19"/>
    <x v="4"/>
    <x v="5"/>
    <x v="13"/>
    <s v="Confirm SP10 all box"/>
    <s v="Numworks"/>
    <s v="Bunnarak"/>
    <d v="2026-05-28T00:00:00"/>
    <x v="95"/>
    <d v="2026-05-29T00:00:00"/>
    <x v="0"/>
    <x v="0"/>
    <x v="0"/>
    <m/>
    <m/>
    <m/>
    <m/>
    <m/>
    <m/>
    <m/>
    <m/>
    <m/>
    <m/>
    <m/>
    <m/>
    <m/>
    <m/>
    <m/>
    <m/>
    <m/>
    <m/>
    <m/>
    <m/>
    <m/>
    <m/>
    <m/>
    <m/>
    <m/>
    <m/>
    <m/>
    <m/>
  </r>
  <r>
    <x v="19"/>
    <x v="4"/>
    <x v="1"/>
    <x v="2"/>
    <s v="Numworks weekly meeting"/>
    <s v="Numworks"/>
    <s v="Bunnarak"/>
    <d v="2026-05-28T00:00:00"/>
    <x v="96"/>
    <d v="2026-05-28T00:00:00"/>
    <x v="0"/>
    <x v="0"/>
    <x v="0"/>
    <m/>
    <m/>
    <m/>
    <m/>
    <m/>
    <m/>
    <m/>
    <m/>
    <m/>
    <m/>
    <m/>
    <m/>
    <m/>
    <m/>
    <m/>
    <m/>
    <m/>
    <m/>
    <m/>
    <m/>
    <m/>
    <m/>
    <m/>
    <m/>
    <m/>
    <m/>
    <m/>
    <m/>
  </r>
  <r>
    <x v="19"/>
    <x v="4"/>
    <x v="1"/>
    <x v="2"/>
    <s v="Numworks weekly meeting"/>
    <s v="Numworks"/>
    <s v="Bunnarak"/>
    <d v="2026-05-28T00:00:00"/>
    <x v="96"/>
    <d v="2026-05-28T00:00:00"/>
    <x v="0"/>
    <x v="0"/>
    <x v="0"/>
    <m/>
    <m/>
    <m/>
    <m/>
    <m/>
    <m/>
    <m/>
    <m/>
    <m/>
    <m/>
    <m/>
    <m/>
    <m/>
    <m/>
    <m/>
    <m/>
    <m/>
    <m/>
    <m/>
    <m/>
    <m/>
    <m/>
    <m/>
    <m/>
    <m/>
    <m/>
    <m/>
    <m/>
  </r>
  <r>
    <x v="20"/>
    <x v="5"/>
    <x v="0"/>
    <x v="0"/>
    <s v="Analysis Viper problem about WIMA with team"/>
    <s v="Enersys"/>
    <s v="Thiti"/>
    <d v="2026-06-02T00:00:00"/>
    <x v="100"/>
    <d v="2026-06-04T00:00:00"/>
    <x v="0"/>
    <x v="0"/>
    <x v="0"/>
    <m/>
    <m/>
    <m/>
    <m/>
    <m/>
    <m/>
    <m/>
    <m/>
    <m/>
    <m/>
    <m/>
    <m/>
    <m/>
    <m/>
    <m/>
    <m/>
    <m/>
    <m/>
    <m/>
    <m/>
    <m/>
    <m/>
    <m/>
    <m/>
    <m/>
    <m/>
    <m/>
    <m/>
  </r>
  <r>
    <x v="20"/>
    <x v="5"/>
    <x v="0"/>
    <x v="0"/>
    <s v="Analysis Viper problem about WIMA with team"/>
    <s v="Enersys"/>
    <s v="Bunnarak"/>
    <d v="2026-06-02T00:00:00"/>
    <x v="100"/>
    <d v="2026-06-04T00:00:00"/>
    <x v="0"/>
    <x v="0"/>
    <x v="0"/>
    <m/>
    <m/>
    <m/>
    <m/>
    <m/>
    <m/>
    <m/>
    <m/>
    <m/>
    <m/>
    <m/>
    <m/>
    <m/>
    <m/>
    <m/>
    <m/>
    <m/>
    <m/>
    <m/>
    <m/>
    <m/>
    <m/>
    <m/>
    <m/>
    <m/>
    <m/>
    <m/>
    <m/>
  </r>
  <r>
    <x v="20"/>
    <x v="5"/>
    <x v="0"/>
    <x v="0"/>
    <s v="Analysis Viper problem about WIMA with team"/>
    <s v="Enersys"/>
    <s v="Tae"/>
    <d v="2026-06-02T00:00:00"/>
    <x v="100"/>
    <d v="2026-06-04T00:00:00"/>
    <x v="0"/>
    <x v="0"/>
    <x v="0"/>
    <m/>
    <m/>
    <m/>
    <m/>
    <m/>
    <m/>
    <m/>
    <m/>
    <m/>
    <m/>
    <m/>
    <m/>
    <m/>
    <m/>
    <m/>
    <m/>
    <m/>
    <m/>
    <m/>
    <m/>
    <m/>
    <m/>
    <m/>
    <m/>
    <m/>
    <m/>
    <m/>
    <m/>
  </r>
  <r>
    <x v="19"/>
    <x v="4"/>
    <x v="5"/>
    <x v="9"/>
    <s v="Withdraw the plastic bag from the stock without returning."/>
    <m/>
    <s v="Chutiporn"/>
    <d v="2026-05-28T00:00:00"/>
    <x v="96"/>
    <d v="2026-05-28T00:00:00"/>
    <x v="0"/>
    <x v="0"/>
    <x v="0"/>
    <m/>
    <m/>
    <m/>
    <m/>
    <m/>
    <m/>
    <m/>
    <m/>
    <m/>
    <m/>
    <m/>
    <m/>
    <m/>
    <m/>
    <m/>
    <m/>
    <m/>
    <m/>
    <m/>
    <m/>
    <m/>
    <m/>
    <m/>
    <m/>
    <m/>
    <m/>
    <m/>
    <m/>
  </r>
  <r>
    <x v="19"/>
    <x v="4"/>
    <x v="5"/>
    <x v="9"/>
    <s v="request Box Compression Test of AMW Carton"/>
    <m/>
    <s v="Chutiporn"/>
    <d v="2026-05-29T00:00:00"/>
    <x v="95"/>
    <d v="2026-05-29T00:00:00"/>
    <x v="0"/>
    <x v="0"/>
    <x v="0"/>
    <m/>
    <m/>
    <m/>
    <m/>
    <m/>
    <m/>
    <m/>
    <m/>
    <m/>
    <m/>
    <m/>
    <m/>
    <m/>
    <m/>
    <m/>
    <m/>
    <m/>
    <m/>
    <m/>
    <m/>
    <m/>
    <m/>
    <m/>
    <m/>
    <m/>
    <m/>
    <m/>
    <m/>
  </r>
  <r>
    <x v="20"/>
    <x v="5"/>
    <x v="5"/>
    <x v="9"/>
    <s v="PARTITION_QUO733 Atlantic - Updated Drawing"/>
    <s v="Atlantic"/>
    <s v="Chutiporn"/>
    <d v="2026-06-03T00:00:00"/>
    <x v="100"/>
    <d v="2026-06-04T00:00:00"/>
    <x v="0"/>
    <x v="0"/>
    <x v="0"/>
    <m/>
    <m/>
    <m/>
    <m/>
    <m/>
    <m/>
    <m/>
    <m/>
    <m/>
    <m/>
    <m/>
    <m/>
    <m/>
    <m/>
    <m/>
    <m/>
    <m/>
    <m/>
    <m/>
    <m/>
    <m/>
    <m/>
    <m/>
    <m/>
    <m/>
    <m/>
    <m/>
    <m/>
  </r>
  <r>
    <x v="20"/>
    <x v="5"/>
    <x v="5"/>
    <x v="9"/>
    <s v="PARTITION_QUO924 - Updated Drawing"/>
    <m/>
    <s v="Chutiporn"/>
    <d v="2026-06-03T00:00:00"/>
    <x v="100"/>
    <d v="2026-06-04T00:00:00"/>
    <x v="0"/>
    <x v="0"/>
    <x v="0"/>
    <m/>
    <m/>
    <m/>
    <m/>
    <m/>
    <m/>
    <m/>
    <m/>
    <m/>
    <m/>
    <m/>
    <m/>
    <m/>
    <m/>
    <m/>
    <m/>
    <m/>
    <m/>
    <m/>
    <m/>
    <m/>
    <m/>
    <m/>
    <m/>
    <m/>
    <m/>
    <m/>
    <m/>
  </r>
  <r>
    <x v="20"/>
    <x v="5"/>
    <x v="5"/>
    <x v="9"/>
    <s v="COnfirm OBC sample box "/>
    <s v="IES"/>
    <s v="Chutiporn"/>
    <d v="2026-06-03T00:00:00"/>
    <x v="100"/>
    <d v="2026-06-03T00:00:00"/>
    <x v="0"/>
    <x v="0"/>
    <x v="0"/>
    <m/>
    <m/>
    <m/>
    <m/>
    <m/>
    <m/>
    <m/>
    <m/>
    <m/>
    <m/>
    <m/>
    <m/>
    <m/>
    <m/>
    <m/>
    <m/>
    <m/>
    <m/>
    <m/>
    <m/>
    <m/>
    <m/>
    <m/>
    <m/>
    <m/>
    <m/>
    <m/>
    <m/>
  </r>
  <r>
    <x v="20"/>
    <x v="5"/>
    <x v="5"/>
    <x v="9"/>
    <s v="Packing Concept of AMW03540-44_SLAT - Updated"/>
    <m/>
    <s v="Chutiporn"/>
    <d v="2026-06-04T00:00:00"/>
    <x v="97"/>
    <d v="2026-06-05T00:00:00"/>
    <x v="0"/>
    <x v="0"/>
    <x v="0"/>
    <m/>
    <m/>
    <m/>
    <m/>
    <m/>
    <m/>
    <m/>
    <m/>
    <m/>
    <m/>
    <m/>
    <m/>
    <m/>
    <m/>
    <m/>
    <m/>
    <m/>
    <m/>
    <m/>
    <m/>
    <m/>
    <m/>
    <m/>
    <m/>
    <m/>
    <m/>
    <m/>
    <m/>
  </r>
  <r>
    <x v="20"/>
    <x v="5"/>
    <x v="5"/>
    <x v="9"/>
    <s v=" AMW-QUO606 Rev.06.02 : Update packaging assy confirm partition and inform problem to supplier"/>
    <s v="IES"/>
    <s v="Chutiporn"/>
    <d v="2026-06-04T00:00:00"/>
    <x v="97"/>
    <d v="2026-06-05T00:00:00"/>
    <x v="0"/>
    <x v="0"/>
    <x v="0"/>
    <m/>
    <m/>
    <m/>
    <m/>
    <m/>
    <m/>
    <m/>
    <m/>
    <m/>
    <m/>
    <m/>
    <m/>
    <m/>
    <m/>
    <m/>
    <m/>
    <m/>
    <m/>
    <m/>
    <m/>
    <m/>
    <m/>
    <m/>
    <m/>
    <m/>
    <m/>
    <m/>
    <m/>
  </r>
  <r>
    <x v="20"/>
    <x v="5"/>
    <x v="6"/>
    <x v="12"/>
    <s v="AMW-QUO889 Rev01.01 confirm RFQ packing"/>
    <s v="Leach"/>
    <s v="Chutiporn"/>
    <d v="2026-06-05T00:00:00"/>
    <x v="99"/>
    <d v="2026-06-05T00:00:00"/>
    <x v="0"/>
    <x v="0"/>
    <x v="0"/>
    <m/>
    <m/>
    <m/>
    <m/>
    <m/>
    <m/>
    <m/>
    <m/>
    <m/>
    <m/>
    <m/>
    <m/>
    <m/>
    <m/>
    <m/>
    <m/>
    <m/>
    <m/>
    <m/>
    <m/>
    <m/>
    <m/>
    <m/>
    <m/>
    <m/>
    <m/>
    <m/>
    <m/>
  </r>
  <r>
    <x v="20"/>
    <x v="5"/>
    <x v="7"/>
    <x v="24"/>
    <s v="DFA viper standalone after customer update 3D part"/>
    <m/>
    <s v="Tae"/>
    <d v="2026-06-03T00:00:00"/>
    <x v="102"/>
    <d v="2026-06-09T00:00:00"/>
    <x v="0"/>
    <x v="0"/>
    <x v="0"/>
    <m/>
    <m/>
    <m/>
    <m/>
    <m/>
    <m/>
    <m/>
    <m/>
    <m/>
    <m/>
    <m/>
    <m/>
    <m/>
    <m/>
    <m/>
    <m/>
    <m/>
    <m/>
    <m/>
    <m/>
    <m/>
    <m/>
    <m/>
    <m/>
    <m/>
    <m/>
    <m/>
    <m/>
  </r>
  <r>
    <x v="20"/>
    <x v="5"/>
    <x v="1"/>
    <x v="2"/>
    <s v="JRI weekly meeting"/>
    <s v="JRI"/>
    <s v="Bunnarak"/>
    <d v="2026-06-01T00:00:00"/>
    <x v="103"/>
    <d v="2026-06-01T00:00:00"/>
    <x v="0"/>
    <x v="0"/>
    <x v="0"/>
    <m/>
    <m/>
    <m/>
    <m/>
    <m/>
    <m/>
    <m/>
    <m/>
    <m/>
    <m/>
    <m/>
    <m/>
    <m/>
    <m/>
    <m/>
    <m/>
    <m/>
    <m/>
    <m/>
    <m/>
    <m/>
    <m/>
    <m/>
    <m/>
    <m/>
    <m/>
    <m/>
    <m/>
  </r>
  <r>
    <x v="20"/>
    <x v="5"/>
    <x v="7"/>
    <x v="15"/>
    <s v="Viper standalone clearance check _x000a_"/>
    <s v="Enersys"/>
    <s v="Bunnarak"/>
    <d v="2026-06-04T00:00:00"/>
    <x v="99"/>
    <d v="2026-06-08T00:00:00"/>
    <x v="0"/>
    <x v="0"/>
    <x v="0"/>
    <m/>
    <m/>
    <m/>
    <m/>
    <m/>
    <m/>
    <m/>
    <m/>
    <m/>
    <m/>
    <m/>
    <m/>
    <m/>
    <m/>
    <m/>
    <m/>
    <m/>
    <m/>
    <m/>
    <m/>
    <m/>
    <m/>
    <m/>
    <m/>
    <m/>
    <m/>
    <m/>
    <m/>
  </r>
  <r>
    <x v="20"/>
    <x v="5"/>
    <x v="1"/>
    <x v="2"/>
    <s v="Numworks weekly meeting"/>
    <s v="Numworks"/>
    <s v="Bunnarak"/>
    <d v="2026-06-04T00:00:00"/>
    <x v="100"/>
    <d v="2026-06-04T00:00:00"/>
    <x v="0"/>
    <x v="0"/>
    <x v="0"/>
    <m/>
    <m/>
    <m/>
    <m/>
    <m/>
    <m/>
    <m/>
    <m/>
    <m/>
    <m/>
    <m/>
    <m/>
    <m/>
    <m/>
    <m/>
    <m/>
    <m/>
    <m/>
    <m/>
    <m/>
    <m/>
    <m/>
    <m/>
    <m/>
    <m/>
    <m/>
    <m/>
    <m/>
  </r>
  <r>
    <x v="20"/>
    <x v="5"/>
    <x v="5"/>
    <x v="9"/>
    <s v="Confirm design Tray AMW 03675 "/>
    <s v="Leach"/>
    <s v="Bunnarak"/>
    <d v="2026-06-05T00:00:00"/>
    <x v="97"/>
    <d v="2026-06-05T00:00:00"/>
    <x v="0"/>
    <x v="0"/>
    <x v="0"/>
    <m/>
    <m/>
    <m/>
    <m/>
    <m/>
    <m/>
    <m/>
    <m/>
    <m/>
    <m/>
    <m/>
    <m/>
    <m/>
    <m/>
    <m/>
    <m/>
    <m/>
    <m/>
    <m/>
    <m/>
    <m/>
    <m/>
    <m/>
    <m/>
    <m/>
    <m/>
    <m/>
    <m/>
  </r>
  <r>
    <x v="20"/>
    <x v="5"/>
    <x v="5"/>
    <x v="9"/>
    <s v="Weigth packing sample of SP10"/>
    <s v="Numworks"/>
    <s v="Bunnarak"/>
    <d v="2026-06-05T00:00:00"/>
    <x v="97"/>
    <d v="2026-06-05T00:00:00"/>
    <x v="0"/>
    <x v="0"/>
    <x v="0"/>
    <m/>
    <m/>
    <m/>
    <m/>
    <m/>
    <m/>
    <m/>
    <m/>
    <m/>
    <m/>
    <m/>
    <m/>
    <m/>
    <m/>
    <m/>
    <m/>
    <m/>
    <m/>
    <m/>
    <m/>
    <m/>
    <m/>
    <m/>
    <m/>
    <m/>
    <m/>
    <m/>
    <m/>
  </r>
  <r>
    <x v="21"/>
    <x v="5"/>
    <x v="5"/>
    <x v="9"/>
    <s v="Update packaging by remove ESD bag and Tie/AMW 03551 - AMW-QUO733"/>
    <s v="Atlantic"/>
    <s v="Chutiporn"/>
    <d v="2026-06-08T00:00:00"/>
    <x v="102"/>
    <d v="2026-06-08T00:00:00"/>
    <x v="0"/>
    <x v="0"/>
    <x v="0"/>
    <m/>
    <m/>
    <m/>
    <m/>
    <m/>
    <m/>
    <m/>
    <m/>
    <m/>
    <m/>
    <m/>
    <m/>
    <m/>
    <m/>
    <m/>
    <m/>
    <m/>
    <m/>
    <m/>
    <m/>
    <m/>
    <m/>
    <m/>
    <m/>
    <m/>
    <m/>
    <m/>
    <m/>
  </r>
  <r>
    <x v="21"/>
    <x v="5"/>
    <x v="5"/>
    <x v="9"/>
    <s v="ESD COVER_AMW QUO889 - Alternative Materials"/>
    <m/>
    <s v="Chutiporn"/>
    <d v="2026-06-08T00:00:00"/>
    <x v="99"/>
    <d v="2026-06-08T00:00:00"/>
    <x v="0"/>
    <x v="0"/>
    <x v="0"/>
    <m/>
    <m/>
    <m/>
    <m/>
    <m/>
    <m/>
    <m/>
    <m/>
    <m/>
    <m/>
    <m/>
    <m/>
    <m/>
    <m/>
    <m/>
    <m/>
    <m/>
    <m/>
    <m/>
    <m/>
    <m/>
    <m/>
    <m/>
    <m/>
    <m/>
    <m/>
    <m/>
    <m/>
  </r>
  <r>
    <x v="21"/>
    <x v="5"/>
    <x v="6"/>
    <x v="12"/>
    <s v="AMW-QUO972 Rev01.01 for Gutor RFQ packing"/>
    <s v="GUTOR_x000a_"/>
    <s v="Chutiporn"/>
    <d v="2026-06-08T00:00:00"/>
    <x v="104"/>
    <d v="2026-06-08T00:00:00"/>
    <x v="0"/>
    <x v="0"/>
    <x v="0"/>
    <m/>
    <m/>
    <m/>
    <m/>
    <m/>
    <m/>
    <m/>
    <m/>
    <m/>
    <m/>
    <m/>
    <m/>
    <m/>
    <m/>
    <m/>
    <m/>
    <m/>
    <m/>
    <m/>
    <m/>
    <m/>
    <m/>
    <m/>
    <m/>
    <m/>
    <m/>
    <m/>
    <m/>
  </r>
  <r>
    <x v="21"/>
    <x v="5"/>
    <x v="5"/>
    <x v="11"/>
    <s v="AMW 03676 LEACH support packing"/>
    <s v="Leach"/>
    <s v="Chutiporn"/>
    <d v="2026-06-10T00:00:00"/>
    <x v="104"/>
    <d v="2026-06-10T00:00:00"/>
    <x v="0"/>
    <x v="0"/>
    <x v="0"/>
    <m/>
    <m/>
    <m/>
    <m/>
    <m/>
    <m/>
    <m/>
    <m/>
    <m/>
    <m/>
    <m/>
    <m/>
    <m/>
    <m/>
    <m/>
    <m/>
    <m/>
    <m/>
    <m/>
    <m/>
    <m/>
    <m/>
    <m/>
    <m/>
    <m/>
    <m/>
    <m/>
    <m/>
  </r>
  <r>
    <x v="21"/>
    <x v="5"/>
    <x v="5"/>
    <x v="11"/>
    <s v="AMW 03530 SP TRACO support packing"/>
    <s v="Traco"/>
    <s v="Chutiporn"/>
    <d v="2026-06-11T00:00:00"/>
    <x v="101"/>
    <d v="2026-06-12T00:00:00"/>
    <x v="0"/>
    <x v="0"/>
    <x v="0"/>
    <m/>
    <m/>
    <m/>
    <m/>
    <m/>
    <m/>
    <m/>
    <m/>
    <m/>
    <m/>
    <m/>
    <m/>
    <m/>
    <m/>
    <m/>
    <m/>
    <m/>
    <m/>
    <m/>
    <m/>
    <m/>
    <m/>
    <m/>
    <m/>
    <m/>
    <m/>
    <m/>
    <m/>
  </r>
  <r>
    <x v="22"/>
    <x v="5"/>
    <x v="5"/>
    <x v="11"/>
    <s v="AMW 03531 SP TRACO support packing"/>
    <s v="Traco"/>
    <s v="Chutiporn"/>
    <d v="2026-06-19T00:00:00"/>
    <x v="105"/>
    <d v="2026-06-19T00:00:00"/>
    <x v="0"/>
    <x v="0"/>
    <x v="0"/>
    <m/>
    <m/>
    <m/>
    <m/>
    <m/>
    <m/>
    <m/>
    <m/>
    <m/>
    <m/>
    <m/>
    <m/>
    <m/>
    <m/>
    <m/>
    <m/>
    <m/>
    <m/>
    <m/>
    <m/>
    <m/>
    <m/>
    <m/>
    <m/>
    <m/>
    <m/>
    <m/>
    <m/>
  </r>
  <r>
    <x v="22"/>
    <x v="5"/>
    <x v="5"/>
    <x v="11"/>
    <s v="AMW 03533 SP TRACO support packing"/>
    <s v="Traco"/>
    <s v="Chutiporn"/>
    <d v="2026-06-19T00:00:00"/>
    <x v="105"/>
    <d v="2026-06-19T00:00:00"/>
    <x v="0"/>
    <x v="0"/>
    <x v="0"/>
    <m/>
    <m/>
    <m/>
    <m/>
    <m/>
    <m/>
    <m/>
    <m/>
    <m/>
    <m/>
    <m/>
    <m/>
    <m/>
    <m/>
    <m/>
    <m/>
    <m/>
    <m/>
    <m/>
    <m/>
    <m/>
    <m/>
    <m/>
    <m/>
    <m/>
    <m/>
    <m/>
    <m/>
  </r>
  <r>
    <x v="21"/>
    <x v="5"/>
    <x v="5"/>
    <x v="11"/>
    <s v="AMW 03534 SP TRACO support packing"/>
    <s v="Traco"/>
    <s v="Chutiporn"/>
    <d v="2026-06-11T00:00:00"/>
    <x v="101"/>
    <d v="2026-06-12T00:00:00"/>
    <x v="0"/>
    <x v="0"/>
    <x v="0"/>
    <m/>
    <m/>
    <m/>
    <m/>
    <m/>
    <m/>
    <m/>
    <m/>
    <m/>
    <m/>
    <m/>
    <m/>
    <m/>
    <m/>
    <m/>
    <m/>
    <m/>
    <m/>
    <m/>
    <m/>
    <m/>
    <m/>
    <m/>
    <m/>
    <m/>
    <m/>
    <m/>
    <m/>
  </r>
  <r>
    <x v="21"/>
    <x v="5"/>
    <x v="0"/>
    <x v="0"/>
    <s v="Discuss about the measurement concept Straingauge with supplier_x000a_"/>
    <s v="Enersys"/>
    <s v="Tae"/>
    <d v="2026-06-09T00:00:00"/>
    <x v="102"/>
    <d v="2026-06-09T00:00:00"/>
    <x v="0"/>
    <x v="0"/>
    <x v="0"/>
    <m/>
    <m/>
    <m/>
    <m/>
    <m/>
    <m/>
    <m/>
    <m/>
    <m/>
    <m/>
    <m/>
    <m/>
    <m/>
    <m/>
    <m/>
    <m/>
    <m/>
    <m/>
    <m/>
    <m/>
    <m/>
    <m/>
    <m/>
    <m/>
    <m/>
    <m/>
    <m/>
    <m/>
  </r>
  <r>
    <x v="21"/>
    <x v="5"/>
    <x v="0"/>
    <x v="0"/>
    <s v="Discuss about the measurement concept Straingauge with supplier"/>
    <s v="Enersys"/>
    <s v="Thiti"/>
    <d v="2026-06-09T00:00:00"/>
    <x v="102"/>
    <d v="2026-06-09T00:00:00"/>
    <x v="0"/>
    <x v="0"/>
    <x v="0"/>
    <m/>
    <m/>
    <m/>
    <m/>
    <m/>
    <m/>
    <m/>
    <m/>
    <m/>
    <m/>
    <m/>
    <m/>
    <m/>
    <m/>
    <m/>
    <m/>
    <m/>
    <m/>
    <m/>
    <m/>
    <m/>
    <m/>
    <m/>
    <m/>
    <m/>
    <m/>
    <m/>
    <m/>
  </r>
  <r>
    <x v="21"/>
    <x v="5"/>
    <x v="0"/>
    <x v="0"/>
    <s v="Support assy New NW-Batt Adhesive and pull test"/>
    <s v="Numworks"/>
    <s v="Thiti"/>
    <d v="2026-06-08T00:00:00"/>
    <x v="99"/>
    <d v="2026-06-08T00:00:00"/>
    <x v="0"/>
    <x v="0"/>
    <x v="0"/>
    <m/>
    <m/>
    <m/>
    <m/>
    <m/>
    <m/>
    <m/>
    <m/>
    <m/>
    <m/>
    <m/>
    <m/>
    <m/>
    <m/>
    <m/>
    <m/>
    <m/>
    <m/>
    <m/>
    <m/>
    <m/>
    <m/>
    <m/>
    <m/>
    <m/>
    <m/>
    <m/>
    <m/>
  </r>
  <r>
    <x v="21"/>
    <x v="5"/>
    <x v="5"/>
    <x v="30"/>
    <s v="AMW 03511 update Label detail"/>
    <s v="IES"/>
    <s v="Tae"/>
    <d v="2026-06-08T00:00:00"/>
    <x v="102"/>
    <d v="2026-06-08T00:00:00"/>
    <x v="0"/>
    <x v="0"/>
    <x v="0"/>
    <m/>
    <m/>
    <m/>
    <m/>
    <m/>
    <m/>
    <m/>
    <m/>
    <m/>
    <m/>
    <m/>
    <m/>
    <m/>
    <m/>
    <m/>
    <m/>
    <m/>
    <m/>
    <m/>
    <m/>
    <m/>
    <m/>
    <m/>
    <m/>
    <m/>
    <m/>
    <m/>
    <m/>
  </r>
  <r>
    <x v="21"/>
    <x v="5"/>
    <x v="5"/>
    <x v="30"/>
    <s v="AMW 03545 update Label detail"/>
    <s v="IES"/>
    <s v="Tae"/>
    <d v="2026-06-08T00:00:00"/>
    <x v="102"/>
    <d v="2026-06-08T00:00:00"/>
    <x v="0"/>
    <x v="0"/>
    <x v="0"/>
    <m/>
    <m/>
    <m/>
    <m/>
    <m/>
    <m/>
    <m/>
    <m/>
    <m/>
    <m/>
    <m/>
    <m/>
    <m/>
    <m/>
    <m/>
    <m/>
    <m/>
    <m/>
    <m/>
    <m/>
    <m/>
    <m/>
    <m/>
    <m/>
    <m/>
    <m/>
    <m/>
    <m/>
  </r>
  <r>
    <x v="21"/>
    <x v="5"/>
    <x v="4"/>
    <x v="8"/>
    <s v="Training solidworks Assembly"/>
    <m/>
    <s v="Bunnarak"/>
    <d v="2026-06-09T00:00:00"/>
    <x v="104"/>
    <d v="2026-06-10T00:00:00"/>
    <x v="0"/>
    <x v="0"/>
    <x v="0"/>
    <m/>
    <m/>
    <m/>
    <m/>
    <m/>
    <m/>
    <m/>
    <m/>
    <m/>
    <m/>
    <m/>
    <m/>
    <m/>
    <m/>
    <m/>
    <m/>
    <m/>
    <m/>
    <m/>
    <m/>
    <m/>
    <m/>
    <m/>
    <m/>
    <m/>
    <m/>
    <m/>
    <m/>
  </r>
  <r>
    <x v="21"/>
    <x v="5"/>
    <x v="1"/>
    <x v="2"/>
    <s v="AMW-QUO957 Rev 02.01 - HDS20 Power Supply Unit for DPS"/>
    <m/>
    <s v="Bunnarak"/>
    <d v="2026-06-10T00:00:00"/>
    <x v="106"/>
    <d v="2026-06-11T00:00:00"/>
    <x v="0"/>
    <x v="0"/>
    <x v="0"/>
    <m/>
    <m/>
    <m/>
    <m/>
    <m/>
    <m/>
    <m/>
    <m/>
    <m/>
    <m/>
    <m/>
    <m/>
    <m/>
    <m/>
    <m/>
    <m/>
    <m/>
    <m/>
    <m/>
    <m/>
    <m/>
    <m/>
    <m/>
    <m/>
    <m/>
    <m/>
    <m/>
    <m/>
  </r>
  <r>
    <x v="21"/>
    <x v="5"/>
    <x v="5"/>
    <x v="13"/>
    <s v="COnfirm assembly Mastercarton box with foam 10 mm "/>
    <s v="Numworks"/>
    <s v="Bunnarak"/>
    <d v="2026-06-11T00:00:00"/>
    <x v="101"/>
    <d v="2026-06-12T00:00:00"/>
    <x v="0"/>
    <x v="0"/>
    <x v="0"/>
    <m/>
    <m/>
    <m/>
    <m/>
    <m/>
    <m/>
    <m/>
    <m/>
    <m/>
    <m/>
    <m/>
    <m/>
    <m/>
    <m/>
    <m/>
    <m/>
    <m/>
    <m/>
    <m/>
    <m/>
    <m/>
    <m/>
    <m/>
    <m/>
    <m/>
    <m/>
    <m/>
    <m/>
  </r>
  <r>
    <x v="21"/>
    <x v="5"/>
    <x v="5"/>
    <x v="11"/>
    <s v="Support packing NW SP10 to drop test"/>
    <s v="Numworks"/>
    <s v="Bunnarak"/>
    <d v="2026-06-12T00:00:00"/>
    <x v="101"/>
    <d v="2026-06-12T00:00:00"/>
    <x v="0"/>
    <x v="0"/>
    <x v="0"/>
    <m/>
    <m/>
    <m/>
    <m/>
    <m/>
    <m/>
    <m/>
    <m/>
    <m/>
    <m/>
    <m/>
    <m/>
    <m/>
    <m/>
    <m/>
    <m/>
    <m/>
    <m/>
    <m/>
    <m/>
    <m/>
    <m/>
    <m/>
    <m/>
    <m/>
    <m/>
    <m/>
    <m/>
  </r>
  <r>
    <x v="21"/>
    <x v="5"/>
    <x v="3"/>
    <x v="6"/>
    <s v="Review DFM Viper Standalone of Sirikomol"/>
    <s v="Enersys"/>
    <s v="Thiti"/>
    <d v="2026-06-09T00:00:00"/>
    <x v="102"/>
    <d v="2026-06-09T00:00:00"/>
    <x v="0"/>
    <x v="0"/>
    <x v="0"/>
    <m/>
    <m/>
    <m/>
    <m/>
    <m/>
    <m/>
    <m/>
    <m/>
    <m/>
    <m/>
    <m/>
    <m/>
    <m/>
    <m/>
    <m/>
    <m/>
    <m/>
    <m/>
    <m/>
    <m/>
    <m/>
    <m/>
    <m/>
    <m/>
    <m/>
    <m/>
    <m/>
    <m/>
  </r>
  <r>
    <x v="21"/>
    <x v="5"/>
    <x v="3"/>
    <x v="6"/>
    <s v="Review DFM Viper Standalone of Sirikomol"/>
    <s v="Enersys"/>
    <s v="Tae"/>
    <d v="2026-06-09T00:00:00"/>
    <x v="102"/>
    <d v="2026-06-09T00:00:00"/>
    <x v="0"/>
    <x v="0"/>
    <x v="0"/>
    <m/>
    <m/>
    <m/>
    <m/>
    <m/>
    <m/>
    <m/>
    <m/>
    <m/>
    <m/>
    <m/>
    <m/>
    <m/>
    <m/>
    <m/>
    <m/>
    <m/>
    <m/>
    <m/>
    <m/>
    <m/>
    <m/>
    <m/>
    <m/>
    <m/>
    <m/>
    <m/>
    <m/>
  </r>
  <r>
    <x v="21"/>
    <x v="5"/>
    <x v="3"/>
    <x v="6"/>
    <s v="(Tentative) Viper Standalone DFM meeting w/Sirikomol"/>
    <s v="Enersys"/>
    <s v="Thiti"/>
    <d v="2026-06-09T00:00:00"/>
    <x v="102"/>
    <d v="2026-06-09T00:00:00"/>
    <x v="0"/>
    <x v="0"/>
    <x v="0"/>
    <m/>
    <m/>
    <m/>
    <m/>
    <m/>
    <m/>
    <m/>
    <m/>
    <m/>
    <m/>
    <m/>
    <m/>
    <m/>
    <m/>
    <m/>
    <m/>
    <m/>
    <m/>
    <m/>
    <m/>
    <m/>
    <m/>
    <m/>
    <m/>
    <m/>
    <m/>
    <m/>
    <m/>
  </r>
  <r>
    <x v="21"/>
    <x v="5"/>
    <x v="3"/>
    <x v="6"/>
    <s v="(Tentative) Viper Standalone DFM meeting w/Sirikomol"/>
    <s v="Enersys"/>
    <s v="Tae"/>
    <d v="2026-06-09T00:00:00"/>
    <x v="102"/>
    <d v="2026-06-09T00:00:00"/>
    <x v="0"/>
    <x v="0"/>
    <x v="0"/>
    <m/>
    <m/>
    <m/>
    <m/>
    <m/>
    <m/>
    <m/>
    <m/>
    <m/>
    <m/>
    <m/>
    <m/>
    <m/>
    <m/>
    <m/>
    <m/>
    <m/>
    <m/>
    <m/>
    <m/>
    <m/>
    <m/>
    <m/>
    <m/>
    <m/>
    <m/>
    <m/>
    <m/>
  </r>
  <r>
    <x v="21"/>
    <x v="5"/>
    <x v="1"/>
    <x v="2"/>
    <s v="Numworks weekly meeting"/>
    <s v="Numworks"/>
    <s v="Thiti"/>
    <d v="2026-06-11T00:00:00"/>
    <x v="106"/>
    <d v="2026-06-11T00:00:00"/>
    <x v="0"/>
    <x v="0"/>
    <x v="0"/>
    <m/>
    <m/>
    <m/>
    <m/>
    <m/>
    <m/>
    <m/>
    <m/>
    <m/>
    <m/>
    <m/>
    <m/>
    <m/>
    <m/>
    <m/>
    <m/>
    <m/>
    <m/>
    <m/>
    <m/>
    <m/>
    <m/>
    <m/>
    <m/>
    <m/>
    <m/>
    <m/>
    <m/>
  </r>
  <r>
    <x v="21"/>
    <x v="5"/>
    <x v="6"/>
    <x v="12"/>
    <s v="AMW QUO968 Enersys Cable charger GL0024410-0000"/>
    <s v="Enersys"/>
    <s v="Chutiporn"/>
    <d v="2026-06-09T00:00:00"/>
    <x v="106"/>
    <d v="2026-06-11T00:00:00"/>
    <x v="0"/>
    <x v="0"/>
    <x v="0"/>
    <m/>
    <m/>
    <m/>
    <m/>
    <m/>
    <m/>
    <m/>
    <m/>
    <m/>
    <m/>
    <m/>
    <m/>
    <m/>
    <m/>
    <m/>
    <m/>
    <m/>
    <m/>
    <m/>
    <m/>
    <m/>
    <m/>
    <m/>
    <m/>
    <m/>
    <m/>
    <m/>
    <m/>
  </r>
  <r>
    <x v="21"/>
    <x v="5"/>
    <x v="5"/>
    <x v="13"/>
    <s v="Withdraw the plastic bag from the stock without returning"/>
    <m/>
    <s v="Chutiporn"/>
    <d v="2026-06-11T00:00:00"/>
    <x v="106"/>
    <d v="2026-06-11T00:00:00"/>
    <x v="0"/>
    <x v="0"/>
    <x v="0"/>
    <m/>
    <m/>
    <m/>
    <m/>
    <m/>
    <m/>
    <m/>
    <m/>
    <m/>
    <m/>
    <m/>
    <m/>
    <m/>
    <m/>
    <m/>
    <m/>
    <m/>
    <m/>
    <m/>
    <m/>
    <m/>
    <m/>
    <m/>
    <m/>
    <m/>
    <m/>
    <m/>
    <m/>
  </r>
  <r>
    <x v="21"/>
    <x v="5"/>
    <x v="5"/>
    <x v="9"/>
    <s v="AMW 03545-OBC Elips720 for IES_Redesign of Packing Concept"/>
    <s v="IES"/>
    <s v="Chutiporn"/>
    <d v="2026-06-12T00:00:00"/>
    <x v="101"/>
    <d v="2026-06-12T00:00:00"/>
    <x v="0"/>
    <x v="0"/>
    <x v="0"/>
    <m/>
    <m/>
    <m/>
    <m/>
    <m/>
    <m/>
    <m/>
    <m/>
    <m/>
    <m/>
    <m/>
    <m/>
    <m/>
    <m/>
    <m/>
    <m/>
    <m/>
    <m/>
    <m/>
    <m/>
    <m/>
    <m/>
    <m/>
    <m/>
    <m/>
    <m/>
    <m/>
    <m/>
  </r>
  <r>
    <x v="21"/>
    <x v="5"/>
    <x v="3"/>
    <x v="6"/>
    <s v="GUTOR Localization  NPI Integration Metal part DFM_x000a_"/>
    <s v="GUTOR_x000a_"/>
    <s v="Tae"/>
    <d v="2026-06-11T00:00:00"/>
    <x v="101"/>
    <d v="2026-06-11T00:00:00"/>
    <x v="0"/>
    <x v="0"/>
    <x v="0"/>
    <m/>
    <m/>
    <m/>
    <m/>
    <m/>
    <m/>
    <m/>
    <m/>
    <m/>
    <m/>
    <m/>
    <m/>
    <m/>
    <m/>
    <m/>
    <m/>
    <m/>
    <m/>
    <m/>
    <m/>
    <m/>
    <m/>
    <m/>
    <m/>
    <m/>
    <m/>
    <m/>
    <m/>
  </r>
  <r>
    <x v="21"/>
    <x v="5"/>
    <x v="3"/>
    <x v="6"/>
    <s v="NPI Integration Metal part DFM Heatsink READORE"/>
    <s v="GUTOR_x000a_"/>
    <s v="Tae"/>
    <d v="2026-06-09T00:00:00"/>
    <x v="104"/>
    <d v="2026-06-10T00:00:00"/>
    <x v="0"/>
    <x v="0"/>
    <x v="0"/>
    <m/>
    <m/>
    <m/>
    <m/>
    <m/>
    <m/>
    <m/>
    <m/>
    <m/>
    <m/>
    <m/>
    <m/>
    <m/>
    <m/>
    <m/>
    <m/>
    <m/>
    <m/>
    <m/>
    <m/>
    <m/>
    <m/>
    <m/>
    <m/>
    <m/>
    <m/>
    <m/>
    <m/>
  </r>
  <r>
    <x v="21"/>
    <x v="5"/>
    <x v="2"/>
    <x v="28"/>
    <s v="DFM plastic parts of new product TRACO new model "/>
    <s v="TRACO"/>
    <s v="Thiti"/>
    <d v="2026-06-11T00:00:00"/>
    <x v="101"/>
    <d v="2026-06-12T00:00:00"/>
    <x v="0"/>
    <x v="0"/>
    <x v="0"/>
    <m/>
    <m/>
    <m/>
    <m/>
    <m/>
    <m/>
    <m/>
    <m/>
    <m/>
    <m/>
    <m/>
    <m/>
    <m/>
    <m/>
    <m/>
    <m/>
    <m/>
    <m/>
    <m/>
    <m/>
    <m/>
    <m/>
    <m/>
    <m/>
    <m/>
    <m/>
    <m/>
    <m/>
  </r>
  <r>
    <x v="21"/>
    <x v="5"/>
    <x v="5"/>
    <x v="9"/>
    <s v="Update packaging Packing Concept of AMW 03743 for STIWA"/>
    <s v="Stiwa"/>
    <s v="Chutiporn"/>
    <d v="2026-06-09T00:00:00"/>
    <x v="104"/>
    <d v="2026-06-09T00:00:00"/>
    <x v="0"/>
    <x v="0"/>
    <x v="0"/>
    <m/>
    <m/>
    <m/>
    <m/>
    <m/>
    <m/>
    <m/>
    <m/>
    <m/>
    <m/>
    <m/>
    <m/>
    <m/>
    <m/>
    <m/>
    <m/>
    <m/>
    <m/>
    <m/>
    <m/>
    <m/>
    <m/>
    <m/>
    <m/>
    <m/>
    <m/>
    <m/>
    <m/>
  </r>
  <r>
    <x v="21"/>
    <x v="5"/>
    <x v="5"/>
    <x v="30"/>
    <s v="AMW03486 edit label template"/>
    <s v="_x0009_FONROCHE"/>
    <s v="Tae"/>
    <d v="2026-06-10T00:00:00"/>
    <x v="106"/>
    <d v="2026-06-11T00:00:00"/>
    <x v="0"/>
    <x v="0"/>
    <x v="0"/>
    <m/>
    <m/>
    <m/>
    <m/>
    <m/>
    <m/>
    <m/>
    <m/>
    <m/>
    <m/>
    <m/>
    <m/>
    <m/>
    <m/>
    <m/>
    <m/>
    <m/>
    <m/>
    <m/>
    <m/>
    <m/>
    <m/>
    <m/>
    <m/>
    <m/>
    <m/>
    <m/>
    <m/>
  </r>
  <r>
    <x v="21"/>
    <x v="5"/>
    <x v="5"/>
    <x v="30"/>
    <s v="AMW03100 edit label template"/>
    <s v="MAATEL"/>
    <s v="Tae"/>
    <d v="2026-06-10T00:00:00"/>
    <x v="106"/>
    <d v="2026-06-11T00:00:00"/>
    <x v="0"/>
    <x v="0"/>
    <x v="0"/>
    <m/>
    <m/>
    <m/>
    <m/>
    <m/>
    <m/>
    <m/>
    <m/>
    <m/>
    <m/>
    <m/>
    <m/>
    <m/>
    <m/>
    <m/>
    <m/>
    <m/>
    <m/>
    <m/>
    <m/>
    <m/>
    <m/>
    <m/>
    <m/>
    <m/>
    <m/>
    <m/>
    <m/>
  </r>
  <r>
    <x v="21"/>
    <x v="5"/>
    <x v="5"/>
    <x v="30"/>
    <s v="AMW03520-1 edit label template"/>
    <s v="_x0009_FONROCHE"/>
    <s v="Tae"/>
    <d v="2026-06-10T00:00:00"/>
    <x v="106"/>
    <d v="2026-06-11T00:00:00"/>
    <x v="0"/>
    <x v="0"/>
    <x v="0"/>
    <m/>
    <m/>
    <m/>
    <m/>
    <m/>
    <m/>
    <m/>
    <m/>
    <m/>
    <m/>
    <m/>
    <m/>
    <m/>
    <m/>
    <m/>
    <m/>
    <m/>
    <m/>
    <m/>
    <m/>
    <m/>
    <m/>
    <m/>
    <m/>
    <m/>
    <m/>
    <m/>
    <m/>
  </r>
  <r>
    <x v="21"/>
    <x v="5"/>
    <x v="5"/>
    <x v="30"/>
    <s v="AMW 03521-1 edit label template"/>
    <s v="_x0009_FONROCHE"/>
    <s v="Tae"/>
    <d v="2026-06-10T00:00:00"/>
    <x v="106"/>
    <d v="2026-06-11T00:00:00"/>
    <x v="0"/>
    <x v="0"/>
    <x v="0"/>
    <m/>
    <m/>
    <m/>
    <m/>
    <m/>
    <m/>
    <m/>
    <m/>
    <m/>
    <m/>
    <m/>
    <m/>
    <m/>
    <m/>
    <m/>
    <m/>
    <m/>
    <m/>
    <m/>
    <m/>
    <m/>
    <m/>
    <m/>
    <m/>
    <m/>
    <m/>
    <m/>
    <m/>
  </r>
  <r>
    <x v="21"/>
    <x v="5"/>
    <x v="0"/>
    <x v="0"/>
    <s v="Tape test label for JRI green digital sensor"/>
    <s v="JRI"/>
    <s v="Tae"/>
    <d v="2026-06-12T00:00:00"/>
    <x v="101"/>
    <d v="2026-06-12T00:00:00"/>
    <x v="0"/>
    <x v="0"/>
    <x v="0"/>
    <m/>
    <m/>
    <m/>
    <m/>
    <m/>
    <m/>
    <m/>
    <m/>
    <m/>
    <m/>
    <m/>
    <m/>
    <m/>
    <m/>
    <m/>
    <m/>
    <m/>
    <m/>
    <m/>
    <m/>
    <m/>
    <m/>
    <m/>
    <m/>
    <m/>
    <m/>
    <m/>
    <m/>
  </r>
  <r>
    <x v="22"/>
    <x v="5"/>
    <x v="6"/>
    <x v="12"/>
    <s v="AMW-QUO957(BoxBuild+PCBA)_x000a_RFQ packing"/>
    <s v="Digital power_x000b_systems_x000a_"/>
    <s v="Chutiporn"/>
    <d v="2026-06-16T00:00:00"/>
    <x v="107"/>
    <d v="2026-06-09T00:00:00"/>
    <x v="0"/>
    <x v="0"/>
    <x v="0"/>
    <m/>
    <m/>
    <m/>
    <m/>
    <m/>
    <m/>
    <m/>
    <m/>
    <m/>
    <m/>
    <m/>
    <m/>
    <m/>
    <m/>
    <m/>
    <m/>
    <m/>
    <m/>
    <m/>
    <m/>
    <m/>
    <m/>
    <m/>
    <m/>
    <m/>
    <m/>
    <m/>
    <m/>
  </r>
  <r>
    <x v="22"/>
    <x v="5"/>
    <x v="5"/>
    <x v="13"/>
    <s v="Confirm Retail foam c 5 mm for support stack 5 layer"/>
    <s v="Numworks"/>
    <s v="Chutiporn"/>
    <d v="2026-06-16T00:00:00"/>
    <x v="108"/>
    <d v="2026-06-16T00:00:00"/>
    <x v="0"/>
    <x v="0"/>
    <x v="0"/>
    <m/>
    <m/>
    <m/>
    <m/>
    <m/>
    <m/>
    <m/>
    <m/>
    <m/>
    <m/>
    <m/>
    <m/>
    <m/>
    <m/>
    <m/>
    <m/>
    <m/>
    <m/>
    <m/>
    <m/>
    <m/>
    <m/>
    <m/>
    <m/>
    <m/>
    <m/>
    <m/>
    <m/>
  </r>
  <r>
    <x v="22"/>
    <x v="5"/>
    <x v="5"/>
    <x v="13"/>
    <s v="Make record document packing part  (N' After)"/>
    <m/>
    <s v="Chutiporn"/>
    <d v="2026-06-15T00:00:00"/>
    <x v="109"/>
    <d v="2026-06-18T00:00:00"/>
    <x v="0"/>
    <x v="0"/>
    <x v="0"/>
    <m/>
    <m/>
    <m/>
    <m/>
    <m/>
    <m/>
    <m/>
    <m/>
    <m/>
    <m/>
    <m/>
    <m/>
    <m/>
    <m/>
    <m/>
    <m/>
    <m/>
    <m/>
    <m/>
    <m/>
    <m/>
    <m/>
    <m/>
    <m/>
    <m/>
    <m/>
    <m/>
    <m/>
  </r>
  <r>
    <x v="22"/>
    <x v="5"/>
    <x v="6"/>
    <x v="12"/>
    <s v="AMW-QUO975_x000b_(BoxBuild+PCBA)_x000a_RFQ oacking"/>
    <s v="my-PV"/>
    <s v="Chutiporn"/>
    <d v="2026-06-16T00:00:00"/>
    <x v="107"/>
    <d v="2026-06-17T00:00:00"/>
    <x v="0"/>
    <x v="0"/>
    <x v="0"/>
    <m/>
    <m/>
    <m/>
    <m/>
    <m/>
    <m/>
    <m/>
    <m/>
    <m/>
    <m/>
    <m/>
    <m/>
    <m/>
    <m/>
    <m/>
    <m/>
    <m/>
    <m/>
    <m/>
    <m/>
    <m/>
    <m/>
    <m/>
    <m/>
    <m/>
    <m/>
    <m/>
    <m/>
  </r>
  <r>
    <x v="22"/>
    <x v="5"/>
    <x v="5"/>
    <x v="13"/>
    <s v="Confirm Tray ESD TRAY AMW 03721 Plug nano "/>
    <s v="JRI"/>
    <s v="Chutiporn"/>
    <d v="2026-06-18T00:00:00"/>
    <x v="105"/>
    <d v="2026-06-19T00:00:00"/>
    <x v="0"/>
    <x v="0"/>
    <x v="0"/>
    <m/>
    <m/>
    <m/>
    <m/>
    <m/>
    <m/>
    <m/>
    <m/>
    <m/>
    <m/>
    <m/>
    <m/>
    <m/>
    <m/>
    <m/>
    <m/>
    <m/>
    <m/>
    <m/>
    <m/>
    <m/>
    <m/>
    <m/>
    <m/>
    <m/>
    <m/>
    <m/>
    <m/>
  </r>
  <r>
    <x v="22"/>
    <x v="5"/>
    <x v="5"/>
    <x v="11"/>
    <s v="Packing of AMW 02517 "/>
    <s v="SLAT"/>
    <s v="Chutiporn"/>
    <d v="2026-06-19T00:00:00"/>
    <x v="105"/>
    <d v="2026-06-19T00:00:00"/>
    <x v="0"/>
    <x v="0"/>
    <x v="0"/>
    <m/>
    <m/>
    <m/>
    <m/>
    <m/>
    <m/>
    <m/>
    <m/>
    <m/>
    <m/>
    <m/>
    <m/>
    <m/>
    <m/>
    <m/>
    <m/>
    <m/>
    <m/>
    <m/>
    <m/>
    <m/>
    <m/>
    <m/>
    <m/>
    <m/>
    <m/>
    <m/>
    <m/>
  </r>
  <r>
    <x v="22"/>
    <x v="5"/>
    <x v="1"/>
    <x v="2"/>
    <s v="AMW 03617-00-01 Kick off meeting"/>
    <s v="Enersys"/>
    <s v="Chutiporn"/>
    <d v="2026-06-19T00:00:00"/>
    <x v="105"/>
    <d v="2026-06-19T00:00:00"/>
    <x v="0"/>
    <x v="0"/>
    <x v="0"/>
    <m/>
    <m/>
    <m/>
    <m/>
    <m/>
    <m/>
    <m/>
    <m/>
    <m/>
    <m/>
    <m/>
    <m/>
    <m/>
    <m/>
    <m/>
    <m/>
    <m/>
    <m/>
    <m/>
    <m/>
    <m/>
    <m/>
    <m/>
    <m/>
    <m/>
    <m/>
    <m/>
    <m/>
  </r>
  <r>
    <x v="22"/>
    <x v="5"/>
    <x v="1"/>
    <x v="2"/>
    <s v="JRI Weekly meeting"/>
    <s v="JRI"/>
    <s v="Tae"/>
    <d v="2026-06-15T00:00:00"/>
    <x v="110"/>
    <d v="2026-06-15T00:00:00"/>
    <x v="0"/>
    <x v="0"/>
    <x v="0"/>
    <m/>
    <m/>
    <m/>
    <m/>
    <m/>
    <m/>
    <m/>
    <m/>
    <m/>
    <m/>
    <m/>
    <m/>
    <m/>
    <m/>
    <m/>
    <m/>
    <m/>
    <m/>
    <m/>
    <m/>
    <m/>
    <m/>
    <m/>
    <m/>
    <m/>
    <m/>
    <m/>
    <m/>
  </r>
  <r>
    <x v="22"/>
    <x v="5"/>
    <x v="5"/>
    <x v="30"/>
    <s v="AMW03577 prepare label template"/>
    <s v="_x0009_FONROCHE"/>
    <s v="Tae"/>
    <d v="2026-06-15T00:00:00"/>
    <x v="108"/>
    <d v="2026-06-16T00:00:00"/>
    <x v="0"/>
    <x v="0"/>
    <x v="0"/>
    <m/>
    <m/>
    <m/>
    <m/>
    <m/>
    <m/>
    <m/>
    <m/>
    <m/>
    <m/>
    <m/>
    <m/>
    <m/>
    <m/>
    <m/>
    <m/>
    <m/>
    <m/>
    <m/>
    <m/>
    <m/>
    <m/>
    <m/>
    <m/>
    <m/>
    <m/>
    <m/>
    <m/>
  </r>
  <r>
    <x v="22"/>
    <x v="5"/>
    <x v="5"/>
    <x v="30"/>
    <s v="AMW03519 prepare lable template"/>
    <s v="_x0009_FONROCHE"/>
    <s v="Tae"/>
    <d v="2026-06-15T00:00:00"/>
    <x v="108"/>
    <d v="2026-06-16T00:00:00"/>
    <x v="0"/>
    <x v="0"/>
    <x v="0"/>
    <m/>
    <m/>
    <m/>
    <m/>
    <m/>
    <m/>
    <m/>
    <m/>
    <m/>
    <m/>
    <m/>
    <m/>
    <m/>
    <m/>
    <m/>
    <m/>
    <m/>
    <m/>
    <m/>
    <m/>
    <m/>
    <m/>
    <m/>
    <m/>
    <m/>
    <m/>
    <m/>
    <m/>
  </r>
  <r>
    <x v="22"/>
    <x v="5"/>
    <x v="0"/>
    <x v="0"/>
    <s v="Create drawing Sheet Metal / Plastics Quote "/>
    <m/>
    <s v="Tae"/>
    <d v="2026-06-17T00:00:00"/>
    <x v="109"/>
    <d v="2026-06-18T00:00:00"/>
    <x v="0"/>
    <x v="0"/>
    <x v="0"/>
    <m/>
    <m/>
    <m/>
    <m/>
    <m/>
    <m/>
    <m/>
    <m/>
    <m/>
    <m/>
    <m/>
    <m/>
    <m/>
    <m/>
    <m/>
    <m/>
    <m/>
    <m/>
    <m/>
    <m/>
    <m/>
    <m/>
    <m/>
    <m/>
    <m/>
    <m/>
    <m/>
    <m/>
  </r>
  <r>
    <x v="22"/>
    <x v="5"/>
    <x v="4"/>
    <x v="27"/>
    <s v="Visit Manufacturing process exhibition"/>
    <m/>
    <s v="Tae"/>
    <d v="2026-06-18T00:00:00"/>
    <x v="109"/>
    <d v="2026-06-18T00:00:00"/>
    <x v="0"/>
    <x v="0"/>
    <x v="0"/>
    <m/>
    <m/>
    <m/>
    <m/>
    <m/>
    <m/>
    <m/>
    <m/>
    <m/>
    <m/>
    <m/>
    <m/>
    <m/>
    <m/>
    <m/>
    <m/>
    <m/>
    <m/>
    <m/>
    <m/>
    <m/>
    <m/>
    <m/>
    <m/>
    <m/>
    <m/>
    <m/>
    <m/>
  </r>
  <r>
    <x v="22"/>
    <x v="5"/>
    <x v="3"/>
    <x v="6"/>
    <s v="Confirm Readore 3D drwing of heatsink "/>
    <s v="GUTOR_x000a_"/>
    <s v="Tae"/>
    <d v="2026-06-18T00:00:00"/>
    <x v="105"/>
    <d v="2026-06-19T00:00:00"/>
    <x v="0"/>
    <x v="0"/>
    <x v="0"/>
    <m/>
    <m/>
    <m/>
    <m/>
    <m/>
    <m/>
    <m/>
    <m/>
    <m/>
    <m/>
    <m/>
    <m/>
    <m/>
    <m/>
    <m/>
    <m/>
    <m/>
    <m/>
    <m/>
    <m/>
    <m/>
    <m/>
    <m/>
    <m/>
    <m/>
    <m/>
    <m/>
    <m/>
  </r>
  <r>
    <x v="22"/>
    <x v="5"/>
    <x v="1"/>
    <x v="2"/>
    <s v="JRI Weekly meeting"/>
    <s v="JRI"/>
    <s v="Bunnarak"/>
    <d v="2026-06-15T00:00:00"/>
    <x v="110"/>
    <d v="2026-06-15T00:00:00"/>
    <x v="0"/>
    <x v="0"/>
    <x v="0"/>
    <m/>
    <m/>
    <m/>
    <m/>
    <m/>
    <m/>
    <m/>
    <m/>
    <m/>
    <m/>
    <m/>
    <m/>
    <m/>
    <m/>
    <m/>
    <m/>
    <m/>
    <m/>
    <m/>
    <m/>
    <m/>
    <m/>
    <m/>
    <m/>
    <m/>
    <m/>
    <m/>
    <m/>
  </r>
  <r>
    <x v="22"/>
    <x v="5"/>
    <x v="7"/>
    <x v="15"/>
    <s v="Viper 6 bays clearance checking "/>
    <s v="Enersys"/>
    <s v="Bunnarak"/>
    <d v="2026-06-16T00:00:00"/>
    <x v="109"/>
    <d v="2026-06-18T00:00:00"/>
    <x v="0"/>
    <x v="0"/>
    <x v="0"/>
    <m/>
    <m/>
    <m/>
    <m/>
    <m/>
    <m/>
    <m/>
    <m/>
    <m/>
    <m/>
    <m/>
    <m/>
    <m/>
    <m/>
    <m/>
    <m/>
    <m/>
    <m/>
    <m/>
    <m/>
    <m/>
    <m/>
    <m/>
    <m/>
    <m/>
    <m/>
    <m/>
    <m/>
  </r>
  <r>
    <x v="22"/>
    <x v="5"/>
    <x v="0"/>
    <x v="0"/>
    <s v="Technical support drop test information question from prg."/>
    <s v="Numworks"/>
    <s v="Bunnarak"/>
    <d v="2026-06-17T00:00:00"/>
    <x v="107"/>
    <d v="2026-06-17T00:00:00"/>
    <x v="0"/>
    <x v="0"/>
    <x v="0"/>
    <m/>
    <m/>
    <m/>
    <m/>
    <m/>
    <m/>
    <m/>
    <m/>
    <m/>
    <m/>
    <m/>
    <m/>
    <m/>
    <m/>
    <m/>
    <m/>
    <m/>
    <m/>
    <m/>
    <m/>
    <m/>
    <m/>
    <m/>
    <m/>
    <m/>
    <m/>
    <m/>
    <m/>
  </r>
  <r>
    <x v="22"/>
    <x v="5"/>
    <x v="0"/>
    <x v="0"/>
    <s v="Module GUTOR damaged meeting"/>
    <s v="GUTOR_x000a_"/>
    <s v="Bunnarak"/>
    <d v="2026-06-18T00:00:00"/>
    <x v="109"/>
    <d v="2026-06-18T00:00:00"/>
    <x v="0"/>
    <x v="0"/>
    <x v="0"/>
    <m/>
    <m/>
    <m/>
    <m/>
    <m/>
    <m/>
    <m/>
    <m/>
    <m/>
    <m/>
    <m/>
    <m/>
    <m/>
    <m/>
    <m/>
    <m/>
    <m/>
    <m/>
    <m/>
    <m/>
    <m/>
    <m/>
    <m/>
    <m/>
    <m/>
    <m/>
    <m/>
    <m/>
  </r>
  <r>
    <x v="22"/>
    <x v="5"/>
    <x v="4"/>
    <x v="27"/>
    <s v="Visit Manufacturing process exhibition"/>
    <m/>
    <s v="Bunnarak"/>
    <d v="2026-06-19T00:00:00"/>
    <x v="105"/>
    <d v="2026-06-19T00:00:00"/>
    <x v="0"/>
    <x v="0"/>
    <x v="0"/>
    <m/>
    <m/>
    <m/>
    <m/>
    <m/>
    <m/>
    <m/>
    <m/>
    <m/>
    <m/>
    <m/>
    <m/>
    <m/>
    <m/>
    <m/>
    <m/>
    <m/>
    <m/>
    <m/>
    <m/>
    <m/>
    <m/>
    <m/>
    <m/>
    <m/>
    <m/>
    <m/>
    <m/>
  </r>
  <r>
    <x v="22"/>
    <x v="5"/>
    <x v="1"/>
    <x v="2"/>
    <s v="JRI Weekly meeting"/>
    <s v="JRI"/>
    <s v="Thiti"/>
    <d v="2026-06-15T00:00:00"/>
    <x v="110"/>
    <d v="2026-06-15T00:00:00"/>
    <x v="0"/>
    <x v="0"/>
    <x v="0"/>
    <m/>
    <m/>
    <m/>
    <m/>
    <m/>
    <m/>
    <m/>
    <m/>
    <m/>
    <m/>
    <m/>
    <m/>
    <m/>
    <m/>
    <m/>
    <m/>
    <m/>
    <m/>
    <m/>
    <m/>
    <m/>
    <m/>
    <m/>
    <m/>
    <m/>
    <m/>
    <m/>
    <m/>
  </r>
  <r>
    <x v="22"/>
    <x v="5"/>
    <x v="5"/>
    <x v="11"/>
    <s v="Make WI to training team for handmade JRI AMW 03668"/>
    <s v="JRI"/>
    <s v="Thiti"/>
    <d v="2026-06-15T00:00:00"/>
    <x v="110"/>
    <d v="2026-06-15T00:00:00"/>
    <x v="0"/>
    <x v="0"/>
    <x v="0"/>
    <m/>
    <m/>
    <m/>
    <m/>
    <m/>
    <m/>
    <m/>
    <m/>
    <m/>
    <m/>
    <m/>
    <m/>
    <m/>
    <m/>
    <m/>
    <m/>
    <m/>
    <m/>
    <m/>
    <m/>
    <m/>
    <m/>
    <m/>
    <m/>
    <m/>
    <m/>
    <m/>
    <m/>
  </r>
  <r>
    <x v="22"/>
    <x v="5"/>
    <x v="5"/>
    <x v="11"/>
    <s v="Make WI to training team for handmade JRI AMW 03669"/>
    <s v="JRI"/>
    <s v="Thiti"/>
    <d v="2026-06-15T00:00:00"/>
    <x v="110"/>
    <d v="2026-06-15T00:00:00"/>
    <x v="0"/>
    <x v="0"/>
    <x v="0"/>
    <m/>
    <m/>
    <m/>
    <m/>
    <m/>
    <m/>
    <m/>
    <m/>
    <m/>
    <m/>
    <m/>
    <m/>
    <m/>
    <m/>
    <m/>
    <m/>
    <m/>
    <m/>
    <m/>
    <m/>
    <m/>
    <m/>
    <m/>
    <m/>
    <m/>
    <m/>
    <m/>
    <m/>
  </r>
  <r>
    <x v="22"/>
    <x v="5"/>
    <x v="0"/>
    <x v="0"/>
    <s v="Clarify the correct product structure of JRI  AMW 03669, AMW 03670_x000a_and request revise Drawing and BOM"/>
    <s v="JRI"/>
    <s v="Thiti"/>
    <d v="2026-06-16T00:00:00"/>
    <x v="108"/>
    <d v="2026-06-16T00:00:00"/>
    <x v="0"/>
    <x v="0"/>
    <x v="0"/>
    <m/>
    <m/>
    <m/>
    <m/>
    <m/>
    <m/>
    <m/>
    <m/>
    <m/>
    <m/>
    <m/>
    <m/>
    <m/>
    <m/>
    <m/>
    <m/>
    <m/>
    <m/>
    <m/>
    <m/>
    <m/>
    <m/>
    <m/>
    <m/>
    <m/>
    <m/>
    <m/>
    <m/>
  </r>
  <r>
    <x v="22"/>
    <x v="5"/>
    <x v="0"/>
    <x v="4"/>
    <s v="Make Handmade part for JRI overmolding"/>
    <s v="JRI"/>
    <s v="Thiti"/>
    <d v="2026-06-15T00:00:00"/>
    <x v="105"/>
    <d v="2026-06-19T00:00:00"/>
    <x v="0"/>
    <x v="0"/>
    <x v="0"/>
    <m/>
    <m/>
    <m/>
    <m/>
    <m/>
    <m/>
    <m/>
    <m/>
    <m/>
    <m/>
    <m/>
    <m/>
    <m/>
    <m/>
    <m/>
    <m/>
    <m/>
    <m/>
    <m/>
    <m/>
    <m/>
    <m/>
    <m/>
    <m/>
    <m/>
    <m/>
    <m/>
    <m/>
  </r>
  <r>
    <x v="22"/>
    <x v="5"/>
    <x v="4"/>
    <x v="27"/>
    <s v="Visit Manufacturing process exhibition"/>
    <m/>
    <s v="Thiti"/>
    <d v="2026-06-17T00:00:00"/>
    <x v="107"/>
    <d v="2026-06-17T00:00:00"/>
    <x v="0"/>
    <x v="0"/>
    <x v="0"/>
    <m/>
    <m/>
    <m/>
    <m/>
    <m/>
    <m/>
    <m/>
    <m/>
    <m/>
    <m/>
    <m/>
    <m/>
    <m/>
    <m/>
    <m/>
    <m/>
    <m/>
    <m/>
    <m/>
    <m/>
    <m/>
    <m/>
    <m/>
    <m/>
    <m/>
    <m/>
    <m/>
    <m/>
  </r>
  <r>
    <x v="22"/>
    <x v="5"/>
    <x v="3"/>
    <x v="6"/>
    <s v="Follow up DFM Viper Stand-alone meeting with customer"/>
    <s v="Enersys"/>
    <s v="Thiti"/>
    <d v="2026-06-18T00:00:00"/>
    <x v="109"/>
    <d v="2026-06-18T00:00:00"/>
    <x v="0"/>
    <x v="0"/>
    <x v="0"/>
    <m/>
    <m/>
    <m/>
    <m/>
    <m/>
    <m/>
    <m/>
    <m/>
    <m/>
    <m/>
    <m/>
    <m/>
    <m/>
    <m/>
    <m/>
    <m/>
    <m/>
    <m/>
    <m/>
    <m/>
    <m/>
    <m/>
    <m/>
    <m/>
    <m/>
    <m/>
    <m/>
    <m/>
  </r>
  <r>
    <x v="22"/>
    <x v="5"/>
    <x v="2"/>
    <x v="3"/>
    <s v="Traco Power new product DFM part"/>
    <s v="Traco"/>
    <s v="Thiti"/>
    <d v="2026-06-18T00:00:00"/>
    <x v="105"/>
    <d v="2026-06-19T00:00:00"/>
    <x v="0"/>
    <x v="0"/>
    <x v="0"/>
    <m/>
    <m/>
    <m/>
    <m/>
    <m/>
    <m/>
    <m/>
    <m/>
    <m/>
    <m/>
    <m/>
    <m/>
    <m/>
    <m/>
    <m/>
    <m/>
    <m/>
    <m/>
    <m/>
    <m/>
    <m/>
    <m/>
    <m/>
    <m/>
    <m/>
    <m/>
    <m/>
    <m/>
  </r>
  <r>
    <x v="22"/>
    <x v="5"/>
    <x v="1"/>
    <x v="2"/>
    <s v="AMW 03617-00-01 Kick off meeting"/>
    <s v="Enersys"/>
    <s v="Thiti"/>
    <d v="2026-06-19T00:00:00"/>
    <x v="105"/>
    <d v="2026-06-19T00:00:00"/>
    <x v="0"/>
    <x v="0"/>
    <x v="0"/>
    <m/>
    <m/>
    <m/>
    <m/>
    <m/>
    <m/>
    <m/>
    <m/>
    <m/>
    <m/>
    <m/>
    <m/>
    <m/>
    <m/>
    <m/>
    <m/>
    <m/>
    <m/>
    <m/>
    <m/>
    <m/>
    <m/>
    <m/>
    <m/>
    <m/>
    <m/>
    <m/>
    <m/>
  </r>
  <r>
    <x v="22"/>
    <x v="5"/>
    <x v="8"/>
    <x v="29"/>
    <s v="Prepare KAIZEN report"/>
    <m/>
    <s v="Thiti"/>
    <d v="2026-06-19T00:00:00"/>
    <x v="105"/>
    <d v="2026-06-19T00:00:00"/>
    <x v="0"/>
    <x v="0"/>
    <x v="0"/>
    <m/>
    <m/>
    <m/>
    <m/>
    <m/>
    <m/>
    <m/>
    <m/>
    <m/>
    <m/>
    <m/>
    <m/>
    <m/>
    <m/>
    <m/>
    <m/>
    <m/>
    <m/>
    <m/>
    <m/>
    <m/>
    <m/>
    <m/>
    <m/>
    <m/>
    <m/>
    <m/>
    <m/>
  </r>
  <r>
    <x v="23"/>
    <x v="5"/>
    <x v="5"/>
    <x v="13"/>
    <s v="Artwork proof for individule box Retail and SchoolProperties Numworks"/>
    <s v="Numworks"/>
    <s v="Chutiporn"/>
    <d v="2026-06-22T00:00:00"/>
    <x v="111"/>
    <d v="2026-06-23T00:00:00"/>
    <x v="0"/>
    <x v="0"/>
    <x v="0"/>
    <m/>
    <m/>
    <m/>
    <m/>
    <m/>
    <m/>
    <m/>
    <m/>
    <m/>
    <m/>
    <m/>
    <m/>
    <m/>
    <m/>
    <m/>
    <m/>
    <m/>
    <m/>
    <m/>
    <m/>
    <m/>
    <m/>
    <m/>
    <m/>
    <m/>
    <m/>
    <m/>
    <m/>
  </r>
  <r>
    <x v="23"/>
    <x v="5"/>
    <x v="6"/>
    <x v="12"/>
    <s v="AMW QUO976 RFQ packing design"/>
    <s v="Enersys"/>
    <s v="Chutiporn"/>
    <d v="2026-06-22T00:00:00"/>
    <x v="111"/>
    <d v="2026-06-17T00:00:00"/>
    <x v="0"/>
    <x v="0"/>
    <x v="0"/>
    <m/>
    <m/>
    <m/>
    <m/>
    <m/>
    <m/>
    <m/>
    <m/>
    <m/>
    <m/>
    <m/>
    <m/>
    <m/>
    <m/>
    <m/>
    <m/>
    <m/>
    <m/>
    <m/>
    <m/>
    <m/>
    <m/>
    <m/>
    <m/>
    <m/>
    <m/>
    <m/>
    <m/>
  </r>
  <r>
    <x v="23"/>
    <x v="5"/>
    <x v="1"/>
    <x v="2"/>
    <s v="Kick-Off New Project AMW 03767"/>
    <s v="Bernina"/>
    <s v="Chutiporn"/>
    <d v="2026-06-24T00:00:00"/>
    <x v="112"/>
    <d v="2026-06-24T00:00:00"/>
    <x v="0"/>
    <x v="0"/>
    <x v="0"/>
    <m/>
    <m/>
    <m/>
    <m/>
    <m/>
    <m/>
    <m/>
    <m/>
    <m/>
    <m/>
    <m/>
    <m/>
    <m/>
    <m/>
    <m/>
    <m/>
    <m/>
    <m/>
    <m/>
    <m/>
    <m/>
    <m/>
    <m/>
    <m/>
    <m/>
    <m/>
    <m/>
    <m/>
  </r>
  <r>
    <x v="23"/>
    <x v="5"/>
    <x v="1"/>
    <x v="2"/>
    <s v=" Kick-Off New Project AMW 03767"/>
    <s v="Bernina"/>
    <s v="Tae"/>
    <d v="2026-06-24T00:00:00"/>
    <x v="112"/>
    <d v="2026-06-24T00:00:00"/>
    <x v="0"/>
    <x v="0"/>
    <x v="0"/>
    <m/>
    <m/>
    <m/>
    <m/>
    <m/>
    <m/>
    <m/>
    <m/>
    <m/>
    <m/>
    <m/>
    <m/>
    <m/>
    <m/>
    <m/>
    <m/>
    <m/>
    <m/>
    <m/>
    <m/>
    <m/>
    <m/>
    <m/>
    <m/>
    <m/>
    <m/>
    <m/>
    <m/>
  </r>
  <r>
    <x v="23"/>
    <x v="5"/>
    <x v="5"/>
    <x v="13"/>
    <s v="AMW 03511 – Packing Design Issue / Container Loading"/>
    <s v="IES"/>
    <s v="Chutiporn"/>
    <d v="2026-06-24T00:00:00"/>
    <x v="113"/>
    <d v="2026-06-25T00:00:00"/>
    <x v="0"/>
    <x v="0"/>
    <x v="0"/>
    <m/>
    <m/>
    <m/>
    <m/>
    <m/>
    <m/>
    <m/>
    <m/>
    <m/>
    <m/>
    <m/>
    <m/>
    <m/>
    <m/>
    <m/>
    <m/>
    <m/>
    <m/>
    <m/>
    <m/>
    <m/>
    <m/>
    <m/>
    <m/>
    <m/>
    <m/>
    <m/>
    <m/>
  </r>
  <r>
    <x v="23"/>
    <x v="5"/>
    <x v="5"/>
    <x v="13"/>
    <s v="Confirm tray for product AMW 03754, AMW 03755 "/>
    <s v="JRI"/>
    <s v="Chutiporn"/>
    <d v="2026-06-25T00:00:00"/>
    <x v="114"/>
    <d v="2026-06-26T00:00:00"/>
    <x v="0"/>
    <x v="0"/>
    <x v="0"/>
    <m/>
    <m/>
    <m/>
    <m/>
    <m/>
    <m/>
    <m/>
    <m/>
    <m/>
    <m/>
    <m/>
    <m/>
    <m/>
    <m/>
    <m/>
    <m/>
    <m/>
    <m/>
    <m/>
    <m/>
    <m/>
    <m/>
    <m/>
    <m/>
    <m/>
    <m/>
    <m/>
    <m/>
  </r>
  <r>
    <x v="23"/>
    <x v="5"/>
    <x v="5"/>
    <x v="11"/>
    <s v="AMW 03743 STIWA support packing"/>
    <s v="Stiwa"/>
    <s v="Chutiporn"/>
    <d v="2026-06-25T00:00:00"/>
    <x v="114"/>
    <d v="2026-06-25T00:00:00"/>
    <x v="0"/>
    <x v="0"/>
    <x v="0"/>
    <m/>
    <m/>
    <m/>
    <m/>
    <m/>
    <m/>
    <m/>
    <m/>
    <m/>
    <m/>
    <m/>
    <m/>
    <m/>
    <m/>
    <m/>
    <m/>
    <m/>
    <m/>
    <m/>
    <m/>
    <m/>
    <m/>
    <m/>
    <m/>
    <m/>
    <m/>
    <m/>
    <m/>
  </r>
  <r>
    <x v="23"/>
    <x v="5"/>
    <x v="1"/>
    <x v="2"/>
    <s v="JRI weekly project review"/>
    <s v="JRI"/>
    <s v="Thiti"/>
    <d v="2026-06-22T00:00:00"/>
    <x v="115"/>
    <d v="2026-06-22T00:00:00"/>
    <x v="0"/>
    <x v="0"/>
    <x v="0"/>
    <m/>
    <m/>
    <m/>
    <m/>
    <m/>
    <m/>
    <m/>
    <m/>
    <m/>
    <m/>
    <m/>
    <m/>
    <m/>
    <m/>
    <m/>
    <m/>
    <m/>
    <m/>
    <m/>
    <m/>
    <m/>
    <m/>
    <m/>
    <m/>
    <m/>
    <m/>
    <m/>
    <m/>
  </r>
  <r>
    <x v="23"/>
    <x v="5"/>
    <x v="9"/>
    <x v="32"/>
    <s v="Follow up  TRI-BESTECH: AMW - INJECTION MOLDING MACHINE"/>
    <s v="JRI"/>
    <s v="Thiti"/>
    <d v="2026-06-23T00:00:00"/>
    <x v="112"/>
    <d v="2026-06-24T00:00:00"/>
    <x v="0"/>
    <x v="0"/>
    <x v="0"/>
    <m/>
    <m/>
    <m/>
    <m/>
    <m/>
    <m/>
    <m/>
    <m/>
    <m/>
    <m/>
    <m/>
    <m/>
    <m/>
    <m/>
    <m/>
    <m/>
    <m/>
    <m/>
    <m/>
    <m/>
    <m/>
    <m/>
    <m/>
    <m/>
    <m/>
    <m/>
    <m/>
    <m/>
  </r>
  <r>
    <x v="23"/>
    <x v="5"/>
    <x v="0"/>
    <x v="4"/>
    <s v="Injection sample JRI green digital sensor at harvard (T0)"/>
    <s v="JRI"/>
    <s v="Thiti"/>
    <d v="2026-06-24T00:00:00"/>
    <x v="112"/>
    <d v="2026-06-24T00:00:00"/>
    <x v="0"/>
    <x v="0"/>
    <x v="0"/>
    <m/>
    <m/>
    <m/>
    <m/>
    <m/>
    <m/>
    <m/>
    <m/>
    <m/>
    <m/>
    <m/>
    <m/>
    <m/>
    <m/>
    <m/>
    <m/>
    <m/>
    <m/>
    <m/>
    <m/>
    <m/>
    <m/>
    <m/>
    <m/>
    <m/>
    <m/>
    <m/>
    <m/>
  </r>
  <r>
    <x v="23"/>
    <x v="5"/>
    <x v="1"/>
    <x v="2"/>
    <s v="Numworks weekly meeting"/>
    <s v="Numworks"/>
    <s v="Thiti"/>
    <d v="2026-06-25T00:00:00"/>
    <x v="113"/>
    <d v="2026-06-25T00:00:00"/>
    <x v="0"/>
    <x v="0"/>
    <x v="0"/>
    <m/>
    <m/>
    <m/>
    <m/>
    <m/>
    <m/>
    <m/>
    <m/>
    <m/>
    <m/>
    <m/>
    <m/>
    <m/>
    <m/>
    <m/>
    <m/>
    <m/>
    <m/>
    <m/>
    <m/>
    <m/>
    <m/>
    <m/>
    <m/>
    <m/>
    <m/>
    <m/>
    <m/>
  </r>
  <r>
    <x v="23"/>
    <x v="5"/>
    <x v="7"/>
    <x v="24"/>
    <s v="Confirm DFA Powerboard of viper version 14.5"/>
    <m/>
    <s v="Bunnarak"/>
    <d v="2026-06-24T00:00:00"/>
    <x v="113"/>
    <d v="2026-06-25T00:00:00"/>
    <x v="0"/>
    <x v="0"/>
    <x v="0"/>
    <m/>
    <m/>
    <m/>
    <m/>
    <m/>
    <m/>
    <m/>
    <m/>
    <m/>
    <m/>
    <m/>
    <m/>
    <m/>
    <m/>
    <m/>
    <m/>
    <m/>
    <m/>
    <m/>
    <m/>
    <m/>
    <m/>
    <m/>
    <m/>
    <m/>
    <m/>
    <m/>
    <m/>
  </r>
  <r>
    <x v="23"/>
    <x v="5"/>
    <x v="1"/>
    <x v="2"/>
    <s v="Kick-Off New Project AMW 03767"/>
    <s v="Bernina"/>
    <s v="Bunnarak"/>
    <d v="2026-06-24T00:00:00"/>
    <x v="112"/>
    <d v="2026-06-24T00:00:00"/>
    <x v="0"/>
    <x v="0"/>
    <x v="0"/>
    <m/>
    <m/>
    <m/>
    <m/>
    <m/>
    <m/>
    <m/>
    <m/>
    <m/>
    <m/>
    <m/>
    <m/>
    <m/>
    <m/>
    <m/>
    <m/>
    <m/>
    <m/>
    <m/>
    <m/>
    <m/>
    <m/>
    <m/>
    <m/>
    <m/>
    <m/>
    <m/>
    <m/>
  </r>
  <r>
    <x v="23"/>
    <x v="5"/>
    <x v="1"/>
    <x v="2"/>
    <s v="Kick off MCON Project"/>
    <s v="GUTOR_x000a_"/>
    <s v="Bunnarak"/>
    <d v="2026-06-25T00:00:00"/>
    <x v="113"/>
    <d v="2026-06-25T00:00:00"/>
    <x v="0"/>
    <x v="0"/>
    <x v="0"/>
    <m/>
    <m/>
    <m/>
    <m/>
    <m/>
    <m/>
    <m/>
    <m/>
    <m/>
    <m/>
    <m/>
    <m/>
    <m/>
    <m/>
    <m/>
    <m/>
    <m/>
    <m/>
    <m/>
    <m/>
    <m/>
    <m/>
    <m/>
    <m/>
    <m/>
    <m/>
    <m/>
    <m/>
  </r>
  <r>
    <x v="23"/>
    <x v="5"/>
    <x v="6"/>
    <x v="17"/>
    <s v="AMW QUO818 NPI Integrtaion requirement"/>
    <s v="GUTOR_x000a_"/>
    <s v="Bunnarak"/>
    <d v="2026-06-26T00:00:00"/>
    <x v="116"/>
    <d v="2026-06-29T00:00:00"/>
    <x v="0"/>
    <x v="0"/>
    <x v="0"/>
    <m/>
    <m/>
    <m/>
    <m/>
    <m/>
    <m/>
    <m/>
    <m/>
    <m/>
    <m/>
    <m/>
    <m/>
    <m/>
    <m/>
    <m/>
    <m/>
    <m/>
    <m/>
    <m/>
    <m/>
    <m/>
    <m/>
    <m/>
    <m/>
    <m/>
    <m/>
    <m/>
    <m/>
  </r>
  <r>
    <x v="23"/>
    <x v="5"/>
    <x v="8"/>
    <x v="29"/>
    <s v="Prepare KAIZEN report"/>
    <m/>
    <s v="Bunnarak"/>
    <d v="2026-06-26T00:00:00"/>
    <x v="114"/>
    <d v="2026-06-29T00:00:00"/>
    <x v="0"/>
    <x v="0"/>
    <x v="1"/>
    <m/>
    <m/>
    <m/>
    <m/>
    <m/>
    <m/>
    <m/>
    <m/>
    <m/>
    <m/>
    <m/>
    <m/>
    <m/>
    <m/>
    <m/>
    <m/>
    <m/>
    <m/>
    <m/>
    <m/>
    <m/>
    <m/>
    <m/>
    <m/>
    <m/>
    <m/>
    <m/>
    <m/>
  </r>
  <r>
    <x v="23"/>
    <x v="5"/>
    <x v="1"/>
    <x v="2"/>
    <s v="JRI weekly project review"/>
    <s v="JRI"/>
    <s v="Tae"/>
    <d v="2026-06-22T00:00:00"/>
    <x v="115"/>
    <d v="2026-06-22T00:00:00"/>
    <x v="0"/>
    <x v="0"/>
    <x v="0"/>
    <m/>
    <m/>
    <m/>
    <m/>
    <m/>
    <m/>
    <m/>
    <m/>
    <m/>
    <m/>
    <m/>
    <m/>
    <m/>
    <m/>
    <m/>
    <m/>
    <m/>
    <m/>
    <m/>
    <m/>
    <m/>
    <m/>
    <m/>
    <m/>
    <m/>
    <m/>
    <m/>
    <m/>
  </r>
  <r>
    <x v="23"/>
    <x v="5"/>
    <x v="4"/>
    <x v="8"/>
    <s v="Basic Label Training by Brady"/>
    <m/>
    <s v="Tae"/>
    <d v="2026-06-24T00:00:00"/>
    <x v="112"/>
    <d v="2026-06-24T00:00:00"/>
    <x v="0"/>
    <x v="0"/>
    <x v="0"/>
    <m/>
    <m/>
    <m/>
    <m/>
    <m/>
    <m/>
    <m/>
    <m/>
    <m/>
    <m/>
    <m/>
    <m/>
    <m/>
    <m/>
    <m/>
    <m/>
    <m/>
    <m/>
    <m/>
    <m/>
    <m/>
    <m/>
    <m/>
    <m/>
    <m/>
    <m/>
    <m/>
    <m/>
  </r>
  <r>
    <x v="23"/>
    <x v="5"/>
    <x v="1"/>
    <x v="2"/>
    <s v=" Kick-Off New Project AMW 03767"/>
    <s v="Bernina"/>
    <s v="Tae"/>
    <d v="2026-06-24T00:00:00"/>
    <x v="112"/>
    <d v="2026-06-24T00:00:00"/>
    <x v="0"/>
    <x v="0"/>
    <x v="0"/>
    <m/>
    <m/>
    <m/>
    <m/>
    <m/>
    <m/>
    <m/>
    <m/>
    <m/>
    <m/>
    <m/>
    <m/>
    <m/>
    <m/>
    <m/>
    <m/>
    <m/>
    <m/>
    <m/>
    <m/>
    <m/>
    <m/>
    <m/>
    <m/>
    <m/>
    <m/>
    <m/>
    <m/>
  </r>
  <r>
    <x v="23"/>
    <x v="5"/>
    <x v="8"/>
    <x v="29"/>
    <s v="Prepare KAIZEN report"/>
    <m/>
    <s v="Tae"/>
    <d v="2026-06-24T00:00:00"/>
    <x v="113"/>
    <d v="2026-06-25T00:00:00"/>
    <x v="0"/>
    <x v="0"/>
    <x v="0"/>
    <m/>
    <m/>
    <m/>
    <m/>
    <m/>
    <m/>
    <m/>
    <m/>
    <m/>
    <m/>
    <m/>
    <m/>
    <m/>
    <m/>
    <m/>
    <m/>
    <m/>
    <m/>
    <m/>
    <m/>
    <m/>
    <m/>
    <m/>
    <m/>
    <m/>
    <m/>
    <m/>
    <m/>
  </r>
  <r>
    <x v="23"/>
    <x v="5"/>
    <x v="7"/>
    <x v="24"/>
    <s v="Confirm DFA Powerboard of viper version 14.5"/>
    <s v="EnerSys"/>
    <s v="Tae"/>
    <d v="2026-06-24T00:00:00"/>
    <x v="113"/>
    <d v="2026-06-25T00:00:00"/>
    <x v="0"/>
    <x v="0"/>
    <x v="0"/>
    <m/>
    <m/>
    <m/>
    <m/>
    <m/>
    <m/>
    <m/>
    <m/>
    <m/>
    <m/>
    <m/>
    <m/>
    <m/>
    <m/>
    <m/>
    <m/>
    <m/>
    <m/>
    <m/>
    <m/>
    <m/>
    <m/>
    <m/>
    <m/>
    <m/>
    <m/>
    <m/>
    <m/>
  </r>
  <r>
    <x v="23"/>
    <x v="5"/>
    <x v="7"/>
    <x v="24"/>
    <s v="Confirm 5 push pins – S08FNT0F Rev. H and 4 push pins – S08FNT0D Rev. J "/>
    <s v="EnerSys"/>
    <s v="Tae"/>
    <d v="2026-06-24T00:00:00"/>
    <x v="113"/>
    <d v="2026-06-25T00:00:00"/>
    <x v="0"/>
    <x v="0"/>
    <x v="0"/>
    <m/>
    <m/>
    <m/>
    <m/>
    <m/>
    <m/>
    <m/>
    <m/>
    <m/>
    <m/>
    <m/>
    <m/>
    <m/>
    <m/>
    <m/>
    <m/>
    <m/>
    <m/>
    <m/>
    <m/>
    <m/>
    <m/>
    <m/>
    <m/>
    <m/>
    <m/>
    <m/>
    <m/>
  </r>
  <r>
    <x v="23"/>
    <x v="5"/>
    <x v="2"/>
    <x v="28"/>
    <s v="Review Kick off MCON project"/>
    <s v="GUTOR_x000a_"/>
    <s v="Tae"/>
    <d v="2026-06-26T00:00:00"/>
    <x v="117"/>
    <d v="2026-06-30T00:00:00"/>
    <x v="0"/>
    <x v="0"/>
    <x v="0"/>
    <m/>
    <m/>
    <m/>
    <m/>
    <m/>
    <m/>
    <m/>
    <m/>
    <m/>
    <m/>
    <m/>
    <m/>
    <m/>
    <m/>
    <m/>
    <m/>
    <m/>
    <m/>
    <m/>
    <m/>
    <m/>
    <m/>
    <m/>
    <m/>
    <m/>
    <m/>
    <m/>
    <m/>
  </r>
  <r>
    <x v="23"/>
    <x v="5"/>
    <x v="6"/>
    <x v="12"/>
    <s v="AMW-QUO972 Rev02.01 RFQ Packing"/>
    <s v="Gutor"/>
    <s v="Chutiporn"/>
    <d v="2026-06-26T00:00:00"/>
    <x v="116"/>
    <d v="2026-06-29T00:00:00"/>
    <x v="0"/>
    <x v="0"/>
    <x v="0"/>
    <m/>
    <m/>
    <m/>
    <m/>
    <m/>
    <m/>
    <m/>
    <m/>
    <m/>
    <m/>
    <m/>
    <m/>
    <m/>
    <m/>
    <m/>
    <m/>
    <m/>
    <m/>
    <m/>
    <m/>
    <m/>
    <m/>
    <m/>
    <m/>
    <m/>
    <m/>
    <m/>
    <m/>
  </r>
  <r>
    <x v="24"/>
    <x v="5"/>
    <x v="5"/>
    <x v="11"/>
    <s v="AMW 03486-WE prepare and share packing concept"/>
    <s v="Fonroche"/>
    <s v="Chutiporn"/>
    <d v="2026-06-29T00:00:00"/>
    <x v="116"/>
    <d v="2026-06-29T00:00:00"/>
    <x v="0"/>
    <x v="0"/>
    <x v="0"/>
    <m/>
    <m/>
    <m/>
    <m/>
    <m/>
    <m/>
    <m/>
    <m/>
    <m/>
    <m/>
    <m/>
    <m/>
    <m/>
    <m/>
    <m/>
    <m/>
    <m/>
    <m/>
    <m/>
    <m/>
    <m/>
    <m/>
    <m/>
    <m/>
    <m/>
    <m/>
    <m/>
    <m/>
  </r>
  <r>
    <x v="24"/>
    <x v="5"/>
    <x v="5"/>
    <x v="11"/>
    <s v="AMW 03734 prepare and share packing concept"/>
    <s v="Mattel"/>
    <s v="Chutiporn"/>
    <d v="2026-06-29T00:00:00"/>
    <x v="116"/>
    <d v="2026-06-29T00:00:00"/>
    <x v="0"/>
    <x v="0"/>
    <x v="0"/>
    <m/>
    <m/>
    <m/>
    <m/>
    <m/>
    <m/>
    <m/>
    <m/>
    <m/>
    <m/>
    <m/>
    <m/>
    <m/>
    <m/>
    <m/>
    <m/>
    <m/>
    <m/>
    <m/>
    <m/>
    <m/>
    <m/>
    <m/>
    <m/>
    <m/>
    <m/>
    <m/>
    <m/>
  </r>
  <r>
    <x v="24"/>
    <x v="5"/>
    <x v="5"/>
    <x v="11"/>
    <s v="AMW 03743 STIWA prepare and share packing concept"/>
    <s v="Stiwa"/>
    <s v="Chutiporn"/>
    <d v="2026-06-29T00:00:00"/>
    <x v="116"/>
    <d v="2026-06-29T00:00:00"/>
    <x v="0"/>
    <x v="0"/>
    <x v="0"/>
    <m/>
    <m/>
    <m/>
    <m/>
    <m/>
    <m/>
    <m/>
    <m/>
    <m/>
    <m/>
    <m/>
    <m/>
    <m/>
    <m/>
    <m/>
    <m/>
    <m/>
    <m/>
    <m/>
    <m/>
    <m/>
    <m/>
    <m/>
    <m/>
    <m/>
    <m/>
    <m/>
    <m/>
  </r>
  <r>
    <x v="24"/>
    <x v="5"/>
    <x v="6"/>
    <x v="12"/>
    <s v="AMW QUO984 RFQ packing"/>
    <s v="Enersys"/>
    <s v="Chutiporn"/>
    <d v="2026-06-29T00:00:00"/>
    <x v="117"/>
    <d v="2026-06-29T00:00:00"/>
    <x v="0"/>
    <x v="0"/>
    <x v="0"/>
    <m/>
    <m/>
    <m/>
    <m/>
    <m/>
    <m/>
    <m/>
    <m/>
    <m/>
    <m/>
    <m/>
    <m/>
    <m/>
    <m/>
    <m/>
    <m/>
    <m/>
    <m/>
    <m/>
    <m/>
    <m/>
    <m/>
    <m/>
    <m/>
    <m/>
    <m/>
    <m/>
    <m/>
  </r>
  <r>
    <x v="24"/>
    <x v="5"/>
    <x v="5"/>
    <x v="11"/>
    <s v="AMW 03502 prepare and share packing sample concept"/>
    <s v="Maatel"/>
    <s v="Chutiporn"/>
    <d v="2026-06-29T00:00:00"/>
    <x v="117"/>
    <d v="2026-06-29T00:00:00"/>
    <x v="0"/>
    <x v="0"/>
    <x v="0"/>
    <m/>
    <m/>
    <m/>
    <m/>
    <m/>
    <m/>
    <m/>
    <m/>
    <m/>
    <m/>
    <m/>
    <m/>
    <m/>
    <m/>
    <m/>
    <m/>
    <m/>
    <m/>
    <m/>
    <m/>
    <m/>
    <m/>
    <m/>
    <m/>
    <m/>
    <m/>
    <m/>
    <m/>
  </r>
  <r>
    <x v="24"/>
    <x v="5"/>
    <x v="6"/>
    <x v="12"/>
    <s v="AMW-QUO776 Rev03.01 RFQ Packing"/>
    <s v="Maatel"/>
    <s v="Chutiporn"/>
    <d v="2026-06-30T00:00:00"/>
    <x v="118"/>
    <d v="2026-06-30T00:00:00"/>
    <x v="0"/>
    <x v="0"/>
    <x v="0"/>
    <m/>
    <m/>
    <m/>
    <m/>
    <m/>
    <m/>
    <m/>
    <m/>
    <m/>
    <m/>
    <m/>
    <m/>
    <m/>
    <m/>
    <m/>
    <m/>
    <m/>
    <m/>
    <m/>
    <m/>
    <m/>
    <m/>
    <m/>
    <m/>
    <m/>
    <m/>
    <m/>
    <m/>
  </r>
  <r>
    <x v="24"/>
    <x v="5"/>
    <x v="5"/>
    <x v="11"/>
    <s v="Prepare and sharing packing concept sample AMW03533SP, AMW03534SP, 03535"/>
    <s v="Traco"/>
    <s v="Chutiporn"/>
    <d v="2026-06-30T00:00:00"/>
    <x v="118"/>
    <d v="2026-06-30T00:00:00"/>
    <x v="0"/>
    <x v="0"/>
    <x v="0"/>
    <m/>
    <m/>
    <m/>
    <m/>
    <m/>
    <m/>
    <m/>
    <m/>
    <m/>
    <m/>
    <m/>
    <m/>
    <m/>
    <m/>
    <m/>
    <m/>
    <m/>
    <m/>
    <m/>
    <m/>
    <m/>
    <m/>
    <m/>
    <m/>
    <m/>
    <m/>
    <m/>
    <m/>
  </r>
  <r>
    <x v="24"/>
    <x v="5"/>
    <x v="5"/>
    <x v="9"/>
    <s v="Update external pacckaging concept for mode AMW 03767"/>
    <s v="Bernina"/>
    <s v="Chutiporn"/>
    <d v="2026-06-30T00:00:00"/>
    <x v="118"/>
    <d v="2026-07-01T00:00:00"/>
    <x v="0"/>
    <x v="0"/>
    <x v="0"/>
    <m/>
    <m/>
    <m/>
    <m/>
    <m/>
    <m/>
    <m/>
    <m/>
    <m/>
    <m/>
    <m/>
    <m/>
    <m/>
    <m/>
    <m/>
    <m/>
    <m/>
    <m/>
    <m/>
    <m/>
    <m/>
    <m/>
    <m/>
    <m/>
    <m/>
    <m/>
    <m/>
    <m/>
  </r>
  <r>
    <x v="24"/>
    <x v="5"/>
    <x v="5"/>
    <x v="13"/>
    <s v="Confirm TRACO TIP MasterCarton packing concept "/>
    <s v="Traco"/>
    <s v="Chutiporn"/>
    <d v="2026-06-30T00:00:00"/>
    <x v="119"/>
    <d v="2026-07-02T00:00:00"/>
    <x v="0"/>
    <x v="0"/>
    <x v="0"/>
    <m/>
    <m/>
    <m/>
    <m/>
    <m/>
    <m/>
    <m/>
    <m/>
    <m/>
    <m/>
    <m/>
    <m/>
    <m/>
    <m/>
    <m/>
    <m/>
    <m/>
    <m/>
    <m/>
    <m/>
    <m/>
    <m/>
    <m/>
    <m/>
    <m/>
    <m/>
    <m/>
    <m/>
  </r>
  <r>
    <x v="24"/>
    <x v="6"/>
    <x v="5"/>
    <x v="11"/>
    <s v="AMW 03719 prepare and sharing packing concept sample"/>
    <m/>
    <s v="Chutiporn"/>
    <d v="2026-07-01T00:00:00"/>
    <x v="118"/>
    <d v="2026-07-01T00:00:00"/>
    <x v="0"/>
    <x v="0"/>
    <x v="0"/>
    <m/>
    <m/>
    <m/>
    <m/>
    <m/>
    <m/>
    <m/>
    <m/>
    <m/>
    <m/>
    <m/>
    <m/>
    <m/>
    <m/>
    <m/>
    <m/>
    <m/>
    <m/>
    <m/>
    <m/>
    <m/>
    <m/>
    <m/>
    <m/>
    <m/>
    <m/>
    <m/>
    <m/>
  </r>
  <r>
    <x v="24"/>
    <x v="6"/>
    <x v="6"/>
    <x v="12"/>
    <s v="AMW 03617-00-01 Kit option packing standard "/>
    <s v="EnerSys"/>
    <s v="Chutiporn"/>
    <d v="2026-07-02T00:00:00"/>
    <x v="120"/>
    <d v="2026-07-02T00:00:00"/>
    <x v="0"/>
    <x v="0"/>
    <x v="0"/>
    <m/>
    <m/>
    <m/>
    <m/>
    <m/>
    <m/>
    <m/>
    <m/>
    <m/>
    <m/>
    <m/>
    <m/>
    <m/>
    <m/>
    <m/>
    <m/>
    <m/>
    <m/>
    <m/>
    <m/>
    <m/>
    <m/>
    <m/>
    <m/>
    <m/>
    <m/>
    <m/>
    <m/>
  </r>
  <r>
    <x v="24"/>
    <x v="6"/>
    <x v="5"/>
    <x v="13"/>
    <s v="Confirm customer quetion for AMW03743 Haoticore4"/>
    <s v="Stiwa"/>
    <s v="Chutiporn"/>
    <d v="2026-07-03T00:00:00"/>
    <x v="120"/>
    <d v="2026-07-03T00:00:00"/>
    <x v="0"/>
    <x v="0"/>
    <x v="0"/>
    <m/>
    <m/>
    <m/>
    <m/>
    <m/>
    <m/>
    <m/>
    <m/>
    <m/>
    <m/>
    <m/>
    <m/>
    <m/>
    <m/>
    <m/>
    <m/>
    <m/>
    <m/>
    <m/>
    <m/>
    <m/>
    <m/>
    <m/>
    <m/>
    <m/>
    <m/>
    <m/>
    <m/>
  </r>
  <r>
    <x v="24"/>
    <x v="5"/>
    <x v="0"/>
    <x v="0"/>
    <s v="Preapare Action report for AMW 03676 LEACH that found packaging damaged"/>
    <s v="Leach"/>
    <s v="Thiti"/>
    <d v="2026-06-29T00:00:00"/>
    <x v="116"/>
    <d v="2026-06-29T00:00:00"/>
    <x v="0"/>
    <x v="0"/>
    <x v="0"/>
    <m/>
    <m/>
    <m/>
    <m/>
    <m/>
    <m/>
    <m/>
    <m/>
    <m/>
    <m/>
    <m/>
    <m/>
    <m/>
    <m/>
    <m/>
    <m/>
    <m/>
    <m/>
    <m/>
    <m/>
    <m/>
    <m/>
    <m/>
    <m/>
    <m/>
    <m/>
    <m/>
    <m/>
  </r>
  <r>
    <x v="24"/>
    <x v="5"/>
    <x v="0"/>
    <x v="0"/>
    <s v="Review AMW 03668 overmolding's measurement data of HV and AMW"/>
    <s v="JRI"/>
    <s v="Thiti"/>
    <d v="2026-06-29T00:00:00"/>
    <x v="116"/>
    <d v="2026-06-29T00:00:00"/>
    <x v="0"/>
    <x v="0"/>
    <x v="0"/>
    <m/>
    <m/>
    <m/>
    <m/>
    <m/>
    <m/>
    <m/>
    <m/>
    <m/>
    <m/>
    <m/>
    <m/>
    <m/>
    <m/>
    <m/>
    <m/>
    <m/>
    <m/>
    <m/>
    <m/>
    <m/>
    <m/>
    <m/>
    <m/>
    <m/>
    <m/>
    <m/>
    <m/>
  </r>
  <r>
    <x v="24"/>
    <x v="5"/>
    <x v="1"/>
    <x v="2"/>
    <s v="JRI Weekly meeting"/>
    <s v="JRI"/>
    <s v="Thiti"/>
    <d v="2026-06-29T00:00:00"/>
    <x v="116"/>
    <d v="2026-06-29T00:00:00"/>
    <x v="0"/>
    <x v="0"/>
    <x v="0"/>
    <m/>
    <m/>
    <m/>
    <m/>
    <m/>
    <m/>
    <m/>
    <m/>
    <m/>
    <m/>
    <m/>
    <m/>
    <m/>
    <m/>
    <m/>
    <m/>
    <m/>
    <m/>
    <m/>
    <m/>
    <m/>
    <m/>
    <m/>
    <m/>
    <m/>
    <m/>
    <m/>
    <m/>
  </r>
  <r>
    <x v="24"/>
    <x v="5"/>
    <x v="0"/>
    <x v="0"/>
    <s v="Prepare improvement report for improvement Overmolding AMW 03668 to HV"/>
    <m/>
    <s v="Thiti"/>
    <d v="2026-06-30T00:00:00"/>
    <x v="117"/>
    <d v="2026-06-30T00:00:00"/>
    <x v="0"/>
    <x v="0"/>
    <x v="0"/>
    <m/>
    <m/>
    <m/>
    <m/>
    <m/>
    <m/>
    <m/>
    <m/>
    <m/>
    <m/>
    <m/>
    <m/>
    <m/>
    <m/>
    <m/>
    <m/>
    <m/>
    <m/>
    <m/>
    <m/>
    <m/>
    <m/>
    <m/>
    <m/>
    <m/>
    <m/>
    <m/>
    <m/>
  </r>
  <r>
    <x v="24"/>
    <x v="5"/>
    <x v="0"/>
    <x v="0"/>
    <s v="Confirm JRI digital sensor product"/>
    <s v="JRI"/>
    <s v="Thiti"/>
    <d v="2026-06-29T00:00:00"/>
    <x v="117"/>
    <d v="2026-06-29T00:00:00"/>
    <x v="0"/>
    <x v="0"/>
    <x v="0"/>
    <m/>
    <m/>
    <m/>
    <m/>
    <m/>
    <m/>
    <m/>
    <m/>
    <m/>
    <m/>
    <m/>
    <m/>
    <m/>
    <m/>
    <m/>
    <m/>
    <m/>
    <m/>
    <m/>
    <m/>
    <m/>
    <m/>
    <m/>
    <m/>
    <m/>
    <m/>
    <m/>
    <m/>
  </r>
  <r>
    <x v="24"/>
    <x v="5"/>
    <x v="0"/>
    <x v="0"/>
    <s v="Prepare cable spec for soldering of JRI AMW 03689"/>
    <s v="JRI"/>
    <s v="Thiti"/>
    <d v="2026-06-30T00:00:00"/>
    <x v="119"/>
    <d v="2026-07-02T00:00:00"/>
    <x v="0"/>
    <x v="0"/>
    <x v="0"/>
    <m/>
    <m/>
    <m/>
    <m/>
    <m/>
    <m/>
    <m/>
    <m/>
    <m/>
    <m/>
    <m/>
    <m/>
    <m/>
    <m/>
    <m/>
    <m/>
    <m/>
    <m/>
    <m/>
    <m/>
    <m/>
    <m/>
    <m/>
    <m/>
    <m/>
    <m/>
    <m/>
    <m/>
  </r>
  <r>
    <x v="24"/>
    <x v="6"/>
    <x v="1"/>
    <x v="2"/>
    <s v="Join meeting for ZWCAD software presentation"/>
    <m/>
    <s v="Thiti"/>
    <d v="2026-07-01T00:00:00"/>
    <x v="118"/>
    <d v="2026-07-01T00:00:00"/>
    <x v="0"/>
    <x v="0"/>
    <x v="0"/>
    <m/>
    <m/>
    <m/>
    <m/>
    <m/>
    <m/>
    <m/>
    <m/>
    <m/>
    <m/>
    <m/>
    <m/>
    <m/>
    <m/>
    <m/>
    <m/>
    <m/>
    <m/>
    <m/>
    <m/>
    <m/>
    <m/>
    <m/>
    <m/>
    <m/>
    <m/>
    <m/>
    <m/>
  </r>
  <r>
    <x v="24"/>
    <x v="6"/>
    <x v="0"/>
    <x v="31"/>
    <s v="Visit Satys for observe injection machine"/>
    <s v="JRI"/>
    <s v="Thiti"/>
    <d v="2026-07-01T00:00:00"/>
    <x v="118"/>
    <d v="2026-07-01T00:00:00"/>
    <x v="0"/>
    <x v="0"/>
    <x v="0"/>
    <m/>
    <m/>
    <m/>
    <m/>
    <m/>
    <m/>
    <m/>
    <m/>
    <m/>
    <m/>
    <m/>
    <m/>
    <m/>
    <m/>
    <m/>
    <m/>
    <m/>
    <m/>
    <m/>
    <m/>
    <m/>
    <m/>
    <m/>
    <m/>
    <m/>
    <m/>
    <m/>
    <m/>
  </r>
  <r>
    <x v="24"/>
    <x v="6"/>
    <x v="0"/>
    <x v="0"/>
    <s v="Check 3D update for JRI AMW 03669 and prepare report for confim with customer"/>
    <s v="JRI"/>
    <s v="Thiti"/>
    <d v="2026-07-01T00:00:00"/>
    <x v="118"/>
    <d v="2026-07-01T00:00:00"/>
    <x v="0"/>
    <x v="0"/>
    <x v="0"/>
    <m/>
    <m/>
    <m/>
    <m/>
    <m/>
    <m/>
    <m/>
    <m/>
    <m/>
    <m/>
    <m/>
    <m/>
    <m/>
    <m/>
    <m/>
    <m/>
    <m/>
    <m/>
    <m/>
    <m/>
    <m/>
    <m/>
    <m/>
    <m/>
    <m/>
    <m/>
    <m/>
    <m/>
  </r>
  <r>
    <x v="24"/>
    <x v="6"/>
    <x v="0"/>
    <x v="0"/>
    <s v="Confirm updated drawing of MAATEL AMW 03715"/>
    <s v="Maatel"/>
    <s v="Thiti"/>
    <d v="2026-07-01T00:00:00"/>
    <x v="118"/>
    <d v="2026-07-01T00:00:00"/>
    <x v="0"/>
    <x v="0"/>
    <x v="0"/>
    <m/>
    <m/>
    <m/>
    <m/>
    <m/>
    <m/>
    <m/>
    <m/>
    <m/>
    <m/>
    <m/>
    <m/>
    <m/>
    <m/>
    <m/>
    <m/>
    <m/>
    <m/>
    <m/>
    <m/>
    <m/>
    <m/>
    <m/>
    <m/>
    <m/>
    <m/>
    <m/>
    <m/>
  </r>
  <r>
    <x v="24"/>
    <x v="6"/>
    <x v="0"/>
    <x v="33"/>
    <s v="Confirm plastic part plug nano T0"/>
    <s v="JRI"/>
    <s v="Thiti"/>
    <d v="2026-07-02T00:00:00"/>
    <x v="119"/>
    <d v="2026-07-02T00:00:00"/>
    <x v="0"/>
    <x v="0"/>
    <x v="0"/>
    <m/>
    <m/>
    <m/>
    <m/>
    <m/>
    <m/>
    <m/>
    <m/>
    <m/>
    <m/>
    <m/>
    <m/>
    <m/>
    <m/>
    <m/>
    <m/>
    <m/>
    <m/>
    <m/>
    <m/>
    <m/>
    <m/>
    <m/>
    <m/>
    <m/>
    <m/>
    <m/>
    <m/>
  </r>
  <r>
    <x v="24"/>
    <x v="6"/>
    <x v="0"/>
    <x v="0"/>
    <s v="Review DFM of MAATEL AMW 03715 after Cutomer feedback"/>
    <s v="Maatel"/>
    <s v="Thiti"/>
    <d v="2026-07-03T00:00:00"/>
    <x v="120"/>
    <d v="2026-07-03T00:00:00"/>
    <x v="0"/>
    <x v="0"/>
    <x v="0"/>
    <m/>
    <m/>
    <m/>
    <m/>
    <m/>
    <m/>
    <m/>
    <m/>
    <m/>
    <m/>
    <m/>
    <m/>
    <m/>
    <m/>
    <m/>
    <m/>
    <m/>
    <m/>
    <m/>
    <m/>
    <m/>
    <m/>
    <m/>
    <m/>
    <m/>
    <m/>
    <m/>
    <m/>
  </r>
  <r>
    <x v="24"/>
    <x v="6"/>
    <x v="0"/>
    <x v="0"/>
    <s v="Prepare Jig concept for JRI AMW 03669&amp;AMW 03670"/>
    <m/>
    <s v="Thiti"/>
    <d v="2026-07-03T00:00:00"/>
    <x v="120"/>
    <d v="2026-07-03T00:00:00"/>
    <x v="0"/>
    <x v="0"/>
    <x v="0"/>
    <m/>
    <m/>
    <m/>
    <m/>
    <m/>
    <m/>
    <m/>
    <m/>
    <m/>
    <m/>
    <m/>
    <m/>
    <m/>
    <m/>
    <m/>
    <m/>
    <m/>
    <m/>
    <m/>
    <m/>
    <m/>
    <m/>
    <m/>
    <m/>
    <m/>
    <m/>
    <m/>
    <m/>
  </r>
  <r>
    <x v="24"/>
    <x v="5"/>
    <x v="1"/>
    <x v="2"/>
    <s v="JRI Weekly meeting"/>
    <s v="JRI"/>
    <s v="Tae"/>
    <d v="2026-06-29T00:00:00"/>
    <x v="116"/>
    <d v="2026-06-29T00:00:00"/>
    <x v="0"/>
    <x v="0"/>
    <x v="0"/>
    <m/>
    <m/>
    <m/>
    <m/>
    <m/>
    <m/>
    <m/>
    <m/>
    <m/>
    <m/>
    <m/>
    <m/>
    <m/>
    <m/>
    <m/>
    <m/>
    <m/>
    <m/>
    <m/>
    <m/>
    <m/>
    <m/>
    <m/>
    <m/>
    <m/>
    <m/>
    <m/>
    <m/>
  </r>
  <r>
    <x v="24"/>
    <x v="5"/>
    <x v="5"/>
    <x v="30"/>
    <s v="Prepare label template for AMW 03767"/>
    <s v="Bernina"/>
    <s v="Tae"/>
    <d v="2026-06-29T00:00:00"/>
    <x v="117"/>
    <d v="2026-06-29T00:00:00"/>
    <x v="0"/>
    <x v="0"/>
    <x v="0"/>
    <m/>
    <m/>
    <m/>
    <m/>
    <m/>
    <m/>
    <m/>
    <m/>
    <m/>
    <m/>
    <m/>
    <m/>
    <m/>
    <m/>
    <m/>
    <m/>
    <m/>
    <m/>
    <m/>
    <m/>
    <m/>
    <m/>
    <m/>
    <m/>
    <m/>
    <m/>
    <m/>
    <m/>
  </r>
  <r>
    <x v="24"/>
    <x v="5"/>
    <x v="2"/>
    <x v="28"/>
    <s v="Initial review DFM MCON"/>
    <s v="GUTOR_x000a_"/>
    <s v="Tae"/>
    <d v="2026-06-29T00:00:00"/>
    <x v="118"/>
    <d v="2026-06-30T00:00:00"/>
    <x v="0"/>
    <x v="0"/>
    <x v="0"/>
    <m/>
    <m/>
    <m/>
    <m/>
    <m/>
    <m/>
    <m/>
    <m/>
    <m/>
    <m/>
    <m/>
    <m/>
    <m/>
    <m/>
    <m/>
    <m/>
    <m/>
    <m/>
    <m/>
    <m/>
    <m/>
    <m/>
    <m/>
    <m/>
    <m/>
    <m/>
    <m/>
    <m/>
  </r>
  <r>
    <x v="24"/>
    <x v="5"/>
    <x v="7"/>
    <x v="24"/>
    <s v="Initial review DFA MCON"/>
    <s v="GUTOR"/>
    <s v="Tae"/>
    <d v="2026-06-29T00:00:00"/>
    <x v="118"/>
    <d v="2026-06-30T00:00:00"/>
    <x v="0"/>
    <x v="0"/>
    <x v="0"/>
    <m/>
    <m/>
    <m/>
    <m/>
    <m/>
    <m/>
    <m/>
    <m/>
    <m/>
    <m/>
    <m/>
    <m/>
    <m/>
    <m/>
    <m/>
    <m/>
    <m/>
    <m/>
    <m/>
    <m/>
    <m/>
    <m/>
    <m/>
    <m/>
    <m/>
    <m/>
    <m/>
    <m/>
  </r>
  <r>
    <x v="24"/>
    <x v="6"/>
    <x v="1"/>
    <x v="2"/>
    <s v="Join meeting for ZWCAD software presentation"/>
    <m/>
    <s v="Tae"/>
    <d v="2026-07-01T00:00:00"/>
    <x v="118"/>
    <d v="2026-07-01T00:00:00"/>
    <x v="0"/>
    <x v="0"/>
    <x v="0"/>
    <m/>
    <m/>
    <m/>
    <m/>
    <m/>
    <m/>
    <m/>
    <m/>
    <m/>
    <m/>
    <m/>
    <m/>
    <m/>
    <m/>
    <m/>
    <m/>
    <m/>
    <m/>
    <m/>
    <m/>
    <m/>
    <m/>
    <m/>
    <m/>
    <m/>
    <m/>
    <m/>
    <m/>
  </r>
  <r>
    <x v="24"/>
    <x v="6"/>
    <x v="3"/>
    <x v="22"/>
    <s v="Confirm customer feed back AMW 03746"/>
    <s v="JRI"/>
    <s v="Tae"/>
    <d v="2026-07-01T00:00:00"/>
    <x v="119"/>
    <d v="2026-07-02T00:00:00"/>
    <x v="0"/>
    <x v="0"/>
    <x v="0"/>
    <m/>
    <m/>
    <m/>
    <m/>
    <m/>
    <m/>
    <m/>
    <m/>
    <m/>
    <m/>
    <m/>
    <m/>
    <m/>
    <m/>
    <m/>
    <m/>
    <m/>
    <m/>
    <m/>
    <m/>
    <m/>
    <m/>
    <m/>
    <m/>
    <m/>
    <m/>
    <m/>
    <m/>
  </r>
  <r>
    <x v="24"/>
    <x v="5"/>
    <x v="7"/>
    <x v="24"/>
    <s v="Confirm item to request Eng to request Customer for DFM/DFA MCON project"/>
    <m/>
    <s v="Bunnarak"/>
    <d v="2026-06-29T00:00:00"/>
    <x v="116"/>
    <d v="2026-06-29T00:00:00"/>
    <x v="0"/>
    <x v="0"/>
    <x v="0"/>
    <m/>
    <m/>
    <m/>
    <m/>
    <m/>
    <m/>
    <m/>
    <m/>
    <m/>
    <m/>
    <m/>
    <m/>
    <m/>
    <m/>
    <m/>
    <m/>
    <m/>
    <m/>
    <m/>
    <m/>
    <m/>
    <m/>
    <m/>
    <m/>
    <m/>
    <m/>
    <m/>
    <m/>
  </r>
  <r>
    <x v="24"/>
    <x v="5"/>
    <x v="5"/>
    <x v="9"/>
    <s v="Create packing concept of magnetic follow customer request"/>
    <m/>
    <s v="Bunnarak"/>
    <d v="2026-06-30T00:00:00"/>
    <x v="119"/>
    <d v="2026-07-02T00:00:00"/>
    <x v="0"/>
    <x v="0"/>
    <x v="0"/>
    <m/>
    <m/>
    <m/>
    <m/>
    <m/>
    <m/>
    <m/>
    <m/>
    <m/>
    <m/>
    <m/>
    <m/>
    <m/>
    <m/>
    <m/>
    <m/>
    <m/>
    <m/>
    <m/>
    <m/>
    <m/>
    <m/>
    <m/>
    <m/>
    <m/>
    <m/>
    <m/>
    <m/>
  </r>
  <r>
    <x v="24"/>
    <x v="6"/>
    <x v="0"/>
    <x v="31"/>
    <s v="Visit Satys for observe injection machine"/>
    <s v="JRI"/>
    <s v="Bunnarak"/>
    <d v="2026-07-01T00:00:00"/>
    <x v="118"/>
    <d v="2026-07-01T00:00:00"/>
    <x v="0"/>
    <x v="0"/>
    <x v="0"/>
    <m/>
    <m/>
    <m/>
    <m/>
    <m/>
    <m/>
    <m/>
    <m/>
    <m/>
    <m/>
    <m/>
    <m/>
    <m/>
    <m/>
    <m/>
    <m/>
    <m/>
    <m/>
    <m/>
    <m/>
    <m/>
    <m/>
    <m/>
    <m/>
    <m/>
    <m/>
    <m/>
    <m/>
  </r>
  <r>
    <x v="24"/>
    <x v="6"/>
    <x v="1"/>
    <x v="2"/>
    <s v="Join meeting for ZWCAD software presentation"/>
    <m/>
    <s v="Bunnarak"/>
    <d v="2026-07-01T00:00:00"/>
    <x v="118"/>
    <d v="2026-07-01T00:00:00"/>
    <x v="0"/>
    <x v="0"/>
    <x v="0"/>
    <m/>
    <m/>
    <m/>
    <m/>
    <m/>
    <m/>
    <m/>
    <m/>
    <m/>
    <m/>
    <m/>
    <m/>
    <m/>
    <m/>
    <m/>
    <m/>
    <m/>
    <m/>
    <m/>
    <m/>
    <m/>
    <m/>
    <m/>
    <m/>
    <m/>
    <m/>
    <m/>
    <m/>
  </r>
  <r>
    <x v="24"/>
    <x v="6"/>
    <x v="8"/>
    <x v="29"/>
    <s v="Prepare KAIZEN report"/>
    <m/>
    <s v="Bunnarak"/>
    <d v="2026-07-02T00:00:00"/>
    <x v="120"/>
    <d v="2026-07-03T00:00:00"/>
    <x v="0"/>
    <x v="0"/>
    <x v="0"/>
    <m/>
    <m/>
    <m/>
    <m/>
    <m/>
    <m/>
    <m/>
    <m/>
    <m/>
    <m/>
    <m/>
    <m/>
    <m/>
    <m/>
    <m/>
    <m/>
    <m/>
    <m/>
    <m/>
    <m/>
    <m/>
    <m/>
    <m/>
    <m/>
    <m/>
    <m/>
    <m/>
    <m/>
  </r>
  <r>
    <x v="25"/>
    <x v="6"/>
    <x v="5"/>
    <x v="13"/>
    <s v="Confirm tray plug nano AMW03721"/>
    <s v="JRI"/>
    <s v="Chutiporn"/>
    <d v="2026-07-06T00:00:00"/>
    <x v="121"/>
    <d v="2026-07-06T00:00:00"/>
    <x v="0"/>
    <x v="0"/>
    <x v="0"/>
    <m/>
    <m/>
    <m/>
    <m/>
    <m/>
    <m/>
    <m/>
    <m/>
    <m/>
    <m/>
    <m/>
    <m/>
    <m/>
    <m/>
    <m/>
    <m/>
    <m/>
    <m/>
    <m/>
    <m/>
    <m/>
    <m/>
    <m/>
    <m/>
    <m/>
    <m/>
    <m/>
    <m/>
  </r>
  <r>
    <x v="25"/>
    <x v="6"/>
    <x v="5"/>
    <x v="9"/>
    <s v="AMW 03542 prepare temp packing concept"/>
    <m/>
    <s v="Chutiporn"/>
    <d v="2026-07-06T00:00:00"/>
    <x v="121"/>
    <d v="2026-07-06T00:00:00"/>
    <x v="0"/>
    <x v="0"/>
    <x v="0"/>
    <m/>
    <m/>
    <m/>
    <m/>
    <m/>
    <m/>
    <m/>
    <m/>
    <m/>
    <m/>
    <m/>
    <m/>
    <m/>
    <m/>
    <m/>
    <m/>
    <m/>
    <m/>
    <m/>
    <m/>
    <m/>
    <m/>
    <m/>
    <m/>
    <m/>
    <m/>
    <m/>
    <m/>
  </r>
  <r>
    <x v="25"/>
    <x v="6"/>
    <x v="5"/>
    <x v="9"/>
    <s v="AMW 03685 prepare temp packing concept"/>
    <m/>
    <s v="Chutiporn"/>
    <d v="2026-07-06T00:00:00"/>
    <x v="121"/>
    <d v="2026-07-06T00:00:00"/>
    <x v="0"/>
    <x v="0"/>
    <x v="0"/>
    <m/>
    <m/>
    <m/>
    <m/>
    <m/>
    <m/>
    <m/>
    <m/>
    <m/>
    <m/>
    <m/>
    <m/>
    <m/>
    <m/>
    <m/>
    <m/>
    <m/>
    <m/>
    <m/>
    <m/>
    <m/>
    <m/>
    <m/>
    <m/>
    <m/>
    <m/>
    <m/>
    <m/>
  </r>
  <r>
    <x v="25"/>
    <x v="6"/>
    <x v="5"/>
    <x v="13"/>
    <s v="Confirm Packing standard for external send of AMW 03754, AMW03755"/>
    <m/>
    <s v="Chutiporn"/>
    <d v="2026-07-07T00:00:00"/>
    <x v="122"/>
    <d v="2026-07-08T00:00:00"/>
    <x v="0"/>
    <x v="0"/>
    <x v="0"/>
    <m/>
    <m/>
    <m/>
    <m/>
    <m/>
    <m/>
    <m/>
    <m/>
    <m/>
    <m/>
    <m/>
    <m/>
    <m/>
    <m/>
    <m/>
    <m/>
    <m/>
    <m/>
    <m/>
    <m/>
    <m/>
    <m/>
    <m/>
    <m/>
    <m/>
    <m/>
    <m/>
    <m/>
  </r>
  <r>
    <x v="25"/>
    <x v="6"/>
    <x v="5"/>
    <x v="13"/>
    <s v="Confirm tray plug nano AMW03721 Rev2"/>
    <s v="JRI"/>
    <s v="Chutiporn"/>
    <d v="2026-07-07T00:00:00"/>
    <x v="122"/>
    <d v="2026-07-08T00:00:00"/>
    <x v="0"/>
    <x v="0"/>
    <x v="0"/>
    <m/>
    <m/>
    <m/>
    <m/>
    <m/>
    <m/>
    <m/>
    <m/>
    <m/>
    <m/>
    <m/>
    <m/>
    <m/>
    <m/>
    <m/>
    <m/>
    <m/>
    <m/>
    <m/>
    <m/>
    <m/>
    <m/>
    <m/>
    <m/>
    <m/>
    <m/>
    <m/>
    <m/>
  </r>
  <r>
    <x v="25"/>
    <x v="6"/>
    <x v="5"/>
    <x v="13"/>
    <s v="Confirm tray of bernina AMW 03767"/>
    <s v="Bernina"/>
    <s v="Chutiporn"/>
    <d v="2026-07-09T00:00:00"/>
    <x v="123"/>
    <d v="2026-07-09T00:00:00"/>
    <x v="0"/>
    <x v="0"/>
    <x v="0"/>
    <m/>
    <m/>
    <m/>
    <m/>
    <m/>
    <m/>
    <m/>
    <m/>
    <m/>
    <m/>
    <m/>
    <m/>
    <m/>
    <m/>
    <m/>
    <m/>
    <m/>
    <m/>
    <m/>
    <m/>
    <m/>
    <m/>
    <m/>
    <m/>
    <m/>
    <m/>
    <m/>
    <m/>
  </r>
  <r>
    <x v="25"/>
    <x v="6"/>
    <x v="5"/>
    <x v="9"/>
    <s v="AMW 03661 share temp pack concept"/>
    <m/>
    <s v="Chutiporn"/>
    <d v="2026-07-09T00:00:00"/>
    <x v="123"/>
    <d v="2026-07-09T00:00:00"/>
    <x v="0"/>
    <x v="0"/>
    <x v="0"/>
    <m/>
    <m/>
    <m/>
    <m/>
    <m/>
    <m/>
    <m/>
    <m/>
    <m/>
    <m/>
    <m/>
    <m/>
    <m/>
    <m/>
    <m/>
    <m/>
    <m/>
    <m/>
    <m/>
    <m/>
    <m/>
    <m/>
    <m/>
    <m/>
    <m/>
    <m/>
    <m/>
    <m/>
  </r>
  <r>
    <x v="25"/>
    <x v="6"/>
    <x v="6"/>
    <x v="12"/>
    <s v="AMW QUO981 RFQ packing"/>
    <s v="Traco"/>
    <s v="Chutiporn"/>
    <d v="2026-07-09T00:00:00"/>
    <x v="123"/>
    <m/>
    <x v="1"/>
    <x v="1"/>
    <x v="2"/>
    <m/>
    <m/>
    <m/>
    <m/>
    <m/>
    <m/>
    <m/>
    <m/>
    <m/>
    <m/>
    <m/>
    <m/>
    <m/>
    <m/>
    <m/>
    <m/>
    <m/>
    <m/>
    <m/>
    <m/>
    <m/>
    <m/>
    <m/>
    <m/>
    <m/>
    <m/>
    <m/>
    <m/>
  </r>
  <r>
    <x v="25"/>
    <x v="6"/>
    <x v="6"/>
    <x v="12"/>
    <s v="AMW QUO818 rev 03.01 RFQ packaging"/>
    <s v="GUTOR_x000a_"/>
    <s v="Chutiporn"/>
    <d v="2026-07-09T00:00:00"/>
    <x v="123"/>
    <m/>
    <x v="1"/>
    <x v="1"/>
    <x v="2"/>
    <m/>
    <m/>
    <m/>
    <m/>
    <m/>
    <m/>
    <m/>
    <m/>
    <m/>
    <m/>
    <m/>
    <m/>
    <m/>
    <m/>
    <m/>
    <m/>
    <m/>
    <m/>
    <m/>
    <m/>
    <m/>
    <m/>
    <m/>
    <m/>
    <m/>
    <m/>
    <m/>
    <m/>
  </r>
  <r>
    <x v="25"/>
    <x v="6"/>
    <x v="6"/>
    <x v="12"/>
    <s v="AMW QUO997 RFQ Packing"/>
    <s v="Molex"/>
    <s v="Chutiporn"/>
    <d v="2026-07-09T00:00:00"/>
    <x v="123"/>
    <d v="2026-07-09T00:00:00"/>
    <x v="0"/>
    <x v="0"/>
    <x v="0"/>
    <m/>
    <m/>
    <m/>
    <m/>
    <m/>
    <m/>
    <m/>
    <m/>
    <m/>
    <m/>
    <m/>
    <m/>
    <m/>
    <m/>
    <m/>
    <m/>
    <m/>
    <m/>
    <m/>
    <m/>
    <m/>
    <m/>
    <m/>
    <m/>
    <m/>
    <m/>
    <m/>
    <m/>
  </r>
  <r>
    <x v="25"/>
    <x v="6"/>
    <x v="5"/>
    <x v="13"/>
    <s v="Technical support trial individual box for numworks SP"/>
    <s v="Numworks"/>
    <s v="Chutiporn"/>
    <d v="2026-07-10T00:00:00"/>
    <x v="123"/>
    <m/>
    <x v="1"/>
    <x v="1"/>
    <x v="2"/>
    <m/>
    <m/>
    <m/>
    <m/>
    <m/>
    <m/>
    <m/>
    <m/>
    <m/>
    <m/>
    <m/>
    <m/>
    <m/>
    <m/>
    <m/>
    <m/>
    <m/>
    <m/>
    <m/>
    <m/>
    <m/>
    <m/>
    <m/>
    <m/>
    <m/>
    <m/>
    <m/>
    <m/>
  </r>
  <r>
    <x v="25"/>
    <x v="6"/>
    <x v="5"/>
    <x v="30"/>
    <s v="Update label template of AMW 03486-WE"/>
    <m/>
    <s v="Tae"/>
    <d v="2026-07-06T00:00:00"/>
    <x v="124"/>
    <d v="2026-07-06T00:00:00"/>
    <x v="0"/>
    <x v="0"/>
    <x v="0"/>
    <m/>
    <m/>
    <m/>
    <m/>
    <m/>
    <m/>
    <m/>
    <m/>
    <m/>
    <m/>
    <m/>
    <m/>
    <m/>
    <m/>
    <m/>
    <m/>
    <m/>
    <m/>
    <m/>
    <m/>
    <m/>
    <m/>
    <m/>
    <m/>
    <m/>
    <m/>
    <m/>
    <m/>
  </r>
  <r>
    <x v="25"/>
    <x v="6"/>
    <x v="1"/>
    <x v="2"/>
    <s v="JRI Weekly meeting"/>
    <s v="JRI"/>
    <s v="Tae"/>
    <d v="2026-07-06T00:00:00"/>
    <x v="124"/>
    <d v="2026-07-06T00:00:00"/>
    <x v="0"/>
    <x v="0"/>
    <x v="0"/>
    <m/>
    <m/>
    <m/>
    <m/>
    <m/>
    <m/>
    <m/>
    <m/>
    <m/>
    <m/>
    <m/>
    <m/>
    <m/>
    <m/>
    <m/>
    <m/>
    <m/>
    <m/>
    <m/>
    <m/>
    <m/>
    <m/>
    <m/>
    <m/>
    <m/>
    <m/>
    <m/>
    <m/>
  </r>
  <r>
    <x v="25"/>
    <x v="6"/>
    <x v="2"/>
    <x v="28"/>
    <s v="Part DFM MCON"/>
    <s v="Gutor"/>
    <s v="Tae"/>
    <d v="2026-07-06T00:00:00"/>
    <x v="122"/>
    <d v="2026-07-08T00:00:00"/>
    <x v="0"/>
    <x v="0"/>
    <x v="0"/>
    <m/>
    <m/>
    <m/>
    <m/>
    <m/>
    <m/>
    <m/>
    <m/>
    <m/>
    <m/>
    <m/>
    <m/>
    <m/>
    <m/>
    <m/>
    <m/>
    <m/>
    <m/>
    <m/>
    <m/>
    <m/>
    <m/>
    <m/>
    <m/>
    <m/>
    <m/>
    <m/>
    <m/>
  </r>
  <r>
    <x v="25"/>
    <x v="6"/>
    <x v="7"/>
    <x v="20"/>
    <s v="DFA MCON"/>
    <s v="Gutor"/>
    <s v="Tae"/>
    <d v="2026-07-06T00:00:00"/>
    <x v="122"/>
    <d v="2026-07-08T00:00:00"/>
    <x v="0"/>
    <x v="0"/>
    <x v="0"/>
    <m/>
    <m/>
    <m/>
    <m/>
    <m/>
    <m/>
    <m/>
    <m/>
    <m/>
    <m/>
    <m/>
    <m/>
    <m/>
    <m/>
    <m/>
    <m/>
    <m/>
    <m/>
    <m/>
    <m/>
    <m/>
    <m/>
    <m/>
    <m/>
    <m/>
    <m/>
    <m/>
    <m/>
  </r>
  <r>
    <x v="25"/>
    <x v="6"/>
    <x v="0"/>
    <x v="0"/>
    <s v="Weekly tooling progress follow up(AMW-YPC) Stand-alone project"/>
    <s v="Enersys"/>
    <s v="Tae"/>
    <d v="2026-07-07T00:00:00"/>
    <x v="121"/>
    <d v="2026-07-07T00:00:00"/>
    <x v="0"/>
    <x v="0"/>
    <x v="0"/>
    <m/>
    <m/>
    <m/>
    <m/>
    <m/>
    <m/>
    <m/>
    <m/>
    <m/>
    <m/>
    <m/>
    <m/>
    <m/>
    <m/>
    <m/>
    <m/>
    <m/>
    <m/>
    <m/>
    <m/>
    <m/>
    <m/>
    <m/>
    <m/>
    <m/>
    <m/>
    <m/>
    <m/>
  </r>
  <r>
    <x v="25"/>
    <x v="6"/>
    <x v="5"/>
    <x v="30"/>
    <s v="Update label template of Gutor IGBT ANW 03256-R.BD"/>
    <s v="GUTOR_x000a_"/>
    <s v="Tae"/>
    <d v="2026-07-07T00:00:00"/>
    <x v="122"/>
    <d v="2026-07-08T00:00:00"/>
    <x v="0"/>
    <x v="0"/>
    <x v="0"/>
    <m/>
    <m/>
    <m/>
    <m/>
    <m/>
    <m/>
    <m/>
    <m/>
    <m/>
    <m/>
    <m/>
    <m/>
    <m/>
    <m/>
    <m/>
    <m/>
    <m/>
    <m/>
    <m/>
    <m/>
    <m/>
    <m/>
    <m/>
    <m/>
    <m/>
    <m/>
    <m/>
    <m/>
  </r>
  <r>
    <x v="25"/>
    <x v="6"/>
    <x v="0"/>
    <x v="33"/>
    <s v="Confirm assembly plug nano T0 Metal with plastic part"/>
    <s v="JRI"/>
    <s v="Tae"/>
    <d v="2026-07-08T00:00:00"/>
    <x v="125"/>
    <d v="2026-07-09T00:00:00"/>
    <x v="0"/>
    <x v="0"/>
    <x v="0"/>
    <m/>
    <m/>
    <m/>
    <m/>
    <m/>
    <m/>
    <m/>
    <m/>
    <m/>
    <m/>
    <m/>
    <m/>
    <m/>
    <m/>
    <m/>
    <m/>
    <m/>
    <m/>
    <m/>
    <m/>
    <m/>
    <m/>
    <m/>
    <m/>
    <m/>
    <m/>
    <m/>
    <m/>
  </r>
  <r>
    <x v="25"/>
    <x v="6"/>
    <x v="7"/>
    <x v="24"/>
    <s v="Review DFA for light guide and CoverPanel of Cabinet viper"/>
    <s v="Enersys"/>
    <s v="Tae"/>
    <d v="2026-07-08T00:00:00"/>
    <x v="125"/>
    <d v="2026-07-08T00:00:00"/>
    <x v="0"/>
    <x v="0"/>
    <x v="0"/>
    <m/>
    <m/>
    <m/>
    <m/>
    <m/>
    <m/>
    <m/>
    <m/>
    <m/>
    <m/>
    <m/>
    <m/>
    <m/>
    <m/>
    <m/>
    <m/>
    <m/>
    <m/>
    <m/>
    <m/>
    <m/>
    <m/>
    <m/>
    <m/>
    <m/>
    <m/>
    <m/>
    <m/>
  </r>
  <r>
    <x v="25"/>
    <x v="6"/>
    <x v="8"/>
    <x v="29"/>
    <s v="Confirm foam Estimate Quotation for Kaizen"/>
    <s v="Gutor"/>
    <s v="Tae"/>
    <d v="2026-07-10T00:00:00"/>
    <x v="123"/>
    <m/>
    <x v="1"/>
    <x v="1"/>
    <x v="2"/>
    <m/>
    <m/>
    <m/>
    <m/>
    <m/>
    <m/>
    <m/>
    <m/>
    <m/>
    <m/>
    <m/>
    <m/>
    <m/>
    <m/>
    <m/>
    <m/>
    <m/>
    <m/>
    <m/>
    <m/>
    <m/>
    <m/>
    <m/>
    <m/>
    <m/>
    <m/>
    <m/>
    <m/>
  </r>
  <r>
    <x v="25"/>
    <x v="6"/>
    <x v="1"/>
    <x v="2"/>
    <s v="JRI Weekly meeting"/>
    <s v="JRI"/>
    <s v="Thiti"/>
    <d v="2026-07-06T00:00:00"/>
    <x v="124"/>
    <d v="2026-07-06T00:00:00"/>
    <x v="0"/>
    <x v="0"/>
    <x v="0"/>
    <m/>
    <m/>
    <m/>
    <m/>
    <m/>
    <m/>
    <m/>
    <m/>
    <m/>
    <m/>
    <m/>
    <m/>
    <m/>
    <m/>
    <m/>
    <m/>
    <m/>
    <m/>
    <m/>
    <m/>
    <m/>
    <m/>
    <m/>
    <m/>
    <m/>
    <m/>
    <m/>
    <m/>
  </r>
  <r>
    <x v="25"/>
    <x v="6"/>
    <x v="1"/>
    <x v="2"/>
    <s v="JRI Overmold project meeting"/>
    <s v="JRI"/>
    <s v="Thiti"/>
    <d v="2026-07-06T00:00:00"/>
    <x v="124"/>
    <d v="2026-07-06T00:00:00"/>
    <x v="0"/>
    <x v="0"/>
    <x v="0"/>
    <m/>
    <m/>
    <m/>
    <m/>
    <m/>
    <m/>
    <m/>
    <m/>
    <m/>
    <m/>
    <m/>
    <m/>
    <m/>
    <m/>
    <m/>
    <m/>
    <m/>
    <m/>
    <m/>
    <m/>
    <m/>
    <m/>
    <m/>
    <m/>
    <m/>
    <m/>
    <m/>
    <m/>
  </r>
  <r>
    <x v="25"/>
    <x v="6"/>
    <x v="0"/>
    <x v="0"/>
    <s v="Weekly tooling progress follow up(AMW-YPC) Stand-alone project"/>
    <s v="Enersys"/>
    <s v="Thiti"/>
    <d v="2026-07-07T00:00:00"/>
    <x v="121"/>
    <d v="2026-07-07T00:00:00"/>
    <x v="0"/>
    <x v="0"/>
    <x v="0"/>
    <m/>
    <m/>
    <m/>
    <m/>
    <m/>
    <m/>
    <m/>
    <m/>
    <m/>
    <m/>
    <m/>
    <m/>
    <m/>
    <m/>
    <m/>
    <m/>
    <m/>
    <m/>
    <m/>
    <m/>
    <m/>
    <m/>
    <m/>
    <m/>
    <m/>
    <m/>
    <m/>
    <m/>
  </r>
  <r>
    <x v="25"/>
    <x v="6"/>
    <x v="0"/>
    <x v="0"/>
    <s v="Weekly tooling progress follow up(AMW-YPC) Stand-alone project"/>
    <s v="Enersys"/>
    <s v="Thiti"/>
    <d v="2026-07-07T00:00:00"/>
    <x v="121"/>
    <d v="2026-07-07T00:00:00"/>
    <x v="0"/>
    <x v="0"/>
    <x v="0"/>
    <m/>
    <m/>
    <m/>
    <m/>
    <m/>
    <m/>
    <m/>
    <m/>
    <m/>
    <m/>
    <m/>
    <m/>
    <m/>
    <m/>
    <m/>
    <m/>
    <m/>
    <m/>
    <m/>
    <m/>
    <m/>
    <m/>
    <m/>
    <m/>
    <m/>
    <m/>
    <m/>
    <m/>
  </r>
  <r>
    <x v="25"/>
    <x v="6"/>
    <x v="3"/>
    <x v="6"/>
    <s v=" AMW-QUO770 Rev 01.01 _ Project IM65XI DFM Mold"/>
    <s v="Maatel"/>
    <s v="Thiti"/>
    <d v="2026-07-08T00:00:00"/>
    <x v="125"/>
    <d v="2026-07-09T00:00:00"/>
    <x v="0"/>
    <x v="0"/>
    <x v="0"/>
    <m/>
    <m/>
    <m/>
    <m/>
    <m/>
    <m/>
    <m/>
    <m/>
    <m/>
    <m/>
    <m/>
    <m/>
    <m/>
    <m/>
    <m/>
    <m/>
    <m/>
    <m/>
    <m/>
    <m/>
    <m/>
    <m/>
    <m/>
    <m/>
    <m/>
    <m/>
    <m/>
    <m/>
  </r>
  <r>
    <x v="25"/>
    <x v="6"/>
    <x v="1"/>
    <x v="2"/>
    <s v="Numworks weekly meeting"/>
    <s v="Numworks"/>
    <s v="Thiti"/>
    <d v="2026-07-09T00:00:00"/>
    <x v="125"/>
    <d v="2026-07-09T00:00:00"/>
    <x v="0"/>
    <x v="0"/>
    <x v="0"/>
    <m/>
    <m/>
    <m/>
    <m/>
    <m/>
    <m/>
    <m/>
    <m/>
    <m/>
    <m/>
    <m/>
    <m/>
    <m/>
    <m/>
    <m/>
    <m/>
    <m/>
    <m/>
    <m/>
    <m/>
    <m/>
    <m/>
    <m/>
    <m/>
    <m/>
    <m/>
    <m/>
    <m/>
  </r>
  <r>
    <x v="25"/>
    <x v="6"/>
    <x v="0"/>
    <x v="0"/>
    <s v="AMW 03669/AMW 03670 3D confirmation."/>
    <s v="JRI"/>
    <s v="Thiti"/>
    <d v="2026-07-09T00:00:00"/>
    <x v="125"/>
    <d v="2026-07-09T00:00:00"/>
    <x v="0"/>
    <x v="0"/>
    <x v="0"/>
    <m/>
    <m/>
    <m/>
    <m/>
    <m/>
    <m/>
    <m/>
    <m/>
    <m/>
    <m/>
    <m/>
    <m/>
    <m/>
    <m/>
    <m/>
    <m/>
    <m/>
    <m/>
    <m/>
    <m/>
    <m/>
    <m/>
    <m/>
    <m/>
    <m/>
    <m/>
    <m/>
    <m/>
  </r>
  <r>
    <x v="25"/>
    <x v="6"/>
    <x v="0"/>
    <x v="0"/>
    <s v="Overmold project follow up specification and document with satys"/>
    <s v="JRI"/>
    <s v="Thiti"/>
    <d v="2026-07-09T00:00:00"/>
    <x v="126"/>
    <m/>
    <x v="1"/>
    <x v="1"/>
    <x v="2"/>
    <m/>
    <m/>
    <m/>
    <m/>
    <m/>
    <m/>
    <m/>
    <m/>
    <m/>
    <m/>
    <m/>
    <m/>
    <m/>
    <m/>
    <m/>
    <m/>
    <m/>
    <m/>
    <m/>
    <m/>
    <m/>
    <m/>
    <m/>
    <m/>
    <m/>
    <m/>
    <m/>
    <m/>
  </r>
  <r>
    <x v="25"/>
    <x v="6"/>
    <x v="6"/>
    <x v="17"/>
    <s v="AMW QUO981 NPI integration requirement"/>
    <s v="Traco"/>
    <s v="Bunnarak"/>
    <d v="2026-07-07T00:00:00"/>
    <x v="122"/>
    <d v="2026-07-07T00:00:00"/>
    <x v="0"/>
    <x v="0"/>
    <x v="0"/>
    <m/>
    <m/>
    <m/>
    <m/>
    <m/>
    <m/>
    <m/>
    <m/>
    <m/>
    <m/>
    <m/>
    <m/>
    <m/>
    <m/>
    <m/>
    <m/>
    <m/>
    <m/>
    <m/>
    <m/>
    <m/>
    <m/>
    <m/>
    <m/>
    <m/>
    <m/>
    <m/>
    <m/>
  </r>
  <r>
    <x v="25"/>
    <x v="6"/>
    <x v="2"/>
    <x v="3"/>
    <s v="Check DFM/DFA MCON"/>
    <s v="Gutor"/>
    <s v="Bunnarak"/>
    <d v="2026-07-07T00:00:00"/>
    <x v="122"/>
    <d v="2026-07-07T00:00:00"/>
    <x v="0"/>
    <x v="0"/>
    <x v="0"/>
    <m/>
    <m/>
    <m/>
    <m/>
    <m/>
    <m/>
    <m/>
    <m/>
    <m/>
    <m/>
    <m/>
    <m/>
    <m/>
    <m/>
    <m/>
    <m/>
    <m/>
    <m/>
    <m/>
    <m/>
    <m/>
    <m/>
    <m/>
    <m/>
    <m/>
    <m/>
    <m/>
    <m/>
  </r>
  <r>
    <x v="25"/>
    <x v="6"/>
    <x v="8"/>
    <x v="29"/>
    <s v="Create kaizen ducument"/>
    <m/>
    <s v="Bunnarak"/>
    <d v="2026-07-07T00:00:00"/>
    <x v="125"/>
    <d v="2026-07-09T00:00:00"/>
    <x v="0"/>
    <x v="0"/>
    <x v="0"/>
    <m/>
    <m/>
    <m/>
    <m/>
    <m/>
    <m/>
    <m/>
    <m/>
    <m/>
    <m/>
    <m/>
    <m/>
    <m/>
    <m/>
    <m/>
    <m/>
    <m/>
    <m/>
    <m/>
    <m/>
    <m/>
    <m/>
    <m/>
    <m/>
    <m/>
    <m/>
    <m/>
    <m/>
  </r>
  <r>
    <x v="25"/>
    <x v="6"/>
    <x v="5"/>
    <x v="9"/>
    <s v="Update pallet layout for Numworks"/>
    <s v="Numworks"/>
    <s v="Bunnarak"/>
    <d v="2026-07-08T00:00:00"/>
    <x v="123"/>
    <m/>
    <x v="1"/>
    <x v="1"/>
    <x v="2"/>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3D496E-4831-4E99-9CCB-9CD64AFA9550}" name="PivotTable31-2" cacheId="132"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36">
  <location ref="V3:Z32" firstHeaderRow="1" firstDataRow="2" firstDataCol="2"/>
  <pivotFields count="41">
    <pivotField axis="axisRow" showAll="0">
      <items count="52">
        <item x="14"/>
        <item x="15"/>
        <item x="18"/>
        <item x="19"/>
        <item x="21"/>
        <item x="22"/>
        <item x="23"/>
        <item x="24"/>
        <item x="25"/>
        <item x="20"/>
        <item h="1" m="1" x="29"/>
        <item h="1" m="1" x="46"/>
        <item h="1" m="1" x="26"/>
        <item h="1" m="1" x="39"/>
        <item h="1" m="1" x="32"/>
        <item h="1" m="1" x="48"/>
        <item h="1" m="1" x="27"/>
        <item h="1" m="1" x="37"/>
        <item h="1" m="1" x="44"/>
        <item h="1" m="1" x="41"/>
        <item h="1" m="1" x="34"/>
        <item h="1" m="1" x="30"/>
        <item h="1" m="1" x="50"/>
        <item h="1" m="1" x="47"/>
        <item h="1" m="1" x="43"/>
        <item h="1" m="1" x="40"/>
        <item h="1" m="1" x="49"/>
        <item h="1" m="1" x="36"/>
        <item h="1" m="1" x="33"/>
        <item h="1" m="1" x="28"/>
        <item h="1" m="1" x="42"/>
        <item h="1" m="1" x="45"/>
        <item h="1" m="1" x="38"/>
        <item h="1" m="1" x="35"/>
        <item h="1" m="1" x="31"/>
        <item x="0"/>
        <item x="1"/>
        <item x="2"/>
        <item x="5"/>
        <item x="7"/>
        <item x="8"/>
        <item x="11"/>
        <item x="4"/>
        <item x="3"/>
        <item x="6"/>
        <item x="9"/>
        <item x="10"/>
        <item x="12"/>
        <item x="13"/>
        <item x="16"/>
        <item x="17"/>
        <item t="default"/>
      </items>
    </pivotField>
    <pivotField axis="axisRow" outline="0" showAll="0" defaultSubtotal="0">
      <items count="13">
        <item x="4"/>
        <item x="5"/>
        <item x="6"/>
        <item x="0"/>
        <item h="1" m="1" x="12"/>
        <item h="1" m="1" x="7"/>
        <item h="1" m="1" x="8"/>
        <item h="1" m="1" x="11"/>
        <item h="1" m="1" x="9"/>
        <item h="1" m="1" x="10"/>
        <item x="1"/>
        <item x="2"/>
        <item x="3"/>
      </items>
      <extLst>
        <ext xmlns:x14="http://schemas.microsoft.com/office/spreadsheetml/2009/9/main" uri="{2946ED86-A175-432a-8AC1-64E0C546D7DE}">
          <x14:pivotField fillDownLabels="1"/>
        </ext>
      </extLst>
    </pivotField>
    <pivotField showAll="0"/>
    <pivotField showAll="0"/>
    <pivotField showAll="0"/>
    <pivotField showAll="0"/>
    <pivotField showAll="0"/>
    <pivotField numFmtId="168" showAll="0"/>
    <pivotField numFmtId="168" showAll="0"/>
    <pivotField showAll="0"/>
    <pivotField axis="axisCol" dataField="1">
      <items count="4">
        <item x="0"/>
        <item x="1"/>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0"/>
  </rowFields>
  <rowItems count="28">
    <i>
      <x/>
      <x/>
    </i>
    <i r="1">
      <x v="1"/>
    </i>
    <i r="1">
      <x v="2"/>
    </i>
    <i r="1">
      <x v="3"/>
    </i>
    <i>
      <x v="1"/>
      <x v="4"/>
    </i>
    <i r="1">
      <x v="5"/>
    </i>
    <i r="1">
      <x v="6"/>
    </i>
    <i r="1">
      <x v="7"/>
    </i>
    <i r="1">
      <x v="9"/>
    </i>
    <i>
      <x v="2"/>
      <x v="7"/>
    </i>
    <i r="1">
      <x v="8"/>
    </i>
    <i>
      <x v="3"/>
      <x v="35"/>
    </i>
    <i r="1">
      <x v="36"/>
    </i>
    <i r="1">
      <x v="37"/>
    </i>
    <i r="1">
      <x v="43"/>
    </i>
    <i>
      <x v="10"/>
      <x v="38"/>
    </i>
    <i r="1">
      <x v="39"/>
    </i>
    <i r="1">
      <x v="42"/>
    </i>
    <i r="1">
      <x v="44"/>
    </i>
    <i>
      <x v="11"/>
      <x v="40"/>
    </i>
    <i r="1">
      <x v="41"/>
    </i>
    <i r="1">
      <x v="45"/>
    </i>
    <i r="1">
      <x v="46"/>
    </i>
    <i r="1">
      <x v="48"/>
    </i>
    <i>
      <x v="12"/>
      <x v="47"/>
    </i>
    <i r="1">
      <x v="48"/>
    </i>
    <i r="1">
      <x v="49"/>
    </i>
    <i r="1">
      <x v="50"/>
    </i>
  </rowItems>
  <colFields count="1">
    <field x="10"/>
  </colFields>
  <colItems count="3">
    <i>
      <x/>
    </i>
    <i>
      <x v="1"/>
    </i>
    <i>
      <x v="2"/>
    </i>
  </colItems>
  <dataFields count="1">
    <dataField name="Count of Status" fld="10" subtotal="count" baseField="0" baseItem="0"/>
  </dataFields>
  <chartFormats count="46">
    <chartFormat chart="2" format="4" series="1">
      <pivotArea type="data" outline="0" fieldPosition="0">
        <references count="2">
          <reference field="4294967294" count="1" selected="0">
            <x v="0"/>
          </reference>
          <reference field="10" count="1" selected="0">
            <x v="0"/>
          </reference>
        </references>
      </pivotArea>
    </chartFormat>
    <chartFormat chart="2" format="6" series="1">
      <pivotArea type="data" outline="0" fieldPosition="0">
        <references count="1">
          <reference field="4294967294" count="1" selected="0">
            <x v="0"/>
          </reference>
        </references>
      </pivotArea>
    </chartFormat>
    <chartFormat chart="3" format="7" series="1">
      <pivotArea type="data" outline="0" fieldPosition="0">
        <references count="2">
          <reference field="4294967294" count="1" selected="0">
            <x v="0"/>
          </reference>
          <reference field="10" count="1" selected="0">
            <x v="0"/>
          </reference>
        </references>
      </pivotArea>
    </chartFormat>
    <chartFormat chart="4" format="9" series="1">
      <pivotArea type="data" outline="0" fieldPosition="0">
        <references count="2">
          <reference field="4294967294" count="1" selected="0">
            <x v="0"/>
          </reference>
          <reference field="10" count="1" selected="0">
            <x v="0"/>
          </reference>
        </references>
      </pivotArea>
    </chartFormat>
    <chartFormat chart="5" format="7" series="1">
      <pivotArea type="data" outline="0" fieldPosition="0">
        <references count="2">
          <reference field="4294967294" count="1" selected="0">
            <x v="0"/>
          </reference>
          <reference field="10" count="1" selected="0">
            <x v="0"/>
          </reference>
        </references>
      </pivotArea>
    </chartFormat>
    <chartFormat chart="6" format="9" series="1">
      <pivotArea type="data" outline="0" fieldPosition="0">
        <references count="2">
          <reference field="4294967294" count="1" selected="0">
            <x v="0"/>
          </reference>
          <reference field="10" count="1" selected="0">
            <x v="0"/>
          </reference>
        </references>
      </pivotArea>
    </chartFormat>
    <chartFormat chart="7" format="7" series="1">
      <pivotArea type="data" outline="0" fieldPosition="0">
        <references count="2">
          <reference field="4294967294" count="1" selected="0">
            <x v="0"/>
          </reference>
          <reference field="10" count="1" selected="0">
            <x v="0"/>
          </reference>
        </references>
      </pivotArea>
    </chartFormat>
    <chartFormat chart="8" format="9" series="1">
      <pivotArea type="data" outline="0" fieldPosition="0">
        <references count="2">
          <reference field="4294967294" count="1" selected="0">
            <x v="0"/>
          </reference>
          <reference field="10" count="1" selected="0">
            <x v="0"/>
          </reference>
        </references>
      </pivotArea>
    </chartFormat>
    <chartFormat chart="11" format="7" series="1">
      <pivotArea type="data" outline="0" fieldPosition="0">
        <references count="2">
          <reference field="4294967294" count="1" selected="0">
            <x v="0"/>
          </reference>
          <reference field="10" count="1" selected="0">
            <x v="0"/>
          </reference>
        </references>
      </pivotArea>
    </chartFormat>
    <chartFormat chart="12" format="9" series="1">
      <pivotArea type="data" outline="0" fieldPosition="0">
        <references count="2">
          <reference field="4294967294" count="1" selected="0">
            <x v="0"/>
          </reference>
          <reference field="10" count="1" selected="0">
            <x v="0"/>
          </reference>
        </references>
      </pivotArea>
    </chartFormat>
    <chartFormat chart="13" format="7" series="1">
      <pivotArea type="data" outline="0" fieldPosition="0">
        <references count="2">
          <reference field="4294967294" count="1" selected="0">
            <x v="0"/>
          </reference>
          <reference field="10" count="1" selected="0">
            <x v="0"/>
          </reference>
        </references>
      </pivotArea>
    </chartFormat>
    <chartFormat chart="14" format="9" series="1">
      <pivotArea type="data" outline="0" fieldPosition="0">
        <references count="2">
          <reference field="4294967294" count="1" selected="0">
            <x v="0"/>
          </reference>
          <reference field="10" count="1" selected="0">
            <x v="0"/>
          </reference>
        </references>
      </pivotArea>
    </chartFormat>
    <chartFormat chart="15" format="7" series="1">
      <pivotArea type="data" outline="0" fieldPosition="0">
        <references count="2">
          <reference field="4294967294" count="1" selected="0">
            <x v="0"/>
          </reference>
          <reference field="10" count="1" selected="0">
            <x v="0"/>
          </reference>
        </references>
      </pivotArea>
    </chartFormat>
    <chartFormat chart="16" format="9" series="1">
      <pivotArea type="data" outline="0" fieldPosition="0">
        <references count="2">
          <reference field="4294967294" count="1" selected="0">
            <x v="0"/>
          </reference>
          <reference field="10" count="1" selected="0">
            <x v="0"/>
          </reference>
        </references>
      </pivotArea>
    </chartFormat>
    <chartFormat chart="17" format="7" series="1">
      <pivotArea type="data" outline="0" fieldPosition="0">
        <references count="2">
          <reference field="4294967294" count="1" selected="0">
            <x v="0"/>
          </reference>
          <reference field="10" count="1" selected="0">
            <x v="0"/>
          </reference>
        </references>
      </pivotArea>
    </chartFormat>
    <chartFormat chart="18" format="9" series="1">
      <pivotArea type="data" outline="0" fieldPosition="0">
        <references count="2">
          <reference field="4294967294" count="1" selected="0">
            <x v="0"/>
          </reference>
          <reference field="10" count="1" selected="0">
            <x v="0"/>
          </reference>
        </references>
      </pivotArea>
    </chartFormat>
    <chartFormat chart="19" format="7" series="1">
      <pivotArea type="data" outline="0" fieldPosition="0">
        <references count="2">
          <reference field="4294967294" count="1" selected="0">
            <x v="0"/>
          </reference>
          <reference field="10" count="1" selected="0">
            <x v="0"/>
          </reference>
        </references>
      </pivotArea>
    </chartFormat>
    <chartFormat chart="20" format="9" series="1">
      <pivotArea type="data" outline="0" fieldPosition="0">
        <references count="2">
          <reference field="4294967294" count="1" selected="0">
            <x v="0"/>
          </reference>
          <reference field="10" count="1" selected="0">
            <x v="0"/>
          </reference>
        </references>
      </pivotArea>
    </chartFormat>
    <chartFormat chart="2" format="7" series="1">
      <pivotArea type="data" outline="0" fieldPosition="0">
        <references count="2">
          <reference field="4294967294" count="1" selected="0">
            <x v="0"/>
          </reference>
          <reference field="10" count="1" selected="0">
            <x v="1"/>
          </reference>
        </references>
      </pivotArea>
    </chartFormat>
    <chartFormat chart="21" format="8" series="1">
      <pivotArea type="data" outline="0" fieldPosition="0">
        <references count="2">
          <reference field="4294967294" count="1" selected="0">
            <x v="0"/>
          </reference>
          <reference field="10" count="1" selected="0">
            <x v="0"/>
          </reference>
        </references>
      </pivotArea>
    </chartFormat>
    <chartFormat chart="21" format="9" series="1">
      <pivotArea type="data" outline="0" fieldPosition="0">
        <references count="2">
          <reference field="4294967294" count="1" selected="0">
            <x v="0"/>
          </reference>
          <reference field="10" count="1" selected="0">
            <x v="1"/>
          </reference>
        </references>
      </pivotArea>
    </chartFormat>
    <chartFormat chart="22" format="10" series="1">
      <pivotArea type="data" outline="0" fieldPosition="0">
        <references count="2">
          <reference field="4294967294" count="1" selected="0">
            <x v="0"/>
          </reference>
          <reference field="10" count="1" selected="0">
            <x v="0"/>
          </reference>
        </references>
      </pivotArea>
    </chartFormat>
    <chartFormat chart="22" format="11" series="1">
      <pivotArea type="data" outline="0" fieldPosition="0">
        <references count="2">
          <reference field="4294967294" count="1" selected="0">
            <x v="0"/>
          </reference>
          <reference field="10" count="1" selected="0">
            <x v="1"/>
          </reference>
        </references>
      </pivotArea>
    </chartFormat>
    <chartFormat chart="23" format="8" series="1">
      <pivotArea type="data" outline="0" fieldPosition="0">
        <references count="2">
          <reference field="4294967294" count="1" selected="0">
            <x v="0"/>
          </reference>
          <reference field="10" count="1" selected="0">
            <x v="0"/>
          </reference>
        </references>
      </pivotArea>
    </chartFormat>
    <chartFormat chart="23" format="9" series="1">
      <pivotArea type="data" outline="0" fieldPosition="0">
        <references count="2">
          <reference field="4294967294" count="1" selected="0">
            <x v="0"/>
          </reference>
          <reference field="10" count="1" selected="0">
            <x v="1"/>
          </reference>
        </references>
      </pivotArea>
    </chartFormat>
    <chartFormat chart="24" format="10" series="1">
      <pivotArea type="data" outline="0" fieldPosition="0">
        <references count="2">
          <reference field="4294967294" count="1" selected="0">
            <x v="0"/>
          </reference>
          <reference field="10" count="1" selected="0">
            <x v="0"/>
          </reference>
        </references>
      </pivotArea>
    </chartFormat>
    <chartFormat chart="24" format="11" series="1">
      <pivotArea type="data" outline="0" fieldPosition="0">
        <references count="2">
          <reference field="4294967294" count="1" selected="0">
            <x v="0"/>
          </reference>
          <reference field="10" count="1" selected="0">
            <x v="1"/>
          </reference>
        </references>
      </pivotArea>
    </chartFormat>
    <chartFormat chart="25" format="8" series="1">
      <pivotArea type="data" outline="0" fieldPosition="0">
        <references count="2">
          <reference field="4294967294" count="1" selected="0">
            <x v="0"/>
          </reference>
          <reference field="10" count="1" selected="0">
            <x v="0"/>
          </reference>
        </references>
      </pivotArea>
    </chartFormat>
    <chartFormat chart="25" format="9" series="1">
      <pivotArea type="data" outline="0" fieldPosition="0">
        <references count="2">
          <reference field="4294967294" count="1" selected="0">
            <x v="0"/>
          </reference>
          <reference field="10" count="1" selected="0">
            <x v="1"/>
          </reference>
        </references>
      </pivotArea>
    </chartFormat>
    <chartFormat chart="26" format="10" series="1">
      <pivotArea type="data" outline="0" fieldPosition="0">
        <references count="2">
          <reference field="4294967294" count="1" selected="0">
            <x v="0"/>
          </reference>
          <reference field="10" count="1" selected="0">
            <x v="0"/>
          </reference>
        </references>
      </pivotArea>
    </chartFormat>
    <chartFormat chart="26" format="11" series="1">
      <pivotArea type="data" outline="0" fieldPosition="0">
        <references count="2">
          <reference field="4294967294" count="1" selected="0">
            <x v="0"/>
          </reference>
          <reference field="10" count="1" selected="0">
            <x v="1"/>
          </reference>
        </references>
      </pivotArea>
    </chartFormat>
    <chartFormat chart="27" format="8" series="1">
      <pivotArea type="data" outline="0" fieldPosition="0">
        <references count="2">
          <reference field="4294967294" count="1" selected="0">
            <x v="0"/>
          </reference>
          <reference field="10" count="1" selected="0">
            <x v="0"/>
          </reference>
        </references>
      </pivotArea>
    </chartFormat>
    <chartFormat chart="27" format="9" series="1">
      <pivotArea type="data" outline="0" fieldPosition="0">
        <references count="2">
          <reference field="4294967294" count="1" selected="0">
            <x v="0"/>
          </reference>
          <reference field="10" count="1" selected="0">
            <x v="1"/>
          </reference>
        </references>
      </pivotArea>
    </chartFormat>
    <chartFormat chart="28" format="10" series="1">
      <pivotArea type="data" outline="0" fieldPosition="0">
        <references count="2">
          <reference field="4294967294" count="1" selected="0">
            <x v="0"/>
          </reference>
          <reference field="10" count="1" selected="0">
            <x v="0"/>
          </reference>
        </references>
      </pivotArea>
    </chartFormat>
    <chartFormat chart="28" format="11" series="1">
      <pivotArea type="data" outline="0" fieldPosition="0">
        <references count="2">
          <reference field="4294967294" count="1" selected="0">
            <x v="0"/>
          </reference>
          <reference field="10" count="1" selected="0">
            <x v="1"/>
          </reference>
        </references>
      </pivotArea>
    </chartFormat>
    <chartFormat chart="29" format="8" series="1">
      <pivotArea type="data" outline="0" fieldPosition="0">
        <references count="2">
          <reference field="4294967294" count="1" selected="0">
            <x v="0"/>
          </reference>
          <reference field="10" count="1" selected="0">
            <x v="0"/>
          </reference>
        </references>
      </pivotArea>
    </chartFormat>
    <chartFormat chart="29" format="9" series="1">
      <pivotArea type="data" outline="0" fieldPosition="0">
        <references count="2">
          <reference field="4294967294" count="1" selected="0">
            <x v="0"/>
          </reference>
          <reference field="10" count="1" selected="0">
            <x v="1"/>
          </reference>
        </references>
      </pivotArea>
    </chartFormat>
    <chartFormat chart="30" format="10" series="1">
      <pivotArea type="data" outline="0" fieldPosition="0">
        <references count="2">
          <reference field="4294967294" count="1" selected="0">
            <x v="0"/>
          </reference>
          <reference field="10" count="1" selected="0">
            <x v="0"/>
          </reference>
        </references>
      </pivotArea>
    </chartFormat>
    <chartFormat chart="30" format="11" series="1">
      <pivotArea type="data" outline="0" fieldPosition="0">
        <references count="2">
          <reference field="4294967294" count="1" selected="0">
            <x v="0"/>
          </reference>
          <reference field="10" count="1" selected="0">
            <x v="1"/>
          </reference>
        </references>
      </pivotArea>
    </chartFormat>
    <chartFormat chart="31" format="0" series="1">
      <pivotArea type="data" outline="0" fieldPosition="0">
        <references count="2">
          <reference field="4294967294" count="1" selected="0">
            <x v="0"/>
          </reference>
          <reference field="10" count="1" selected="0">
            <x v="0"/>
          </reference>
        </references>
      </pivotArea>
    </chartFormat>
    <chartFormat chart="31" format="1" series="1">
      <pivotArea type="data" outline="0" fieldPosition="0">
        <references count="2">
          <reference field="4294967294" count="1" selected="0">
            <x v="0"/>
          </reference>
          <reference field="10" count="1" selected="0">
            <x v="1"/>
          </reference>
        </references>
      </pivotArea>
    </chartFormat>
    <chartFormat chart="33" format="8" series="1">
      <pivotArea type="data" outline="0" fieldPosition="0">
        <references count="2">
          <reference field="4294967294" count="1" selected="0">
            <x v="0"/>
          </reference>
          <reference field="10" count="1" selected="0">
            <x v="0"/>
          </reference>
        </references>
      </pivotArea>
    </chartFormat>
    <chartFormat chart="33" format="9" series="1">
      <pivotArea type="data" outline="0" fieldPosition="0">
        <references count="2">
          <reference field="4294967294" count="1" selected="0">
            <x v="0"/>
          </reference>
          <reference field="10" count="1" selected="0">
            <x v="1"/>
          </reference>
        </references>
      </pivotArea>
    </chartFormat>
    <chartFormat chart="35" format="12" series="1">
      <pivotArea type="data" outline="0" fieldPosition="0">
        <references count="2">
          <reference field="4294967294" count="1" selected="0">
            <x v="0"/>
          </reference>
          <reference field="10" count="1" selected="0">
            <x v="0"/>
          </reference>
        </references>
      </pivotArea>
    </chartFormat>
    <chartFormat chart="35" format="13" series="1">
      <pivotArea type="data" outline="0" fieldPosition="0">
        <references count="2">
          <reference field="4294967294" count="1" selected="0">
            <x v="0"/>
          </reference>
          <reference field="10" count="1" selected="0">
            <x v="1"/>
          </reference>
        </references>
      </pivotArea>
    </chartFormat>
    <chartFormat chart="35" format="15"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320D6E-114C-4EA4-9E03-A396CB9219D5}" name="PivotTable5-2" cacheId="132"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location ref="AK4:AN4" firstHeaderRow="1" firstDataRow="1" firstDataCol="4" rowPageCount="1" colPageCount="1"/>
  <pivotFields count="41">
    <pivotField axis="axisRow" outline="0" showAll="0" defaultSubtotal="0">
      <items count="51">
        <item x="14"/>
        <item x="15"/>
        <item x="18"/>
        <item x="19"/>
        <item x="21"/>
        <item x="22"/>
        <item x="23"/>
        <item x="24"/>
        <item x="25"/>
        <item x="20"/>
        <item h="1" m="1" x="29"/>
        <item h="1" m="1" x="46"/>
        <item h="1" m="1" x="26"/>
        <item h="1" m="1" x="39"/>
        <item h="1" m="1" x="32"/>
        <item h="1" m="1" x="48"/>
        <item h="1" m="1" x="27"/>
        <item h="1" m="1" x="37"/>
        <item h="1" m="1" x="44"/>
        <item h="1" m="1" x="41"/>
        <item h="1" m="1" x="34"/>
        <item h="1" m="1" x="30"/>
        <item h="1" m="1" x="50"/>
        <item h="1" m="1" x="47"/>
        <item h="1" m="1" x="43"/>
        <item h="1" m="1" x="40"/>
        <item h="1" m="1" x="49"/>
        <item h="1" m="1" x="36"/>
        <item h="1" m="1" x="33"/>
        <item h="1" m="1" x="28"/>
        <item h="1" m="1" x="42"/>
        <item h="1" m="1" x="45"/>
        <item h="1" m="1" x="38"/>
        <item h="1" m="1" x="35"/>
        <item h="1" m="1" x="31"/>
        <item x="0"/>
        <item x="1"/>
        <item x="2"/>
        <item x="5"/>
        <item x="7"/>
        <item x="8"/>
        <item x="11"/>
        <item x="4"/>
        <item x="3"/>
        <item x="6"/>
        <item x="9"/>
        <item x="10"/>
        <item x="12"/>
        <item x="13"/>
        <item x="16"/>
        <item x="17"/>
      </items>
      <extLst>
        <ext xmlns:x14="http://schemas.microsoft.com/office/spreadsheetml/2009/9/main" uri="{2946ED86-A175-432a-8AC1-64E0C546D7DE}">
          <x14:pivotField fillDownLabels="1"/>
        </ext>
      </extLst>
    </pivotField>
    <pivotField outline="0" showAll="0" defaultSubtotal="0">
      <items count="13">
        <item x="4"/>
        <item x="5"/>
        <item x="6"/>
        <item x="0"/>
        <item h="1" m="1" x="12"/>
        <item h="1" m="1" x="7"/>
        <item h="1" m="1" x="8"/>
        <item h="1" m="1" x="11"/>
        <item h="1" m="1" x="9"/>
        <item h="1" m="1" x="10"/>
        <item x="1"/>
        <item x="2"/>
        <item x="3"/>
      </items>
      <extLst>
        <ext xmlns:x14="http://schemas.microsoft.com/office/spreadsheetml/2009/9/main" uri="{2946ED86-A175-432a-8AC1-64E0C546D7DE}">
          <x14:pivotField fillDownLabels="1"/>
        </ext>
      </extLst>
    </pivotField>
    <pivotField axis="axisRow" outline="0" showAll="0" defaultSubtotal="0">
      <items count="13">
        <item m="1" x="11"/>
        <item x="1"/>
        <item x="0"/>
        <item x="4"/>
        <item m="1" x="12"/>
        <item x="7"/>
        <item x="8"/>
        <item x="6"/>
        <item x="9"/>
        <item x="5"/>
        <item m="1" x="10"/>
        <item x="2"/>
        <item x="3"/>
      </items>
      <extLst>
        <ext xmlns:x14="http://schemas.microsoft.com/office/spreadsheetml/2009/9/main" uri="{2946ED86-A175-432a-8AC1-64E0C546D7DE}">
          <x14:pivotField fillDownLabels="1"/>
        </ext>
      </extLst>
    </pivotField>
    <pivotField axis="axisRow" outline="0" showAll="0" defaultSubtotal="0">
      <items count="44">
        <item x="2"/>
        <item x="6"/>
        <item x="3"/>
        <item m="1" x="36"/>
        <item m="1" x="43"/>
        <item x="20"/>
        <item x="0"/>
        <item x="7"/>
        <item x="5"/>
        <item m="1" x="34"/>
        <item x="31"/>
        <item x="16"/>
        <item x="25"/>
        <item x="29"/>
        <item x="18"/>
        <item x="17"/>
        <item x="8"/>
        <item x="9"/>
        <item m="1" x="39"/>
        <item x="10"/>
        <item x="32"/>
        <item x="12"/>
        <item x="26"/>
        <item x="28"/>
        <item m="1" x="38"/>
        <item m="1" x="35"/>
        <item x="11"/>
        <item x="23"/>
        <item m="1" x="37"/>
        <item x="19"/>
        <item x="33"/>
        <item m="1" x="40"/>
        <item m="1" x="42"/>
        <item x="27"/>
        <item x="15"/>
        <item m="1" x="41"/>
        <item x="24"/>
        <item x="4"/>
        <item x="1"/>
        <item x="14"/>
        <item x="22"/>
        <item x="13"/>
        <item x="21"/>
        <item x="30"/>
      </items>
      <extLst>
        <ext xmlns:x14="http://schemas.microsoft.com/office/spreadsheetml/2009/9/main" uri="{2946ED86-A175-432a-8AC1-64E0C546D7DE}">
          <x14:pivotField fillDownLabels="1"/>
        </ext>
      </extLst>
    </pivotField>
    <pivotField showAll="0"/>
    <pivotField showAll="0"/>
    <pivotField showAll="0"/>
    <pivotField numFmtId="168" showAll="0"/>
    <pivotField axis="axisRow" numFmtId="168" outline="0" showAll="0" defaultSubtotal="0">
      <items count="285">
        <item m="1" x="284"/>
        <item m="1" x="225"/>
        <item m="1" x="163"/>
        <item m="1" x="159"/>
        <item m="1" x="279"/>
        <item m="1" x="200"/>
        <item m="1" x="273"/>
        <item m="1" x="232"/>
        <item m="1" x="190"/>
        <item m="1" x="156"/>
        <item m="1" x="268"/>
        <item m="1" x="151"/>
        <item m="1" x="228"/>
        <item m="1" x="186"/>
        <item m="1" x="271"/>
        <item m="1" x="266"/>
        <item m="1" x="146"/>
        <item m="1" x="193"/>
        <item m="1" x="144"/>
        <item m="1" x="227"/>
        <item m="1" x="217"/>
        <item m="1" x="142"/>
        <item m="1" x="179"/>
        <item m="1" x="262"/>
        <item m="1" x="238"/>
        <item m="1" x="196"/>
        <item m="1" x="213"/>
        <item m="1" x="184"/>
        <item m="1" x="221"/>
        <item m="1" x="137"/>
        <item m="1" x="219"/>
        <item m="1" x="256"/>
        <item m="1" x="176"/>
        <item m="1" x="260"/>
        <item m="1" x="253"/>
        <item m="1" x="181"/>
        <item m="1" x="140"/>
        <item m="1" x="254"/>
        <item m="1" x="257"/>
        <item m="1" x="215"/>
        <item m="1" x="175"/>
        <item m="1" x="134"/>
        <item m="1" x="251"/>
        <item m="1" x="211"/>
        <item m="1" x="166"/>
        <item m="1" x="172"/>
        <item m="1" x="247"/>
        <item m="1" x="131"/>
        <item m="1" x="169"/>
        <item m="1" x="206"/>
        <item m="1" x="162"/>
        <item m="1" x="210"/>
        <item m="1" x="283"/>
        <item m="1" x="241"/>
        <item m="1" x="207"/>
        <item m="1" x="153"/>
        <item m="1" x="248"/>
        <item m="1" x="244"/>
        <item m="1" x="168"/>
        <item m="1" x="130"/>
        <item m="1" x="127"/>
        <item m="1" x="203"/>
        <item m="1" x="281"/>
        <item m="1" x="161"/>
        <item m="1" x="269"/>
        <item m="1" x="236"/>
        <item m="1" x="198"/>
        <item m="1" x="277"/>
        <item m="1" x="149"/>
        <item m="1" x="272"/>
        <item m="1" x="231"/>
        <item m="1" x="189"/>
        <item m="1" x="148"/>
        <item m="1" x="157"/>
        <item m="1" x="192"/>
        <item m="1" x="188"/>
        <item m="1" x="270"/>
        <item m="1" x="230"/>
        <item m="1" x="237"/>
        <item m="1" x="235"/>
        <item m="1" x="199"/>
        <item m="1" x="155"/>
        <item m="1" x="276"/>
        <item m="1" x="195"/>
        <item m="1" x="265"/>
        <item m="1" x="143"/>
        <item m="1" x="224"/>
        <item m="1" x="145"/>
        <item m="1" x="185"/>
        <item m="1" x="180"/>
        <item m="1" x="218"/>
        <item m="1" x="177"/>
        <item m="1" x="259"/>
        <item m="1" x="223"/>
        <item m="1" x="183"/>
        <item m="1" x="139"/>
        <item m="1" x="214"/>
        <item m="1" x="174"/>
        <item m="1" x="264"/>
        <item m="1" x="216"/>
        <item m="1" x="138"/>
        <item m="1" x="258"/>
        <item m="1" x="220"/>
        <item m="1" x="178"/>
        <item m="1" x="252"/>
        <item m="1" x="209"/>
        <item m="1" x="132"/>
        <item m="1" x="173"/>
        <item m="1" x="212"/>
        <item m="1" x="255"/>
        <item m="1" x="136"/>
        <item m="1" x="250"/>
        <item m="1" x="278"/>
        <item m="1" x="158"/>
        <item m="1" x="170"/>
        <item m="1" x="167"/>
        <item m="1" x="135"/>
        <item m="1" x="129"/>
        <item m="1" x="243"/>
        <item m="1" x="204"/>
        <item m="1" x="171"/>
        <item m="1" x="164"/>
        <item m="1" x="133"/>
        <item m="1" x="208"/>
        <item m="1" x="249"/>
        <item m="1" x="165"/>
        <item m="1" x="242"/>
        <item m="1" x="205"/>
        <item m="1" x="246"/>
        <item m="1" x="240"/>
        <item m="1" x="128"/>
        <item m="1" x="282"/>
        <item m="1" x="202"/>
        <item m="1" x="280"/>
        <item m="1" x="154"/>
        <item m="1" x="234"/>
        <item m="1" x="194"/>
        <item m="1" x="150"/>
        <item m="1" x="275"/>
        <item m="1" x="152"/>
        <item m="1" x="201"/>
        <item m="1" x="191"/>
        <item m="1" x="160"/>
        <item m="1" x="239"/>
        <item m="1" x="197"/>
        <item m="1" x="274"/>
        <item m="1" x="233"/>
        <item m="1" x="229"/>
        <item m="1" x="187"/>
        <item m="1" x="226"/>
        <item m="1" x="267"/>
        <item m="1" x="263"/>
        <item m="1" x="222"/>
        <item m="1" x="141"/>
        <item m="1" x="261"/>
        <item m="1" x="147"/>
        <item m="1" x="182"/>
        <item x="1"/>
        <item x="3"/>
        <item x="26"/>
        <item x="2"/>
        <item x="5"/>
        <item x="8"/>
        <item x="10"/>
        <item x="21"/>
        <item x="24"/>
        <item x="28"/>
        <item x="25"/>
        <item x="53"/>
        <item x="11"/>
        <item x="0"/>
        <item x="27"/>
        <item x="6"/>
        <item x="7"/>
        <item x="4"/>
        <item x="9"/>
        <item m="1" x="245"/>
        <item x="22"/>
        <item x="17"/>
        <item x="30"/>
        <item x="15"/>
        <item x="12"/>
        <item x="14"/>
        <item x="13"/>
        <item x="16"/>
        <item x="20"/>
        <item x="32"/>
        <item x="19"/>
        <item x="18"/>
        <item x="29"/>
        <item x="31"/>
        <item x="34"/>
        <item x="35"/>
        <item x="33"/>
        <item x="36"/>
        <item x="39"/>
        <item x="40"/>
        <item x="23"/>
        <item x="37"/>
        <item x="38"/>
        <item x="42"/>
        <item x="43"/>
        <item x="41"/>
        <item x="44"/>
        <item x="45"/>
        <item x="47"/>
        <item x="46"/>
        <item x="48"/>
        <item x="49"/>
        <item x="50"/>
        <item x="54"/>
        <item x="123"/>
        <item x="55"/>
        <item x="59"/>
        <item x="57"/>
        <item x="51"/>
        <item x="52"/>
        <item x="56"/>
        <item x="60"/>
        <item x="58"/>
        <item x="61"/>
        <item x="63"/>
        <item x="64"/>
        <item x="72"/>
        <item x="74"/>
        <item x="62"/>
        <item x="76"/>
        <item x="78"/>
        <item x="71"/>
        <item x="73"/>
        <item x="75"/>
        <item x="77"/>
        <item x="79"/>
        <item x="80"/>
        <item x="81"/>
        <item x="82"/>
        <item x="70"/>
        <item x="85"/>
        <item x="84"/>
        <item x="65"/>
        <item x="87"/>
        <item x="91"/>
        <item x="83"/>
        <item x="68"/>
        <item x="92"/>
        <item x="86"/>
        <item x="66"/>
        <item x="67"/>
        <item x="89"/>
        <item x="90"/>
        <item x="88"/>
        <item x="69"/>
        <item x="94"/>
        <item x="96"/>
        <item x="95"/>
        <item x="93"/>
        <item x="98"/>
        <item x="99"/>
        <item x="97"/>
        <item x="101"/>
        <item x="102"/>
        <item x="100"/>
        <item x="103"/>
        <item x="104"/>
        <item x="106"/>
        <item x="108"/>
        <item x="107"/>
        <item x="109"/>
        <item x="110"/>
        <item x="105"/>
        <item x="111"/>
        <item x="112"/>
        <item x="115"/>
        <item x="114"/>
        <item x="116"/>
        <item x="113"/>
        <item x="117"/>
        <item x="118"/>
        <item x="119"/>
        <item x="120"/>
        <item x="121"/>
        <item x="122"/>
        <item x="125"/>
        <item x="124"/>
        <item x="126"/>
      </items>
      <extLst>
        <ext xmlns:x14="http://schemas.microsoft.com/office/spreadsheetml/2009/9/main" uri="{2946ED86-A175-432a-8AC1-64E0C546D7DE}">
          <x14:pivotField fillDownLabels="1"/>
        </ext>
      </extLst>
    </pivotField>
    <pivotField showAll="0"/>
    <pivotField showAll="0"/>
    <pivotField axis="axisPage" multipleItemSelectionAllowed="1" showAll="0">
      <items count="5">
        <item h="1" x="0"/>
        <item h="1" x="1"/>
        <item m="1" x="2"/>
        <item h="1" m="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4">
    <field x="0"/>
    <field x="2"/>
    <field x="3"/>
    <field x="8"/>
  </rowFields>
  <colItems count="1">
    <i/>
  </colItems>
  <pageFields count="1">
    <pageField fld="11" hier="-1"/>
  </pageFields>
  <formats count="18">
    <format dxfId="392">
      <pivotArea type="all" dataOnly="0" outline="0" fieldPosition="0"/>
    </format>
    <format dxfId="393">
      <pivotArea field="1" type="button" dataOnly="0" labelOnly="1" outline="0"/>
    </format>
    <format dxfId="394">
      <pivotArea field="0" type="button" dataOnly="0" labelOnly="1" outline="0" axis="axisRow" fieldPosition="0"/>
    </format>
    <format dxfId="395">
      <pivotArea field="2" type="button" dataOnly="0" labelOnly="1" outline="0" axis="axisRow" fieldPosition="1"/>
    </format>
    <format dxfId="396">
      <pivotArea field="3" type="button" dataOnly="0" labelOnly="1" outline="0" axis="axisRow" fieldPosition="2"/>
    </format>
    <format dxfId="397">
      <pivotArea field="8" type="button" dataOnly="0" labelOnly="1" outline="0" axis="axisRow" fieldPosition="3"/>
    </format>
    <format dxfId="398">
      <pivotArea type="all" dataOnly="0" outline="0" fieldPosition="0"/>
    </format>
    <format dxfId="399">
      <pivotArea field="1" type="button" dataOnly="0" labelOnly="1" outline="0"/>
    </format>
    <format dxfId="400">
      <pivotArea field="0" type="button" dataOnly="0" labelOnly="1" outline="0" axis="axisRow" fieldPosition="0"/>
    </format>
    <format dxfId="401">
      <pivotArea field="2" type="button" dataOnly="0" labelOnly="1" outline="0" axis="axisRow" fieldPosition="1"/>
    </format>
    <format dxfId="402">
      <pivotArea field="3" type="button" dataOnly="0" labelOnly="1" outline="0" axis="axisRow" fieldPosition="2"/>
    </format>
    <format dxfId="403">
      <pivotArea field="8" type="button" dataOnly="0" labelOnly="1" outline="0" axis="axisRow" fieldPosition="3"/>
    </format>
    <format dxfId="404">
      <pivotArea type="all" dataOnly="0" outline="0" fieldPosition="0"/>
    </format>
    <format dxfId="405">
      <pivotArea field="1" type="button" dataOnly="0" labelOnly="1" outline="0"/>
    </format>
    <format dxfId="406">
      <pivotArea field="0" type="button" dataOnly="0" labelOnly="1" outline="0" axis="axisRow" fieldPosition="0"/>
    </format>
    <format dxfId="407">
      <pivotArea field="2" type="button" dataOnly="0" labelOnly="1" outline="0" axis="axisRow" fieldPosition="1"/>
    </format>
    <format dxfId="408">
      <pivotArea field="3" type="button" dataOnly="0" labelOnly="1" outline="0" axis="axisRow" fieldPosition="2"/>
    </format>
    <format dxfId="409">
      <pivotArea field="8" type="button" dataOnly="0" labelOnly="1" outline="0" axis="axisRow" fieldPosition="3"/>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2A18A5-1727-4998-B510-BC57904BE139}" name="PivotTable27-2" cacheId="132"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13">
  <location ref="C3:D13" firstHeaderRow="1" firstDataRow="1" firstDataCol="1"/>
  <pivotFields count="41">
    <pivotField showAll="0">
      <items count="52">
        <item h="1" m="1" x="26"/>
        <item x="0"/>
        <item x="1"/>
        <item x="2"/>
        <item x="3"/>
        <item x="4"/>
        <item x="5"/>
        <item x="7"/>
        <item x="6"/>
        <item x="8"/>
        <item x="9"/>
        <item x="10"/>
        <item x="11"/>
        <item x="13"/>
        <item x="16"/>
        <item x="12"/>
        <item x="17"/>
        <item x="14"/>
        <item x="15"/>
        <item x="18"/>
        <item x="19"/>
        <item x="20"/>
        <item x="21"/>
        <item x="22"/>
        <item x="23"/>
        <item x="24"/>
        <item x="25"/>
        <item h="1" m="1" x="29"/>
        <item h="1" m="1" x="46"/>
        <item h="1" m="1" x="39"/>
        <item h="1" m="1" x="32"/>
        <item h="1" m="1" x="27"/>
        <item h="1" m="1" x="48"/>
        <item h="1" m="1" x="44"/>
        <item h="1" m="1" x="41"/>
        <item h="1" m="1" x="37"/>
        <item h="1" m="1" x="34"/>
        <item h="1" m="1" x="30"/>
        <item h="1" m="1" x="50"/>
        <item h="1" m="1" x="47"/>
        <item h="1" m="1" x="43"/>
        <item h="1" m="1" x="40"/>
        <item h="1" m="1" x="36"/>
        <item h="1" m="1" x="33"/>
        <item h="1" m="1" x="28"/>
        <item h="1" m="1" x="49"/>
        <item h="1" m="1" x="45"/>
        <item h="1" m="1" x="42"/>
        <item h="1" m="1" x="38"/>
        <item h="1" m="1" x="35"/>
        <item h="1" m="1" x="31"/>
        <item t="default"/>
      </items>
    </pivotField>
    <pivotField showAll="0">
      <items count="14">
        <item x="0"/>
        <item x="1"/>
        <item x="2"/>
        <item x="3"/>
        <item x="4"/>
        <item x="5"/>
        <item x="6"/>
        <item h="1" m="1" x="12"/>
        <item h="1" m="1" x="8"/>
        <item h="1" m="1" x="11"/>
        <item h="1" m="1" x="9"/>
        <item h="1" m="1" x="10"/>
        <item h="1" m="1" x="7"/>
        <item t="default"/>
      </items>
    </pivotField>
    <pivotField axis="axisRow" outline="0" showAll="0">
      <items count="14">
        <item x="0"/>
        <item m="1" x="11"/>
        <item x="1"/>
        <item x="4"/>
        <item m="1" x="12"/>
        <item x="7"/>
        <item x="8"/>
        <item x="6"/>
        <item x="9"/>
        <item x="5"/>
        <item m="1" x="10"/>
        <item x="2"/>
        <item x="3"/>
        <item t="default"/>
      </items>
      <extLst>
        <ext xmlns:x14="http://schemas.microsoft.com/office/spreadsheetml/2009/9/main" uri="{2946ED86-A175-432a-8AC1-64E0C546D7DE}">
          <x14:pivotField fillDownLabels="1"/>
        </ext>
      </extLst>
    </pivotField>
    <pivotField dataField="1" showAll="0"/>
    <pivotField showAll="0"/>
    <pivotField showAll="0"/>
    <pivotField showAll="0"/>
    <pivotField numFmtId="168" showAll="0"/>
    <pivotField numFmtId="168"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0">
    <i>
      <x/>
    </i>
    <i>
      <x v="2"/>
    </i>
    <i>
      <x v="3"/>
    </i>
    <i>
      <x v="5"/>
    </i>
    <i>
      <x v="6"/>
    </i>
    <i>
      <x v="7"/>
    </i>
    <i>
      <x v="8"/>
    </i>
    <i>
      <x v="9"/>
    </i>
    <i>
      <x v="11"/>
    </i>
    <i>
      <x v="12"/>
    </i>
  </rowItems>
  <colItems count="1">
    <i/>
  </colItems>
  <dataFields count="1">
    <dataField name="Count of TASK" fld="3" subtotal="count" baseField="0" baseItem="0"/>
  </dataFields>
  <formats count="6">
    <format dxfId="386">
      <pivotArea type="all" dataOnly="0" outline="0" fieldPosition="0"/>
    </format>
    <format dxfId="387">
      <pivotArea outline="0" collapsedLevelsAreSubtotals="1" fieldPosition="0"/>
    </format>
    <format dxfId="388">
      <pivotArea field="2" type="button" dataOnly="0" labelOnly="1" outline="0" axis="axisRow" fieldPosition="0"/>
    </format>
    <format dxfId="389">
      <pivotArea dataOnly="0" labelOnly="1" fieldPosition="0">
        <references count="1">
          <reference field="2" count="0"/>
        </references>
      </pivotArea>
    </format>
    <format dxfId="390">
      <pivotArea dataOnly="0" labelOnly="1" grandRow="1" outline="0" fieldPosition="0"/>
    </format>
    <format dxfId="391">
      <pivotArea dataOnly="0" labelOnly="1" outline="0" axis="axisValues" fieldPosition="0"/>
    </format>
  </formats>
  <chartFormats count="46">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2" count="1" selected="0">
            <x v="0"/>
          </reference>
        </references>
      </pivotArea>
    </chartFormat>
    <chartFormat chart="2" format="18">
      <pivotArea type="data" outline="0" fieldPosition="0">
        <references count="2">
          <reference field="4294967294" count="1" selected="0">
            <x v="0"/>
          </reference>
          <reference field="2" count="1" selected="0">
            <x v="1"/>
          </reference>
        </references>
      </pivotArea>
    </chartFormat>
    <chartFormat chart="2" format="22">
      <pivotArea type="data" outline="0" fieldPosition="0">
        <references count="2">
          <reference field="4294967294" count="1" selected="0">
            <x v="0"/>
          </reference>
          <reference field="2" count="1" selected="0">
            <x v="2"/>
          </reference>
        </references>
      </pivotArea>
    </chartFormat>
    <chartFormat chart="2" format="23">
      <pivotArea type="data" outline="0" fieldPosition="0">
        <references count="2">
          <reference field="4294967294" count="1" selected="0">
            <x v="0"/>
          </reference>
          <reference field="2" count="1" selected="0">
            <x v="3"/>
          </reference>
        </references>
      </pivotArea>
    </chartFormat>
    <chartFormat chart="2" format="25">
      <pivotArea type="data" outline="0" fieldPosition="0">
        <references count="1">
          <reference field="4294967294" count="1" selected="0">
            <x v="0"/>
          </reference>
        </references>
      </pivotArea>
    </chartFormat>
    <chartFormat chart="3" format="26" series="1">
      <pivotArea type="data" outline="0" fieldPosition="0">
        <references count="1">
          <reference field="4294967294" count="1" selected="0">
            <x v="0"/>
          </reference>
        </references>
      </pivotArea>
    </chartFormat>
    <chartFormat chart="3" format="27">
      <pivotArea type="data" outline="0" fieldPosition="0">
        <references count="2">
          <reference field="4294967294" count="1" selected="0">
            <x v="0"/>
          </reference>
          <reference field="2" count="1" selected="0">
            <x v="0"/>
          </reference>
        </references>
      </pivotArea>
    </chartFormat>
    <chartFormat chart="3" format="28">
      <pivotArea type="data" outline="0" fieldPosition="0">
        <references count="2">
          <reference field="4294967294" count="1" selected="0">
            <x v="0"/>
          </reference>
          <reference field="2" count="1" selected="0">
            <x v="1"/>
          </reference>
        </references>
      </pivotArea>
    </chartFormat>
    <chartFormat chart="3" format="32">
      <pivotArea type="data" outline="0" fieldPosition="0">
        <references count="2">
          <reference field="4294967294" count="1" selected="0">
            <x v="0"/>
          </reference>
          <reference field="2" count="1" selected="0">
            <x v="2"/>
          </reference>
        </references>
      </pivotArea>
    </chartFormat>
    <chartFormat chart="3" format="33">
      <pivotArea type="data" outline="0" fieldPosition="0">
        <references count="2">
          <reference field="4294967294" count="1" selected="0">
            <x v="0"/>
          </reference>
          <reference field="2" count="1" selected="0">
            <x v="3"/>
          </reference>
        </references>
      </pivotArea>
    </chartFormat>
    <chartFormat chart="4" format="34" series="1">
      <pivotArea type="data" outline="0" fieldPosition="0">
        <references count="1">
          <reference field="4294967294" count="1" selected="0">
            <x v="0"/>
          </reference>
        </references>
      </pivotArea>
    </chartFormat>
    <chartFormat chart="4" format="35">
      <pivotArea type="data" outline="0" fieldPosition="0">
        <references count="2">
          <reference field="4294967294" count="1" selected="0">
            <x v="0"/>
          </reference>
          <reference field="2" count="1" selected="0">
            <x v="0"/>
          </reference>
        </references>
      </pivotArea>
    </chartFormat>
    <chartFormat chart="4" format="36">
      <pivotArea type="data" outline="0" fieldPosition="0">
        <references count="2">
          <reference field="4294967294" count="1" selected="0">
            <x v="0"/>
          </reference>
          <reference field="2" count="1" selected="0">
            <x v="1"/>
          </reference>
        </references>
      </pivotArea>
    </chartFormat>
    <chartFormat chart="4" format="40">
      <pivotArea type="data" outline="0" fieldPosition="0">
        <references count="2">
          <reference field="4294967294" count="1" selected="0">
            <x v="0"/>
          </reference>
          <reference field="2" count="1" selected="0">
            <x v="2"/>
          </reference>
        </references>
      </pivotArea>
    </chartFormat>
    <chartFormat chart="4" format="41">
      <pivotArea type="data" outline="0" fieldPosition="0">
        <references count="2">
          <reference field="4294967294" count="1" selected="0">
            <x v="0"/>
          </reference>
          <reference field="2" count="1" selected="0">
            <x v="3"/>
          </reference>
        </references>
      </pivotArea>
    </chartFormat>
    <chartFormat chart="5" format="26" series="1">
      <pivotArea type="data" outline="0" fieldPosition="0">
        <references count="1">
          <reference field="4294967294" count="1" selected="0">
            <x v="0"/>
          </reference>
        </references>
      </pivotArea>
    </chartFormat>
    <chartFormat chart="5" format="27">
      <pivotArea type="data" outline="0" fieldPosition="0">
        <references count="2">
          <reference field="4294967294" count="1" selected="0">
            <x v="0"/>
          </reference>
          <reference field="2" count="1" selected="0">
            <x v="0"/>
          </reference>
        </references>
      </pivotArea>
    </chartFormat>
    <chartFormat chart="5" format="28">
      <pivotArea type="data" outline="0" fieldPosition="0">
        <references count="2">
          <reference field="4294967294" count="1" selected="0">
            <x v="0"/>
          </reference>
          <reference field="2" count="1" selected="0">
            <x v="1"/>
          </reference>
        </references>
      </pivotArea>
    </chartFormat>
    <chartFormat chart="5" format="32">
      <pivotArea type="data" outline="0" fieldPosition="0">
        <references count="2">
          <reference field="4294967294" count="1" selected="0">
            <x v="0"/>
          </reference>
          <reference field="2" count="1" selected="0">
            <x v="2"/>
          </reference>
        </references>
      </pivotArea>
    </chartFormat>
    <chartFormat chart="5" format="33">
      <pivotArea type="data" outline="0" fieldPosition="0">
        <references count="2">
          <reference field="4294967294" count="1" selected="0">
            <x v="0"/>
          </reference>
          <reference field="2" count="1" selected="0">
            <x v="3"/>
          </reference>
        </references>
      </pivotArea>
    </chartFormat>
    <chartFormat chart="6" format="34" series="1">
      <pivotArea type="data" outline="0" fieldPosition="0">
        <references count="1">
          <reference field="4294967294" count="1" selected="0">
            <x v="0"/>
          </reference>
        </references>
      </pivotArea>
    </chartFormat>
    <chartFormat chart="6" format="35">
      <pivotArea type="data" outline="0" fieldPosition="0">
        <references count="2">
          <reference field="4294967294" count="1" selected="0">
            <x v="0"/>
          </reference>
          <reference field="2" count="1" selected="0">
            <x v="0"/>
          </reference>
        </references>
      </pivotArea>
    </chartFormat>
    <chartFormat chart="6" format="36">
      <pivotArea type="data" outline="0" fieldPosition="0">
        <references count="2">
          <reference field="4294967294" count="1" selected="0">
            <x v="0"/>
          </reference>
          <reference field="2" count="1" selected="0">
            <x v="1"/>
          </reference>
        </references>
      </pivotArea>
    </chartFormat>
    <chartFormat chart="6" format="40">
      <pivotArea type="data" outline="0" fieldPosition="0">
        <references count="2">
          <reference field="4294967294" count="1" selected="0">
            <x v="0"/>
          </reference>
          <reference field="2" count="1" selected="0">
            <x v="2"/>
          </reference>
        </references>
      </pivotArea>
    </chartFormat>
    <chartFormat chart="6" format="41">
      <pivotArea type="data" outline="0" fieldPosition="0">
        <references count="2">
          <reference field="4294967294" count="1" selected="0">
            <x v="0"/>
          </reference>
          <reference field="2" count="1" selected="0">
            <x v="3"/>
          </reference>
        </references>
      </pivotArea>
    </chartFormat>
    <chartFormat chart="9" format="27" series="1">
      <pivotArea type="data" outline="0" fieldPosition="0">
        <references count="1">
          <reference field="4294967294" count="1" selected="0">
            <x v="0"/>
          </reference>
        </references>
      </pivotArea>
    </chartFormat>
    <chartFormat chart="9" format="28">
      <pivotArea type="data" outline="0" fieldPosition="0">
        <references count="2">
          <reference field="4294967294" count="1" selected="0">
            <x v="0"/>
          </reference>
          <reference field="2" count="1" selected="0">
            <x v="0"/>
          </reference>
        </references>
      </pivotArea>
    </chartFormat>
    <chartFormat chart="9" format="29">
      <pivotArea type="data" outline="0" fieldPosition="0">
        <references count="2">
          <reference field="4294967294" count="1" selected="0">
            <x v="0"/>
          </reference>
          <reference field="2" count="1" selected="0">
            <x v="1"/>
          </reference>
        </references>
      </pivotArea>
    </chartFormat>
    <chartFormat chart="9" format="33">
      <pivotArea type="data" outline="0" fieldPosition="0">
        <references count="2">
          <reference field="4294967294" count="1" selected="0">
            <x v="0"/>
          </reference>
          <reference field="2" count="1" selected="0">
            <x v="2"/>
          </reference>
        </references>
      </pivotArea>
    </chartFormat>
    <chartFormat chart="9" format="34">
      <pivotArea type="data" outline="0" fieldPosition="0">
        <references count="2">
          <reference field="4294967294" count="1" selected="0">
            <x v="0"/>
          </reference>
          <reference field="2" count="1" selected="0">
            <x v="3"/>
          </reference>
        </references>
      </pivotArea>
    </chartFormat>
    <chartFormat chart="10" format="36" series="1">
      <pivotArea type="data" outline="0" fieldPosition="0">
        <references count="1">
          <reference field="4294967294" count="1" selected="0">
            <x v="0"/>
          </reference>
        </references>
      </pivotArea>
    </chartFormat>
    <chartFormat chart="10" format="37">
      <pivotArea type="data" outline="0" fieldPosition="0">
        <references count="2">
          <reference field="4294967294" count="1" selected="0">
            <x v="0"/>
          </reference>
          <reference field="2" count="1" selected="0">
            <x v="0"/>
          </reference>
        </references>
      </pivotArea>
    </chartFormat>
    <chartFormat chart="10" format="38">
      <pivotArea type="data" outline="0" fieldPosition="0">
        <references count="2">
          <reference field="4294967294" count="1" selected="0">
            <x v="0"/>
          </reference>
          <reference field="2" count="1" selected="0">
            <x v="1"/>
          </reference>
        </references>
      </pivotArea>
    </chartFormat>
    <chartFormat chart="10" format="42">
      <pivotArea type="data" outline="0" fieldPosition="0">
        <references count="2">
          <reference field="4294967294" count="1" selected="0">
            <x v="0"/>
          </reference>
          <reference field="2" count="1" selected="0">
            <x v="2"/>
          </reference>
        </references>
      </pivotArea>
    </chartFormat>
    <chartFormat chart="10" format="43">
      <pivotArea type="data" outline="0" fieldPosition="0">
        <references count="2">
          <reference field="4294967294" count="1" selected="0">
            <x v="0"/>
          </reference>
          <reference field="2" count="1" selected="0">
            <x v="3"/>
          </reference>
        </references>
      </pivotArea>
    </chartFormat>
    <chartFormat chart="11" format="27" series="1">
      <pivotArea type="data" outline="0" fieldPosition="0">
        <references count="1">
          <reference field="4294967294" count="1" selected="0">
            <x v="0"/>
          </reference>
        </references>
      </pivotArea>
    </chartFormat>
    <chartFormat chart="11" format="28">
      <pivotArea type="data" outline="0" fieldPosition="0">
        <references count="2">
          <reference field="4294967294" count="1" selected="0">
            <x v="0"/>
          </reference>
          <reference field="2" count="1" selected="0">
            <x v="0"/>
          </reference>
        </references>
      </pivotArea>
    </chartFormat>
    <chartFormat chart="11" format="29">
      <pivotArea type="data" outline="0" fieldPosition="0">
        <references count="2">
          <reference field="4294967294" count="1" selected="0">
            <x v="0"/>
          </reference>
          <reference field="2" count="1" selected="0">
            <x v="1"/>
          </reference>
        </references>
      </pivotArea>
    </chartFormat>
    <chartFormat chart="11" format="33">
      <pivotArea type="data" outline="0" fieldPosition="0">
        <references count="2">
          <reference field="4294967294" count="1" selected="0">
            <x v="0"/>
          </reference>
          <reference field="2" count="1" selected="0">
            <x v="2"/>
          </reference>
        </references>
      </pivotArea>
    </chartFormat>
    <chartFormat chart="11" format="34">
      <pivotArea type="data" outline="0" fieldPosition="0">
        <references count="2">
          <reference field="4294967294" count="1" selected="0">
            <x v="0"/>
          </reference>
          <reference field="2" count="1" selected="0">
            <x v="3"/>
          </reference>
        </references>
      </pivotArea>
    </chartFormat>
    <chartFormat chart="12" format="36" series="1">
      <pivotArea type="data" outline="0" fieldPosition="0">
        <references count="1">
          <reference field="4294967294" count="1" selected="0">
            <x v="0"/>
          </reference>
        </references>
      </pivotArea>
    </chartFormat>
    <chartFormat chart="12" format="37">
      <pivotArea type="data" outline="0" fieldPosition="0">
        <references count="2">
          <reference field="4294967294" count="1" selected="0">
            <x v="0"/>
          </reference>
          <reference field="2" count="1" selected="0">
            <x v="0"/>
          </reference>
        </references>
      </pivotArea>
    </chartFormat>
    <chartFormat chart="12" format="38">
      <pivotArea type="data" outline="0" fieldPosition="0">
        <references count="2">
          <reference field="4294967294" count="1" selected="0">
            <x v="0"/>
          </reference>
          <reference field="2" count="1" selected="0">
            <x v="1"/>
          </reference>
        </references>
      </pivotArea>
    </chartFormat>
    <chartFormat chart="12" format="42">
      <pivotArea type="data" outline="0" fieldPosition="0">
        <references count="2">
          <reference field="4294967294" count="1" selected="0">
            <x v="0"/>
          </reference>
          <reference field="2" count="1" selected="0">
            <x v="2"/>
          </reference>
        </references>
      </pivotArea>
    </chartFormat>
    <chartFormat chart="12" format="43">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5DC695-2F91-4060-8223-BE5ED419E479}" name="PivotTable30-2" cacheId="132"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36">
  <location ref="H15:S37" firstHeaderRow="1" firstDataRow="2" firstDataCol="2"/>
  <pivotFields count="41">
    <pivotField axis="axisRow" showAll="0">
      <items count="52">
        <item x="14"/>
        <item x="15"/>
        <item x="18"/>
        <item x="19"/>
        <item x="21"/>
        <item x="22"/>
        <item x="23"/>
        <item x="24"/>
        <item x="25"/>
        <item x="20"/>
        <item h="1" m="1" x="29"/>
        <item h="1" m="1" x="46"/>
        <item h="1" m="1" x="26"/>
        <item h="1" m="1" x="39"/>
        <item h="1" m="1" x="32"/>
        <item h="1" m="1" x="48"/>
        <item h="1" m="1" x="27"/>
        <item h="1" m="1" x="37"/>
        <item h="1" m="1" x="44"/>
        <item h="1" m="1" x="41"/>
        <item h="1" m="1" x="34"/>
        <item h="1" m="1" x="30"/>
        <item h="1" m="1" x="50"/>
        <item h="1" m="1" x="47"/>
        <item h="1" m="1" x="43"/>
        <item h="1" m="1" x="40"/>
        <item h="1" m="1" x="49"/>
        <item h="1" m="1" x="36"/>
        <item h="1" m="1" x="33"/>
        <item h="1" m="1" x="28"/>
        <item h="1" m="1" x="42"/>
        <item h="1" m="1" x="45"/>
        <item h="1" m="1" x="38"/>
        <item h="1" m="1" x="35"/>
        <item h="1" m="1" x="31"/>
        <item x="0"/>
        <item x="1"/>
        <item x="2"/>
        <item x="5"/>
        <item x="7"/>
        <item x="8"/>
        <item x="11"/>
        <item x="4"/>
        <item x="3"/>
        <item x="6"/>
        <item x="9"/>
        <item x="10"/>
        <item x="12"/>
        <item x="13"/>
        <item x="16"/>
        <item x="17"/>
        <item t="default"/>
      </items>
    </pivotField>
    <pivotField axis="axisRow" outline="0" showAll="0" defaultSubtotal="0">
      <items count="13">
        <item sd="0" x="4"/>
        <item sd="0" x="5"/>
        <item x="6"/>
        <item x="0"/>
        <item h="1" m="1" x="12"/>
        <item h="1" m="1" x="7"/>
        <item h="1" m="1" x="8"/>
        <item h="1" m="1" x="11"/>
        <item h="1" m="1" x="9"/>
        <item h="1" m="1" x="10"/>
        <item x="1"/>
        <item x="2"/>
        <item x="3"/>
      </items>
      <extLst>
        <ext xmlns:x14="http://schemas.microsoft.com/office/spreadsheetml/2009/9/main" uri="{2946ED86-A175-432a-8AC1-64E0C546D7DE}">
          <x14:pivotField fillDownLabels="1"/>
        </ext>
      </extLst>
    </pivotField>
    <pivotField axis="axisCol" showAll="0">
      <items count="14">
        <item x="0"/>
        <item m="1" x="11"/>
        <item x="1"/>
        <item x="4"/>
        <item m="1" x="12"/>
        <item x="7"/>
        <item x="8"/>
        <item x="6"/>
        <item x="9"/>
        <item x="5"/>
        <item m="1" x="10"/>
        <item x="2"/>
        <item x="3"/>
        <item t="default"/>
      </items>
    </pivotField>
    <pivotField dataField="1" showAll="0"/>
    <pivotField showAll="0"/>
    <pivotField showAll="0"/>
    <pivotField showAll="0"/>
    <pivotField numFmtId="168" showAll="0"/>
    <pivotField numFmtId="168"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0"/>
  </rowFields>
  <rowItems count="21">
    <i>
      <x/>
    </i>
    <i>
      <x v="1"/>
    </i>
    <i>
      <x v="2"/>
      <x v="7"/>
    </i>
    <i r="1">
      <x v="8"/>
    </i>
    <i>
      <x v="3"/>
      <x v="35"/>
    </i>
    <i r="1">
      <x v="36"/>
    </i>
    <i r="1">
      <x v="37"/>
    </i>
    <i r="1">
      <x v="43"/>
    </i>
    <i>
      <x v="10"/>
      <x v="38"/>
    </i>
    <i r="1">
      <x v="39"/>
    </i>
    <i r="1">
      <x v="42"/>
    </i>
    <i r="1">
      <x v="44"/>
    </i>
    <i>
      <x v="11"/>
      <x v="40"/>
    </i>
    <i r="1">
      <x v="41"/>
    </i>
    <i r="1">
      <x v="45"/>
    </i>
    <i r="1">
      <x v="46"/>
    </i>
    <i r="1">
      <x v="48"/>
    </i>
    <i>
      <x v="12"/>
      <x v="47"/>
    </i>
    <i r="1">
      <x v="48"/>
    </i>
    <i r="1">
      <x v="49"/>
    </i>
    <i r="1">
      <x v="50"/>
    </i>
  </rowItems>
  <colFields count="1">
    <field x="2"/>
  </colFields>
  <colItems count="10">
    <i>
      <x/>
    </i>
    <i>
      <x v="2"/>
    </i>
    <i>
      <x v="3"/>
    </i>
    <i>
      <x v="5"/>
    </i>
    <i>
      <x v="6"/>
    </i>
    <i>
      <x v="7"/>
    </i>
    <i>
      <x v="8"/>
    </i>
    <i>
      <x v="9"/>
    </i>
    <i>
      <x v="11"/>
    </i>
    <i>
      <x v="12"/>
    </i>
  </colItems>
  <dataFields count="1">
    <dataField name="Count of TASK" fld="3" subtotal="count" baseField="0" baseItem="0"/>
  </dataFields>
  <formats count="18">
    <format dxfId="368">
      <pivotArea type="all" dataOnly="0" outline="0" fieldPosition="0"/>
    </format>
    <format dxfId="369">
      <pivotArea outline="0" collapsedLevelsAreSubtotals="1" fieldPosition="0"/>
    </format>
    <format dxfId="370">
      <pivotArea type="origin" dataOnly="0" labelOnly="1" outline="0" fieldPosition="0"/>
    </format>
    <format dxfId="371">
      <pivotArea field="2" type="button" dataOnly="0" labelOnly="1" outline="0" axis="axisCol" fieldPosition="0"/>
    </format>
    <format dxfId="372">
      <pivotArea type="topRight" dataOnly="0" labelOnly="1" outline="0" fieldPosition="0"/>
    </format>
    <format dxfId="373">
      <pivotArea field="1" type="button" dataOnly="0" labelOnly="1" outline="0" axis="axisRow" fieldPosition="0"/>
    </format>
    <format dxfId="374">
      <pivotArea field="0" type="button" dataOnly="0" labelOnly="1" outline="0" axis="axisRow" fieldPosition="1"/>
    </format>
    <format dxfId="375">
      <pivotArea dataOnly="0" labelOnly="1" fieldPosition="0">
        <references count="1">
          <reference field="1" count="0"/>
        </references>
      </pivotArea>
    </format>
    <format dxfId="376">
      <pivotArea dataOnly="0" labelOnly="1" fieldPosition="0">
        <references count="1">
          <reference field="2" count="3">
            <x v="0"/>
            <x v="1"/>
            <x v="3"/>
          </reference>
        </references>
      </pivotArea>
    </format>
    <format dxfId="377">
      <pivotArea type="all" dataOnly="0" outline="0" fieldPosition="0"/>
    </format>
    <format dxfId="378">
      <pivotArea outline="0" collapsedLevelsAreSubtotals="1" fieldPosition="0"/>
    </format>
    <format dxfId="379">
      <pivotArea type="origin" dataOnly="0" labelOnly="1" outline="0" fieldPosition="0"/>
    </format>
    <format dxfId="380">
      <pivotArea field="2" type="button" dataOnly="0" labelOnly="1" outline="0" axis="axisCol" fieldPosition="0"/>
    </format>
    <format dxfId="381">
      <pivotArea type="topRight" dataOnly="0" labelOnly="1" outline="0" fieldPosition="0"/>
    </format>
    <format dxfId="382">
      <pivotArea field="1" type="button" dataOnly="0" labelOnly="1" outline="0" axis="axisRow" fieldPosition="0"/>
    </format>
    <format dxfId="383">
      <pivotArea field="0" type="button" dataOnly="0" labelOnly="1" outline="0" axis="axisRow" fieldPosition="1"/>
    </format>
    <format dxfId="384">
      <pivotArea dataOnly="0" labelOnly="1" fieldPosition="0">
        <references count="1">
          <reference field="1" count="0"/>
        </references>
      </pivotArea>
    </format>
    <format dxfId="385">
      <pivotArea dataOnly="0" labelOnly="1" fieldPosition="0">
        <references count="1">
          <reference field="2" count="0"/>
        </references>
      </pivotArea>
    </format>
  </formats>
  <chartFormats count="131">
    <chartFormat chart="2" format="14" series="1">
      <pivotArea type="data" outline="0" fieldPosition="0">
        <references count="2">
          <reference field="4294967294" count="1" selected="0">
            <x v="0"/>
          </reference>
          <reference field="2" count="1" selected="0">
            <x v="0"/>
          </reference>
        </references>
      </pivotArea>
    </chartFormat>
    <chartFormat chart="2" format="15" series="1">
      <pivotArea type="data" outline="0" fieldPosition="0">
        <references count="2">
          <reference field="4294967294" count="1" selected="0">
            <x v="0"/>
          </reference>
          <reference field="2" count="1" selected="0">
            <x v="1"/>
          </reference>
        </references>
      </pivotArea>
    </chartFormat>
    <chartFormat chart="2" format="19" series="1">
      <pivotArea type="data" outline="0" fieldPosition="0">
        <references count="2">
          <reference field="4294967294" count="1" selected="0">
            <x v="0"/>
          </reference>
          <reference field="2" count="1" selected="0">
            <x v="2"/>
          </reference>
        </references>
      </pivotArea>
    </chartFormat>
    <chartFormat chart="2" format="20" series="1">
      <pivotArea type="data" outline="0" fieldPosition="0">
        <references count="2">
          <reference field="4294967294" count="1" selected="0">
            <x v="0"/>
          </reference>
          <reference field="2" count="1" selected="0">
            <x v="3"/>
          </reference>
        </references>
      </pivotArea>
    </chartFormat>
    <chartFormat chart="2" format="21" series="1">
      <pivotArea type="data" outline="0" fieldPosition="0">
        <references count="1">
          <reference field="4294967294" count="1" selected="0">
            <x v="0"/>
          </reference>
        </references>
      </pivotArea>
    </chartFormat>
    <chartFormat chart="3" format="22" series="1">
      <pivotArea type="data" outline="0" fieldPosition="0">
        <references count="2">
          <reference field="4294967294" count="1" selected="0">
            <x v="0"/>
          </reference>
          <reference field="2" count="1" selected="0">
            <x v="0"/>
          </reference>
        </references>
      </pivotArea>
    </chartFormat>
    <chartFormat chart="3" format="23" series="1">
      <pivotArea type="data" outline="0" fieldPosition="0">
        <references count="2">
          <reference field="4294967294" count="1" selected="0">
            <x v="0"/>
          </reference>
          <reference field="2" count="1" selected="0">
            <x v="1"/>
          </reference>
        </references>
      </pivotArea>
    </chartFormat>
    <chartFormat chart="3" format="27" series="1">
      <pivotArea type="data" outline="0" fieldPosition="0">
        <references count="2">
          <reference field="4294967294" count="1" selected="0">
            <x v="0"/>
          </reference>
          <reference field="2" count="1" selected="0">
            <x v="2"/>
          </reference>
        </references>
      </pivotArea>
    </chartFormat>
    <chartFormat chart="3" format="28" series="1">
      <pivotArea type="data" outline="0" fieldPosition="0">
        <references count="2">
          <reference field="4294967294" count="1" selected="0">
            <x v="0"/>
          </reference>
          <reference field="2" count="1" selected="0">
            <x v="3"/>
          </reference>
        </references>
      </pivotArea>
    </chartFormat>
    <chartFormat chart="4" format="29" series="1">
      <pivotArea type="data" outline="0" fieldPosition="0">
        <references count="2">
          <reference field="4294967294" count="1" selected="0">
            <x v="0"/>
          </reference>
          <reference field="2" count="1" selected="0">
            <x v="0"/>
          </reference>
        </references>
      </pivotArea>
    </chartFormat>
    <chartFormat chart="4" format="30" series="1">
      <pivotArea type="data" outline="0" fieldPosition="0">
        <references count="2">
          <reference field="4294967294" count="1" selected="0">
            <x v="0"/>
          </reference>
          <reference field="2" count="1" selected="0">
            <x v="1"/>
          </reference>
        </references>
      </pivotArea>
    </chartFormat>
    <chartFormat chart="4" format="34" series="1">
      <pivotArea type="data" outline="0" fieldPosition="0">
        <references count="2">
          <reference field="4294967294" count="1" selected="0">
            <x v="0"/>
          </reference>
          <reference field="2" count="1" selected="0">
            <x v="2"/>
          </reference>
        </references>
      </pivotArea>
    </chartFormat>
    <chartFormat chart="4" format="35" series="1">
      <pivotArea type="data" outline="0" fieldPosition="0">
        <references count="2">
          <reference field="4294967294" count="1" selected="0">
            <x v="0"/>
          </reference>
          <reference field="2" count="1" selected="0">
            <x v="3"/>
          </reference>
        </references>
      </pivotArea>
    </chartFormat>
    <chartFormat chart="5" format="22" series="1">
      <pivotArea type="data" outline="0" fieldPosition="0">
        <references count="2">
          <reference field="4294967294" count="1" selected="0">
            <x v="0"/>
          </reference>
          <reference field="2" count="1" selected="0">
            <x v="0"/>
          </reference>
        </references>
      </pivotArea>
    </chartFormat>
    <chartFormat chart="5" format="23" series="1">
      <pivotArea type="data" outline="0" fieldPosition="0">
        <references count="2">
          <reference field="4294967294" count="1" selected="0">
            <x v="0"/>
          </reference>
          <reference field="2" count="1" selected="0">
            <x v="1"/>
          </reference>
        </references>
      </pivotArea>
    </chartFormat>
    <chartFormat chart="5" format="27" series="1">
      <pivotArea type="data" outline="0" fieldPosition="0">
        <references count="2">
          <reference field="4294967294" count="1" selected="0">
            <x v="0"/>
          </reference>
          <reference field="2" count="1" selected="0">
            <x v="2"/>
          </reference>
        </references>
      </pivotArea>
    </chartFormat>
    <chartFormat chart="5" format="28" series="1">
      <pivotArea type="data" outline="0" fieldPosition="0">
        <references count="2">
          <reference field="4294967294" count="1" selected="0">
            <x v="0"/>
          </reference>
          <reference field="2" count="1" selected="0">
            <x v="3"/>
          </reference>
        </references>
      </pivotArea>
    </chartFormat>
    <chartFormat chart="6" format="29" series="1">
      <pivotArea type="data" outline="0" fieldPosition="0">
        <references count="2">
          <reference field="4294967294" count="1" selected="0">
            <x v="0"/>
          </reference>
          <reference field="2" count="1" selected="0">
            <x v="0"/>
          </reference>
        </references>
      </pivotArea>
    </chartFormat>
    <chartFormat chart="6" format="30" series="1">
      <pivotArea type="data" outline="0" fieldPosition="0">
        <references count="2">
          <reference field="4294967294" count="1" selected="0">
            <x v="0"/>
          </reference>
          <reference field="2" count="1" selected="0">
            <x v="1"/>
          </reference>
        </references>
      </pivotArea>
    </chartFormat>
    <chartFormat chart="6" format="34" series="1">
      <pivotArea type="data" outline="0" fieldPosition="0">
        <references count="2">
          <reference field="4294967294" count="1" selected="0">
            <x v="0"/>
          </reference>
          <reference field="2" count="1" selected="0">
            <x v="2"/>
          </reference>
        </references>
      </pivotArea>
    </chartFormat>
    <chartFormat chart="6" format="35" series="1">
      <pivotArea type="data" outline="0" fieldPosition="0">
        <references count="2">
          <reference field="4294967294" count="1" selected="0">
            <x v="0"/>
          </reference>
          <reference field="2" count="1" selected="0">
            <x v="3"/>
          </reference>
        </references>
      </pivotArea>
    </chartFormat>
    <chartFormat chart="7" format="22" series="1">
      <pivotArea type="data" outline="0" fieldPosition="0">
        <references count="2">
          <reference field="4294967294" count="1" selected="0">
            <x v="0"/>
          </reference>
          <reference field="2" count="1" selected="0">
            <x v="0"/>
          </reference>
        </references>
      </pivotArea>
    </chartFormat>
    <chartFormat chart="7" format="23" series="1">
      <pivotArea type="data" outline="0" fieldPosition="0">
        <references count="2">
          <reference field="4294967294" count="1" selected="0">
            <x v="0"/>
          </reference>
          <reference field="2" count="1" selected="0">
            <x v="1"/>
          </reference>
        </references>
      </pivotArea>
    </chartFormat>
    <chartFormat chart="7" format="27" series="1">
      <pivotArea type="data" outline="0" fieldPosition="0">
        <references count="2">
          <reference field="4294967294" count="1" selected="0">
            <x v="0"/>
          </reference>
          <reference field="2" count="1" selected="0">
            <x v="2"/>
          </reference>
        </references>
      </pivotArea>
    </chartFormat>
    <chartFormat chart="7" format="28" series="1">
      <pivotArea type="data" outline="0" fieldPosition="0">
        <references count="2">
          <reference field="4294967294" count="1" selected="0">
            <x v="0"/>
          </reference>
          <reference field="2" count="1" selected="0">
            <x v="3"/>
          </reference>
        </references>
      </pivotArea>
    </chartFormat>
    <chartFormat chart="8" format="29" series="1">
      <pivotArea type="data" outline="0" fieldPosition="0">
        <references count="2">
          <reference field="4294967294" count="1" selected="0">
            <x v="0"/>
          </reference>
          <reference field="2" count="1" selected="0">
            <x v="0"/>
          </reference>
        </references>
      </pivotArea>
    </chartFormat>
    <chartFormat chart="8" format="30" series="1">
      <pivotArea type="data" outline="0" fieldPosition="0">
        <references count="2">
          <reference field="4294967294" count="1" selected="0">
            <x v="0"/>
          </reference>
          <reference field="2" count="1" selected="0">
            <x v="1"/>
          </reference>
        </references>
      </pivotArea>
    </chartFormat>
    <chartFormat chart="8" format="34" series="1">
      <pivotArea type="data" outline="0" fieldPosition="0">
        <references count="2">
          <reference field="4294967294" count="1" selected="0">
            <x v="0"/>
          </reference>
          <reference field="2" count="1" selected="0">
            <x v="2"/>
          </reference>
        </references>
      </pivotArea>
    </chartFormat>
    <chartFormat chart="8" format="35" series="1">
      <pivotArea type="data" outline="0" fieldPosition="0">
        <references count="2">
          <reference field="4294967294" count="1" selected="0">
            <x v="0"/>
          </reference>
          <reference field="2" count="1" selected="0">
            <x v="3"/>
          </reference>
        </references>
      </pivotArea>
    </chartFormat>
    <chartFormat chart="11" format="22" series="1">
      <pivotArea type="data" outline="0" fieldPosition="0">
        <references count="2">
          <reference field="4294967294" count="1" selected="0">
            <x v="0"/>
          </reference>
          <reference field="2" count="1" selected="0">
            <x v="0"/>
          </reference>
        </references>
      </pivotArea>
    </chartFormat>
    <chartFormat chart="11" format="23" series="1">
      <pivotArea type="data" outline="0" fieldPosition="0">
        <references count="2">
          <reference field="4294967294" count="1" selected="0">
            <x v="0"/>
          </reference>
          <reference field="2" count="1" selected="0">
            <x v="1"/>
          </reference>
        </references>
      </pivotArea>
    </chartFormat>
    <chartFormat chart="11" format="27" series="1">
      <pivotArea type="data" outline="0" fieldPosition="0">
        <references count="2">
          <reference field="4294967294" count="1" selected="0">
            <x v="0"/>
          </reference>
          <reference field="2" count="1" selected="0">
            <x v="2"/>
          </reference>
        </references>
      </pivotArea>
    </chartFormat>
    <chartFormat chart="11" format="28" series="1">
      <pivotArea type="data" outline="0" fieldPosition="0">
        <references count="2">
          <reference field="4294967294" count="1" selected="0">
            <x v="0"/>
          </reference>
          <reference field="2" count="1" selected="0">
            <x v="3"/>
          </reference>
        </references>
      </pivotArea>
    </chartFormat>
    <chartFormat chart="12" format="29" series="1">
      <pivotArea type="data" outline="0" fieldPosition="0">
        <references count="2">
          <reference field="4294967294" count="1" selected="0">
            <x v="0"/>
          </reference>
          <reference field="2" count="1" selected="0">
            <x v="0"/>
          </reference>
        </references>
      </pivotArea>
    </chartFormat>
    <chartFormat chart="12" format="30" series="1">
      <pivotArea type="data" outline="0" fieldPosition="0">
        <references count="2">
          <reference field="4294967294" count="1" selected="0">
            <x v="0"/>
          </reference>
          <reference field="2" count="1" selected="0">
            <x v="1"/>
          </reference>
        </references>
      </pivotArea>
    </chartFormat>
    <chartFormat chart="12" format="34" series="1">
      <pivotArea type="data" outline="0" fieldPosition="0">
        <references count="2">
          <reference field="4294967294" count="1" selected="0">
            <x v="0"/>
          </reference>
          <reference field="2" count="1" selected="0">
            <x v="2"/>
          </reference>
        </references>
      </pivotArea>
    </chartFormat>
    <chartFormat chart="12" format="35" series="1">
      <pivotArea type="data" outline="0" fieldPosition="0">
        <references count="2">
          <reference field="4294967294" count="1" selected="0">
            <x v="0"/>
          </reference>
          <reference field="2" count="1" selected="0">
            <x v="3"/>
          </reference>
        </references>
      </pivotArea>
    </chartFormat>
    <chartFormat chart="13" format="22" series="1">
      <pivotArea type="data" outline="0" fieldPosition="0">
        <references count="2">
          <reference field="4294967294" count="1" selected="0">
            <x v="0"/>
          </reference>
          <reference field="2" count="1" selected="0">
            <x v="0"/>
          </reference>
        </references>
      </pivotArea>
    </chartFormat>
    <chartFormat chart="13" format="23" series="1">
      <pivotArea type="data" outline="0" fieldPosition="0">
        <references count="2">
          <reference field="4294967294" count="1" selected="0">
            <x v="0"/>
          </reference>
          <reference field="2" count="1" selected="0">
            <x v="1"/>
          </reference>
        </references>
      </pivotArea>
    </chartFormat>
    <chartFormat chart="13" format="27" series="1">
      <pivotArea type="data" outline="0" fieldPosition="0">
        <references count="2">
          <reference field="4294967294" count="1" selected="0">
            <x v="0"/>
          </reference>
          <reference field="2" count="1" selected="0">
            <x v="2"/>
          </reference>
        </references>
      </pivotArea>
    </chartFormat>
    <chartFormat chart="13" format="28" series="1">
      <pivotArea type="data" outline="0" fieldPosition="0">
        <references count="2">
          <reference field="4294967294" count="1" selected="0">
            <x v="0"/>
          </reference>
          <reference field="2" count="1" selected="0">
            <x v="3"/>
          </reference>
        </references>
      </pivotArea>
    </chartFormat>
    <chartFormat chart="14" format="29" series="1">
      <pivotArea type="data" outline="0" fieldPosition="0">
        <references count="2">
          <reference field="4294967294" count="1" selected="0">
            <x v="0"/>
          </reference>
          <reference field="2" count="1" selected="0">
            <x v="0"/>
          </reference>
        </references>
      </pivotArea>
    </chartFormat>
    <chartFormat chart="14" format="30" series="1">
      <pivotArea type="data" outline="0" fieldPosition="0">
        <references count="2">
          <reference field="4294967294" count="1" selected="0">
            <x v="0"/>
          </reference>
          <reference field="2" count="1" selected="0">
            <x v="1"/>
          </reference>
        </references>
      </pivotArea>
    </chartFormat>
    <chartFormat chart="14" format="34" series="1">
      <pivotArea type="data" outline="0" fieldPosition="0">
        <references count="2">
          <reference field="4294967294" count="1" selected="0">
            <x v="0"/>
          </reference>
          <reference field="2" count="1" selected="0">
            <x v="2"/>
          </reference>
        </references>
      </pivotArea>
    </chartFormat>
    <chartFormat chart="14" format="35" series="1">
      <pivotArea type="data" outline="0" fieldPosition="0">
        <references count="2">
          <reference field="4294967294" count="1" selected="0">
            <x v="0"/>
          </reference>
          <reference field="2" count="1" selected="0">
            <x v="3"/>
          </reference>
        </references>
      </pivotArea>
    </chartFormat>
    <chartFormat chart="15" format="23" series="1">
      <pivotArea type="data" outline="0" fieldPosition="0">
        <references count="2">
          <reference field="4294967294" count="1" selected="0">
            <x v="0"/>
          </reference>
          <reference field="2" count="1" selected="0">
            <x v="0"/>
          </reference>
        </references>
      </pivotArea>
    </chartFormat>
    <chartFormat chart="15" format="24" series="1">
      <pivotArea type="data" outline="0" fieldPosition="0">
        <references count="2">
          <reference field="4294967294" count="1" selected="0">
            <x v="0"/>
          </reference>
          <reference field="2" count="1" selected="0">
            <x v="1"/>
          </reference>
        </references>
      </pivotArea>
    </chartFormat>
    <chartFormat chart="15" format="28" series="1">
      <pivotArea type="data" outline="0" fieldPosition="0">
        <references count="2">
          <reference field="4294967294" count="1" selected="0">
            <x v="0"/>
          </reference>
          <reference field="2" count="1" selected="0">
            <x v="2"/>
          </reference>
        </references>
      </pivotArea>
    </chartFormat>
    <chartFormat chart="15" format="29" series="1">
      <pivotArea type="data" outline="0" fieldPosition="0">
        <references count="2">
          <reference field="4294967294" count="1" selected="0">
            <x v="0"/>
          </reference>
          <reference field="2" count="1" selected="0">
            <x v="3"/>
          </reference>
        </references>
      </pivotArea>
    </chartFormat>
    <chartFormat chart="16" format="31" series="1">
      <pivotArea type="data" outline="0" fieldPosition="0">
        <references count="2">
          <reference field="4294967294" count="1" selected="0">
            <x v="0"/>
          </reference>
          <reference field="2" count="1" selected="0">
            <x v="0"/>
          </reference>
        </references>
      </pivotArea>
    </chartFormat>
    <chartFormat chart="16" format="32" series="1">
      <pivotArea type="data" outline="0" fieldPosition="0">
        <references count="2">
          <reference field="4294967294" count="1" selected="0">
            <x v="0"/>
          </reference>
          <reference field="2" count="1" selected="0">
            <x v="1"/>
          </reference>
        </references>
      </pivotArea>
    </chartFormat>
    <chartFormat chart="16" format="36" series="1">
      <pivotArea type="data" outline="0" fieldPosition="0">
        <references count="2">
          <reference field="4294967294" count="1" selected="0">
            <x v="0"/>
          </reference>
          <reference field="2" count="1" selected="0">
            <x v="2"/>
          </reference>
        </references>
      </pivotArea>
    </chartFormat>
    <chartFormat chart="16" format="37" series="1">
      <pivotArea type="data" outline="0" fieldPosition="0">
        <references count="2">
          <reference field="4294967294" count="1" selected="0">
            <x v="0"/>
          </reference>
          <reference field="2" count="1" selected="0">
            <x v="3"/>
          </reference>
        </references>
      </pivotArea>
    </chartFormat>
    <chartFormat chart="17" format="23" series="1">
      <pivotArea type="data" outline="0" fieldPosition="0">
        <references count="2">
          <reference field="4294967294" count="1" selected="0">
            <x v="0"/>
          </reference>
          <reference field="2" count="1" selected="0">
            <x v="0"/>
          </reference>
        </references>
      </pivotArea>
    </chartFormat>
    <chartFormat chart="17" format="24" series="1">
      <pivotArea type="data" outline="0" fieldPosition="0">
        <references count="2">
          <reference field="4294967294" count="1" selected="0">
            <x v="0"/>
          </reference>
          <reference field="2" count="1" selected="0">
            <x v="1"/>
          </reference>
        </references>
      </pivotArea>
    </chartFormat>
    <chartFormat chart="17" format="28" series="1">
      <pivotArea type="data" outline="0" fieldPosition="0">
        <references count="2">
          <reference field="4294967294" count="1" selected="0">
            <x v="0"/>
          </reference>
          <reference field="2" count="1" selected="0">
            <x v="2"/>
          </reference>
        </references>
      </pivotArea>
    </chartFormat>
    <chartFormat chart="17" format="29" series="1">
      <pivotArea type="data" outline="0" fieldPosition="0">
        <references count="2">
          <reference field="4294967294" count="1" selected="0">
            <x v="0"/>
          </reference>
          <reference field="2" count="1" selected="0">
            <x v="3"/>
          </reference>
        </references>
      </pivotArea>
    </chartFormat>
    <chartFormat chart="18" format="31" series="1">
      <pivotArea type="data" outline="0" fieldPosition="0">
        <references count="2">
          <reference field="4294967294" count="1" selected="0">
            <x v="0"/>
          </reference>
          <reference field="2" count="1" selected="0">
            <x v="0"/>
          </reference>
        </references>
      </pivotArea>
    </chartFormat>
    <chartFormat chart="18" format="32" series="1">
      <pivotArea type="data" outline="0" fieldPosition="0">
        <references count="2">
          <reference field="4294967294" count="1" selected="0">
            <x v="0"/>
          </reference>
          <reference field="2" count="1" selected="0">
            <x v="1"/>
          </reference>
        </references>
      </pivotArea>
    </chartFormat>
    <chartFormat chart="18" format="36" series="1">
      <pivotArea type="data" outline="0" fieldPosition="0">
        <references count="2">
          <reference field="4294967294" count="1" selected="0">
            <x v="0"/>
          </reference>
          <reference field="2" count="1" selected="0">
            <x v="2"/>
          </reference>
        </references>
      </pivotArea>
    </chartFormat>
    <chartFormat chart="18" format="37" series="1">
      <pivotArea type="data" outline="0" fieldPosition="0">
        <references count="2">
          <reference field="4294967294" count="1" selected="0">
            <x v="0"/>
          </reference>
          <reference field="2" count="1" selected="0">
            <x v="3"/>
          </reference>
        </references>
      </pivotArea>
    </chartFormat>
    <chartFormat chart="19" format="23" series="1">
      <pivotArea type="data" outline="0" fieldPosition="0">
        <references count="2">
          <reference field="4294967294" count="1" selected="0">
            <x v="0"/>
          </reference>
          <reference field="2" count="1" selected="0">
            <x v="0"/>
          </reference>
        </references>
      </pivotArea>
    </chartFormat>
    <chartFormat chart="19" format="24" series="1">
      <pivotArea type="data" outline="0" fieldPosition="0">
        <references count="2">
          <reference field="4294967294" count="1" selected="0">
            <x v="0"/>
          </reference>
          <reference field="2" count="1" selected="0">
            <x v="1"/>
          </reference>
        </references>
      </pivotArea>
    </chartFormat>
    <chartFormat chart="19" format="28" series="1">
      <pivotArea type="data" outline="0" fieldPosition="0">
        <references count="2">
          <reference field="4294967294" count="1" selected="0">
            <x v="0"/>
          </reference>
          <reference field="2" count="1" selected="0">
            <x v="2"/>
          </reference>
        </references>
      </pivotArea>
    </chartFormat>
    <chartFormat chart="19" format="29" series="1">
      <pivotArea type="data" outline="0" fieldPosition="0">
        <references count="2">
          <reference field="4294967294" count="1" selected="0">
            <x v="0"/>
          </reference>
          <reference field="2" count="1" selected="0">
            <x v="3"/>
          </reference>
        </references>
      </pivotArea>
    </chartFormat>
    <chartFormat chart="20" format="31" series="1">
      <pivotArea type="data" outline="0" fieldPosition="0">
        <references count="2">
          <reference field="4294967294" count="1" selected="0">
            <x v="0"/>
          </reference>
          <reference field="2" count="1" selected="0">
            <x v="0"/>
          </reference>
        </references>
      </pivotArea>
    </chartFormat>
    <chartFormat chart="20" format="32" series="1">
      <pivotArea type="data" outline="0" fieldPosition="0">
        <references count="2">
          <reference field="4294967294" count="1" selected="0">
            <x v="0"/>
          </reference>
          <reference field="2" count="1" selected="0">
            <x v="1"/>
          </reference>
        </references>
      </pivotArea>
    </chartFormat>
    <chartFormat chart="20" format="36" series="1">
      <pivotArea type="data" outline="0" fieldPosition="0">
        <references count="2">
          <reference field="4294967294" count="1" selected="0">
            <x v="0"/>
          </reference>
          <reference field="2" count="1" selected="0">
            <x v="2"/>
          </reference>
        </references>
      </pivotArea>
    </chartFormat>
    <chartFormat chart="20" format="37" series="1">
      <pivotArea type="data" outline="0" fieldPosition="0">
        <references count="2">
          <reference field="4294967294" count="1" selected="0">
            <x v="0"/>
          </reference>
          <reference field="2" count="1" selected="0">
            <x v="3"/>
          </reference>
        </references>
      </pivotArea>
    </chartFormat>
    <chartFormat chart="21" format="23" series="1">
      <pivotArea type="data" outline="0" fieldPosition="0">
        <references count="2">
          <reference field="4294967294" count="1" selected="0">
            <x v="0"/>
          </reference>
          <reference field="2" count="1" selected="0">
            <x v="0"/>
          </reference>
        </references>
      </pivotArea>
    </chartFormat>
    <chartFormat chart="21" format="24" series="1">
      <pivotArea type="data" outline="0" fieldPosition="0">
        <references count="2">
          <reference field="4294967294" count="1" selected="0">
            <x v="0"/>
          </reference>
          <reference field="2" count="1" selected="0">
            <x v="1"/>
          </reference>
        </references>
      </pivotArea>
    </chartFormat>
    <chartFormat chart="21" format="28" series="1">
      <pivotArea type="data" outline="0" fieldPosition="0">
        <references count="2">
          <reference field="4294967294" count="1" selected="0">
            <x v="0"/>
          </reference>
          <reference field="2" count="1" selected="0">
            <x v="2"/>
          </reference>
        </references>
      </pivotArea>
    </chartFormat>
    <chartFormat chart="21" format="29" series="1">
      <pivotArea type="data" outline="0" fieldPosition="0">
        <references count="2">
          <reference field="4294967294" count="1" selected="0">
            <x v="0"/>
          </reference>
          <reference field="2" count="1" selected="0">
            <x v="3"/>
          </reference>
        </references>
      </pivotArea>
    </chartFormat>
    <chartFormat chart="22" format="31" series="1">
      <pivotArea type="data" outline="0" fieldPosition="0">
        <references count="2">
          <reference field="4294967294" count="1" selected="0">
            <x v="0"/>
          </reference>
          <reference field="2" count="1" selected="0">
            <x v="0"/>
          </reference>
        </references>
      </pivotArea>
    </chartFormat>
    <chartFormat chart="22" format="32" series="1">
      <pivotArea type="data" outline="0" fieldPosition="0">
        <references count="2">
          <reference field="4294967294" count="1" selected="0">
            <x v="0"/>
          </reference>
          <reference field="2" count="1" selected="0">
            <x v="1"/>
          </reference>
        </references>
      </pivotArea>
    </chartFormat>
    <chartFormat chart="22" format="36" series="1">
      <pivotArea type="data" outline="0" fieldPosition="0">
        <references count="2">
          <reference field="4294967294" count="1" selected="0">
            <x v="0"/>
          </reference>
          <reference field="2" count="1" selected="0">
            <x v="2"/>
          </reference>
        </references>
      </pivotArea>
    </chartFormat>
    <chartFormat chart="22" format="37" series="1">
      <pivotArea type="data" outline="0" fieldPosition="0">
        <references count="2">
          <reference field="4294967294" count="1" selected="0">
            <x v="0"/>
          </reference>
          <reference field="2" count="1" selected="0">
            <x v="3"/>
          </reference>
        </references>
      </pivotArea>
    </chartFormat>
    <chartFormat chart="23" format="23" series="1">
      <pivotArea type="data" outline="0" fieldPosition="0">
        <references count="2">
          <reference field="4294967294" count="1" selected="0">
            <x v="0"/>
          </reference>
          <reference field="2" count="1" selected="0">
            <x v="0"/>
          </reference>
        </references>
      </pivotArea>
    </chartFormat>
    <chartFormat chart="23" format="24" series="1">
      <pivotArea type="data" outline="0" fieldPosition="0">
        <references count="2">
          <reference field="4294967294" count="1" selected="0">
            <x v="0"/>
          </reference>
          <reference field="2" count="1" selected="0">
            <x v="1"/>
          </reference>
        </references>
      </pivotArea>
    </chartFormat>
    <chartFormat chart="23" format="28" series="1">
      <pivotArea type="data" outline="0" fieldPosition="0">
        <references count="2">
          <reference field="4294967294" count="1" selected="0">
            <x v="0"/>
          </reference>
          <reference field="2" count="1" selected="0">
            <x v="2"/>
          </reference>
        </references>
      </pivotArea>
    </chartFormat>
    <chartFormat chart="23" format="29" series="1">
      <pivotArea type="data" outline="0" fieldPosition="0">
        <references count="2">
          <reference field="4294967294" count="1" selected="0">
            <x v="0"/>
          </reference>
          <reference field="2" count="1" selected="0">
            <x v="3"/>
          </reference>
        </references>
      </pivotArea>
    </chartFormat>
    <chartFormat chart="24" format="31" series="1">
      <pivotArea type="data" outline="0" fieldPosition="0">
        <references count="2">
          <reference field="4294967294" count="1" selected="0">
            <x v="0"/>
          </reference>
          <reference field="2" count="1" selected="0">
            <x v="0"/>
          </reference>
        </references>
      </pivotArea>
    </chartFormat>
    <chartFormat chart="24" format="32" series="1">
      <pivotArea type="data" outline="0" fieldPosition="0">
        <references count="2">
          <reference field="4294967294" count="1" selected="0">
            <x v="0"/>
          </reference>
          <reference field="2" count="1" selected="0">
            <x v="1"/>
          </reference>
        </references>
      </pivotArea>
    </chartFormat>
    <chartFormat chart="24" format="36" series="1">
      <pivotArea type="data" outline="0" fieldPosition="0">
        <references count="2">
          <reference field="4294967294" count="1" selected="0">
            <x v="0"/>
          </reference>
          <reference field="2" count="1" selected="0">
            <x v="2"/>
          </reference>
        </references>
      </pivotArea>
    </chartFormat>
    <chartFormat chart="24" format="37" series="1">
      <pivotArea type="data" outline="0" fieldPosition="0">
        <references count="2">
          <reference field="4294967294" count="1" selected="0">
            <x v="0"/>
          </reference>
          <reference field="2" count="1" selected="0">
            <x v="3"/>
          </reference>
        </references>
      </pivotArea>
    </chartFormat>
    <chartFormat chart="25" format="23" series="1">
      <pivotArea type="data" outline="0" fieldPosition="0">
        <references count="2">
          <reference field="4294967294" count="1" selected="0">
            <x v="0"/>
          </reference>
          <reference field="2" count="1" selected="0">
            <x v="0"/>
          </reference>
        </references>
      </pivotArea>
    </chartFormat>
    <chartFormat chart="25" format="24" series="1">
      <pivotArea type="data" outline="0" fieldPosition="0">
        <references count="2">
          <reference field="4294967294" count="1" selected="0">
            <x v="0"/>
          </reference>
          <reference field="2" count="1" selected="0">
            <x v="1"/>
          </reference>
        </references>
      </pivotArea>
    </chartFormat>
    <chartFormat chart="25" format="28" series="1">
      <pivotArea type="data" outline="0" fieldPosition="0">
        <references count="2">
          <reference field="4294967294" count="1" selected="0">
            <x v="0"/>
          </reference>
          <reference field="2" count="1" selected="0">
            <x v="2"/>
          </reference>
        </references>
      </pivotArea>
    </chartFormat>
    <chartFormat chart="25" format="29" series="1">
      <pivotArea type="data" outline="0" fieldPosition="0">
        <references count="2">
          <reference field="4294967294" count="1" selected="0">
            <x v="0"/>
          </reference>
          <reference field="2" count="1" selected="0">
            <x v="3"/>
          </reference>
        </references>
      </pivotArea>
    </chartFormat>
    <chartFormat chart="26" format="31" series="1">
      <pivotArea type="data" outline="0" fieldPosition="0">
        <references count="2">
          <reference field="4294967294" count="1" selected="0">
            <x v="0"/>
          </reference>
          <reference field="2" count="1" selected="0">
            <x v="0"/>
          </reference>
        </references>
      </pivotArea>
    </chartFormat>
    <chartFormat chart="26" format="32" series="1">
      <pivotArea type="data" outline="0" fieldPosition="0">
        <references count="2">
          <reference field="4294967294" count="1" selected="0">
            <x v="0"/>
          </reference>
          <reference field="2" count="1" selected="0">
            <x v="1"/>
          </reference>
        </references>
      </pivotArea>
    </chartFormat>
    <chartFormat chart="26" format="36" series="1">
      <pivotArea type="data" outline="0" fieldPosition="0">
        <references count="2">
          <reference field="4294967294" count="1" selected="0">
            <x v="0"/>
          </reference>
          <reference field="2" count="1" selected="0">
            <x v="2"/>
          </reference>
        </references>
      </pivotArea>
    </chartFormat>
    <chartFormat chart="26" format="37" series="1">
      <pivotArea type="data" outline="0" fieldPosition="0">
        <references count="2">
          <reference field="4294967294" count="1" selected="0">
            <x v="0"/>
          </reference>
          <reference field="2" count="1" selected="0">
            <x v="3"/>
          </reference>
        </references>
      </pivotArea>
    </chartFormat>
    <chartFormat chart="27" format="23" series="1">
      <pivotArea type="data" outline="0" fieldPosition="0">
        <references count="2">
          <reference field="4294967294" count="1" selected="0">
            <x v="0"/>
          </reference>
          <reference field="2" count="1" selected="0">
            <x v="0"/>
          </reference>
        </references>
      </pivotArea>
    </chartFormat>
    <chartFormat chart="27" format="24" series="1">
      <pivotArea type="data" outline="0" fieldPosition="0">
        <references count="2">
          <reference field="4294967294" count="1" selected="0">
            <x v="0"/>
          </reference>
          <reference field="2" count="1" selected="0">
            <x v="1"/>
          </reference>
        </references>
      </pivotArea>
    </chartFormat>
    <chartFormat chart="27" format="28" series="1">
      <pivotArea type="data" outline="0" fieldPosition="0">
        <references count="2">
          <reference field="4294967294" count="1" selected="0">
            <x v="0"/>
          </reference>
          <reference field="2" count="1" selected="0">
            <x v="2"/>
          </reference>
        </references>
      </pivotArea>
    </chartFormat>
    <chartFormat chart="27" format="29" series="1">
      <pivotArea type="data" outline="0" fieldPosition="0">
        <references count="2">
          <reference field="4294967294" count="1" selected="0">
            <x v="0"/>
          </reference>
          <reference field="2" count="1" selected="0">
            <x v="3"/>
          </reference>
        </references>
      </pivotArea>
    </chartFormat>
    <chartFormat chart="28" format="31" series="1">
      <pivotArea type="data" outline="0" fieldPosition="0">
        <references count="2">
          <reference field="4294967294" count="1" selected="0">
            <x v="0"/>
          </reference>
          <reference field="2" count="1" selected="0">
            <x v="0"/>
          </reference>
        </references>
      </pivotArea>
    </chartFormat>
    <chartFormat chart="28" format="32" series="1">
      <pivotArea type="data" outline="0" fieldPosition="0">
        <references count="2">
          <reference field="4294967294" count="1" selected="0">
            <x v="0"/>
          </reference>
          <reference field="2" count="1" selected="0">
            <x v="1"/>
          </reference>
        </references>
      </pivotArea>
    </chartFormat>
    <chartFormat chart="28" format="36" series="1">
      <pivotArea type="data" outline="0" fieldPosition="0">
        <references count="2">
          <reference field="4294967294" count="1" selected="0">
            <x v="0"/>
          </reference>
          <reference field="2" count="1" selected="0">
            <x v="2"/>
          </reference>
        </references>
      </pivotArea>
    </chartFormat>
    <chartFormat chart="28" format="37" series="1">
      <pivotArea type="data" outline="0" fieldPosition="0">
        <references count="2">
          <reference field="4294967294" count="1" selected="0">
            <x v="0"/>
          </reference>
          <reference field="2" count="1" selected="0">
            <x v="3"/>
          </reference>
        </references>
      </pivotArea>
    </chartFormat>
    <chartFormat chart="29" format="0" series="1">
      <pivotArea type="data" outline="0" fieldPosition="0">
        <references count="2">
          <reference field="4294967294" count="1" selected="0">
            <x v="0"/>
          </reference>
          <reference field="2" count="1" selected="0">
            <x v="0"/>
          </reference>
        </references>
      </pivotArea>
    </chartFormat>
    <chartFormat chart="29" format="1" series="1">
      <pivotArea type="data" outline="0" fieldPosition="0">
        <references count="2">
          <reference field="4294967294" count="1" selected="0">
            <x v="0"/>
          </reference>
          <reference field="2" count="1" selected="0">
            <x v="1"/>
          </reference>
        </references>
      </pivotArea>
    </chartFormat>
    <chartFormat chart="29" format="5" series="1">
      <pivotArea type="data" outline="0" fieldPosition="0">
        <references count="2">
          <reference field="4294967294" count="1" selected="0">
            <x v="0"/>
          </reference>
          <reference field="2" count="1" selected="0">
            <x v="2"/>
          </reference>
        </references>
      </pivotArea>
    </chartFormat>
    <chartFormat chart="29" format="6" series="1">
      <pivotArea type="data" outline="0" fieldPosition="0">
        <references count="2">
          <reference field="4294967294" count="1" selected="0">
            <x v="0"/>
          </reference>
          <reference field="2" count="1" selected="0">
            <x v="3"/>
          </reference>
        </references>
      </pivotArea>
    </chartFormat>
    <chartFormat chart="31" format="39" series="1">
      <pivotArea type="data" outline="0" fieldPosition="0">
        <references count="2">
          <reference field="4294967294" count="1" selected="0">
            <x v="0"/>
          </reference>
          <reference field="2" count="1" selected="0">
            <x v="0"/>
          </reference>
        </references>
      </pivotArea>
    </chartFormat>
    <chartFormat chart="31" format="40" series="1">
      <pivotArea type="data" outline="0" fieldPosition="0">
        <references count="2">
          <reference field="4294967294" count="1" selected="0">
            <x v="0"/>
          </reference>
          <reference field="2" count="1" selected="0">
            <x v="1"/>
          </reference>
        </references>
      </pivotArea>
    </chartFormat>
    <chartFormat chart="31" format="44" series="1">
      <pivotArea type="data" outline="0" fieldPosition="0">
        <references count="2">
          <reference field="4294967294" count="1" selected="0">
            <x v="0"/>
          </reference>
          <reference field="2" count="1" selected="0">
            <x v="2"/>
          </reference>
        </references>
      </pivotArea>
    </chartFormat>
    <chartFormat chart="31" format="45" series="1">
      <pivotArea type="data" outline="0" fieldPosition="0">
        <references count="2">
          <reference field="4294967294" count="1" selected="0">
            <x v="0"/>
          </reference>
          <reference field="2" count="1" selected="0">
            <x v="3"/>
          </reference>
        </references>
      </pivotArea>
    </chartFormat>
    <chartFormat chart="33" format="55" series="1">
      <pivotArea type="data" outline="0" fieldPosition="0">
        <references count="2">
          <reference field="4294967294" count="1" selected="0">
            <x v="0"/>
          </reference>
          <reference field="2" count="1" selected="0">
            <x v="0"/>
          </reference>
        </references>
      </pivotArea>
    </chartFormat>
    <chartFormat chart="33" format="56" series="1">
      <pivotArea type="data" outline="0" fieldPosition="0">
        <references count="2">
          <reference field="4294967294" count="1" selected="0">
            <x v="0"/>
          </reference>
          <reference field="2" count="1" selected="0">
            <x v="1"/>
          </reference>
        </references>
      </pivotArea>
    </chartFormat>
    <chartFormat chart="33" format="60" series="1">
      <pivotArea type="data" outline="0" fieldPosition="0">
        <references count="2">
          <reference field="4294967294" count="1" selected="0">
            <x v="0"/>
          </reference>
          <reference field="2" count="1" selected="0">
            <x v="2"/>
          </reference>
        </references>
      </pivotArea>
    </chartFormat>
    <chartFormat chart="33" format="61" series="1">
      <pivotArea type="data" outline="0" fieldPosition="0">
        <references count="2">
          <reference field="4294967294" count="1" selected="0">
            <x v="0"/>
          </reference>
          <reference field="2" count="1" selected="0">
            <x v="3"/>
          </reference>
        </references>
      </pivotArea>
    </chartFormat>
    <chartFormat chart="34" format="47" series="1">
      <pivotArea type="data" outline="0" fieldPosition="0">
        <references count="2">
          <reference field="4294967294" count="1" selected="0">
            <x v="0"/>
          </reference>
          <reference field="2" count="1" selected="0">
            <x v="0"/>
          </reference>
        </references>
      </pivotArea>
    </chartFormat>
    <chartFormat chart="34" format="48" series="1">
      <pivotArea type="data" outline="0" fieldPosition="0">
        <references count="2">
          <reference field="4294967294" count="1" selected="0">
            <x v="0"/>
          </reference>
          <reference field="2" count="1" selected="0">
            <x v="1"/>
          </reference>
        </references>
      </pivotArea>
    </chartFormat>
    <chartFormat chart="34" format="52" series="1">
      <pivotArea type="data" outline="0" fieldPosition="0">
        <references count="2">
          <reference field="4294967294" count="1" selected="0">
            <x v="0"/>
          </reference>
          <reference field="2" count="1" selected="0">
            <x v="2"/>
          </reference>
        </references>
      </pivotArea>
    </chartFormat>
    <chartFormat chart="34" format="53" series="1">
      <pivotArea type="data" outline="0" fieldPosition="0">
        <references count="2">
          <reference field="4294967294" count="1" selected="0">
            <x v="0"/>
          </reference>
          <reference field="2" count="1" selected="0">
            <x v="3"/>
          </reference>
        </references>
      </pivotArea>
    </chartFormat>
    <chartFormat chart="35" format="55" series="1">
      <pivotArea type="data" outline="0" fieldPosition="0">
        <references count="2">
          <reference field="4294967294" count="1" selected="0">
            <x v="0"/>
          </reference>
          <reference field="2" count="1" selected="0">
            <x v="0"/>
          </reference>
        </references>
      </pivotArea>
    </chartFormat>
    <chartFormat chart="35" format="56" series="1">
      <pivotArea type="data" outline="0" fieldPosition="0">
        <references count="2">
          <reference field="4294967294" count="1" selected="0">
            <x v="0"/>
          </reference>
          <reference field="2" count="1" selected="0">
            <x v="1"/>
          </reference>
        </references>
      </pivotArea>
    </chartFormat>
    <chartFormat chart="35" format="60" series="1">
      <pivotArea type="data" outline="0" fieldPosition="0">
        <references count="2">
          <reference field="4294967294" count="1" selected="0">
            <x v="0"/>
          </reference>
          <reference field="2" count="1" selected="0">
            <x v="2"/>
          </reference>
        </references>
      </pivotArea>
    </chartFormat>
    <chartFormat chart="35" format="61" series="1">
      <pivotArea type="data" outline="0" fieldPosition="0">
        <references count="2">
          <reference field="4294967294" count="1" selected="0">
            <x v="0"/>
          </reference>
          <reference field="2" count="1" selected="0">
            <x v="3"/>
          </reference>
        </references>
      </pivotArea>
    </chartFormat>
    <chartFormat chart="31" format="49" series="1">
      <pivotArea type="data" outline="0" fieldPosition="0">
        <references count="2">
          <reference field="4294967294" count="1" selected="0">
            <x v="0"/>
          </reference>
          <reference field="2" count="1" selected="0">
            <x v="4"/>
          </reference>
        </references>
      </pivotArea>
    </chartFormat>
    <chartFormat chart="31" format="50" series="1">
      <pivotArea type="data" outline="0" fieldPosition="0">
        <references count="2">
          <reference field="4294967294" count="1" selected="0">
            <x v="0"/>
          </reference>
          <reference field="2" count="1" selected="0">
            <x v="5"/>
          </reference>
        </references>
      </pivotArea>
    </chartFormat>
    <chartFormat chart="31" format="52" series="1">
      <pivotArea type="data" outline="0" fieldPosition="0">
        <references count="2">
          <reference field="4294967294" count="1" selected="0">
            <x v="0"/>
          </reference>
          <reference field="2" count="1" selected="0">
            <x v="6"/>
          </reference>
        </references>
      </pivotArea>
    </chartFormat>
    <chartFormat chart="31" format="53" series="1">
      <pivotArea type="data" outline="0" fieldPosition="0">
        <references count="1">
          <reference field="4294967294" count="1" selected="0">
            <x v="0"/>
          </reference>
        </references>
      </pivotArea>
    </chartFormat>
    <chartFormat chart="31" format="54" series="1">
      <pivotArea type="data" outline="0" fieldPosition="0">
        <references count="2">
          <reference field="4294967294" count="1" selected="0">
            <x v="0"/>
          </reference>
          <reference field="2" count="1" selected="0">
            <x v="7"/>
          </reference>
        </references>
      </pivotArea>
    </chartFormat>
    <chartFormat chart="31" format="55" series="1">
      <pivotArea type="data" outline="0" fieldPosition="0">
        <references count="2">
          <reference field="4294967294" count="1" selected="0">
            <x v="0"/>
          </reference>
          <reference field="2" count="1" selected="0">
            <x v="8"/>
          </reference>
        </references>
      </pivotArea>
    </chartFormat>
    <chartFormat chart="31" format="56" series="1">
      <pivotArea type="data" outline="0" fieldPosition="0">
        <references count="2">
          <reference field="4294967294" count="1" selected="0">
            <x v="0"/>
          </reference>
          <reference field="2" count="1" selected="0">
            <x v="9"/>
          </reference>
        </references>
      </pivotArea>
    </chartFormat>
    <chartFormat chart="31" format="57" series="1">
      <pivotArea type="data" outline="0" fieldPosition="0">
        <references count="2">
          <reference field="4294967294" count="1" selected="0">
            <x v="0"/>
          </reference>
          <reference field="2" count="1" selected="0">
            <x v="10"/>
          </reference>
        </references>
      </pivotArea>
    </chartFormat>
    <chartFormat chart="31" format="58" series="1">
      <pivotArea type="data" outline="0" fieldPosition="0">
        <references count="2">
          <reference field="4294967294" count="1" selected="0">
            <x v="0"/>
          </reference>
          <reference field="2" count="1" selected="0">
            <x v="12"/>
          </reference>
        </references>
      </pivotArea>
    </chartFormat>
    <chartFormat chart="31" format="59" series="1">
      <pivotArea type="data" outline="0" fieldPosition="0">
        <references count="2">
          <reference field="4294967294" count="1" selected="0">
            <x v="0"/>
          </reference>
          <reference field="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867B9C-5889-4CBE-B4F4-5D69545DFEEB}" name="PivotTable32-2" cacheId="132"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15">
  <location ref="AC3:AH25" firstHeaderRow="1" firstDataRow="2" firstDataCol="2"/>
  <pivotFields count="41">
    <pivotField axis="axisRow" outline="0" showAll="0" defaultSubtotal="0">
      <items count="51">
        <item x="14"/>
        <item x="15"/>
        <item x="18"/>
        <item x="19"/>
        <item x="21"/>
        <item x="22"/>
        <item x="23"/>
        <item x="24"/>
        <item x="25"/>
        <item x="20"/>
        <item h="1" m="1" x="29"/>
        <item h="1" m="1" x="46"/>
        <item h="1" m="1" x="26"/>
        <item h="1" m="1" x="39"/>
        <item h="1" m="1" x="32"/>
        <item h="1" m="1" x="48"/>
        <item h="1" m="1" x="27"/>
        <item h="1" m="1" x="37"/>
        <item h="1" m="1" x="44"/>
        <item h="1" m="1" x="41"/>
        <item h="1" m="1" x="34"/>
        <item h="1" m="1" x="30"/>
        <item h="1" m="1" x="50"/>
        <item h="1" m="1" x="47"/>
        <item h="1" m="1" x="43"/>
        <item h="1" m="1" x="40"/>
        <item h="1" m="1" x="49"/>
        <item h="1" m="1" x="36"/>
        <item h="1" m="1" x="33"/>
        <item h="1" m="1" x="28"/>
        <item h="1" m="1" x="42"/>
        <item h="1" m="1" x="45"/>
        <item h="1" m="1" x="38"/>
        <item h="1" m="1" x="35"/>
        <item h="1" m="1" x="31"/>
        <item x="0"/>
        <item x="1"/>
        <item x="2"/>
        <item x="5"/>
        <item x="7"/>
        <item x="8"/>
        <item x="11"/>
        <item x="4"/>
        <item x="3"/>
        <item x="6"/>
        <item x="9"/>
        <item x="10"/>
        <item x="12"/>
        <item x="13"/>
        <item x="16"/>
        <item x="17"/>
      </items>
      <extLst>
        <ext xmlns:x14="http://schemas.microsoft.com/office/spreadsheetml/2009/9/main" uri="{2946ED86-A175-432a-8AC1-64E0C546D7DE}">
          <x14:pivotField fillDownLabels="1"/>
        </ext>
      </extLst>
    </pivotField>
    <pivotField axis="axisRow" outline="0" showAll="0" defaultSubtotal="0">
      <items count="13">
        <item sd="0" x="4"/>
        <item sd="0" x="5"/>
        <item x="6"/>
        <item x="0"/>
        <item h="1" m="1" x="12"/>
        <item h="1" m="1" x="7"/>
        <item h="1" m="1" x="8"/>
        <item h="1" m="1" x="11"/>
        <item h="1" m="1" x="9"/>
        <item h="1" m="1" x="10"/>
        <item x="1"/>
        <item x="2"/>
        <item x="3"/>
      </items>
      <extLst>
        <ext xmlns:x14="http://schemas.microsoft.com/office/spreadsheetml/2009/9/main" uri="{2946ED86-A175-432a-8AC1-64E0C546D7DE}">
          <x14:pivotField fillDownLabels="1"/>
        </ext>
      </extLst>
    </pivotField>
    <pivotField showAll="0"/>
    <pivotField showAll="0"/>
    <pivotField showAll="0"/>
    <pivotField showAll="0"/>
    <pivotField showAll="0"/>
    <pivotField numFmtId="168" showAll="0"/>
    <pivotField numFmtId="168" showAll="0"/>
    <pivotField showAll="0"/>
    <pivotField showAll="0"/>
    <pivotField axis="axisCol" dataField="1">
      <items count="5">
        <item m="1" x="2"/>
        <item x="0"/>
        <item x="1"/>
        <item m="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0"/>
  </rowFields>
  <rowItems count="21">
    <i>
      <x/>
    </i>
    <i>
      <x v="1"/>
    </i>
    <i>
      <x v="2"/>
      <x v="7"/>
    </i>
    <i r="1">
      <x v="8"/>
    </i>
    <i>
      <x v="3"/>
      <x v="35"/>
    </i>
    <i r="1">
      <x v="36"/>
    </i>
    <i r="1">
      <x v="37"/>
    </i>
    <i r="1">
      <x v="43"/>
    </i>
    <i>
      <x v="10"/>
      <x v="38"/>
    </i>
    <i r="1">
      <x v="39"/>
    </i>
    <i r="1">
      <x v="42"/>
    </i>
    <i r="1">
      <x v="44"/>
    </i>
    <i>
      <x v="11"/>
      <x v="40"/>
    </i>
    <i r="1">
      <x v="41"/>
    </i>
    <i r="1">
      <x v="45"/>
    </i>
    <i r="1">
      <x v="46"/>
    </i>
    <i r="1">
      <x v="48"/>
    </i>
    <i>
      <x v="12"/>
      <x v="47"/>
    </i>
    <i r="1">
      <x v="48"/>
    </i>
    <i r="1">
      <x v="49"/>
    </i>
    <i r="1">
      <x v="50"/>
    </i>
  </rowItems>
  <colFields count="1">
    <field x="11"/>
  </colFields>
  <colItems count="4">
    <i>
      <x/>
    </i>
    <i>
      <x v="1"/>
    </i>
    <i>
      <x v="2"/>
    </i>
    <i>
      <x v="3"/>
    </i>
  </colItems>
  <dataFields count="1">
    <dataField name="Count of OverDue Aleart" fld="11" subtotal="count" baseField="0" baseItem="0"/>
  </dataFields>
  <formats count="9">
    <format dxfId="359">
      <pivotArea type="all" dataOnly="0" outline="0" fieldPosition="0"/>
    </format>
    <format dxfId="360">
      <pivotArea outline="0" collapsedLevelsAreSubtotals="1" fieldPosition="0"/>
    </format>
    <format dxfId="361">
      <pivotArea type="origin" dataOnly="0" labelOnly="1" outline="0" fieldPosition="0"/>
    </format>
    <format dxfId="362">
      <pivotArea field="11" type="button" dataOnly="0" labelOnly="1" outline="0" axis="axisCol" fieldPosition="0"/>
    </format>
    <format dxfId="363">
      <pivotArea type="topRight" dataOnly="0" labelOnly="1" outline="0" fieldPosition="0"/>
    </format>
    <format dxfId="364">
      <pivotArea field="1" type="button" dataOnly="0" labelOnly="1" outline="0" axis="axisRow" fieldPosition="0"/>
    </format>
    <format dxfId="365">
      <pivotArea field="0" type="button" dataOnly="0" labelOnly="1" outline="0" axis="axisRow" fieldPosition="1"/>
    </format>
    <format dxfId="366">
      <pivotArea dataOnly="0" labelOnly="1" fieldPosition="0">
        <references count="1">
          <reference field="1" count="0"/>
        </references>
      </pivotArea>
    </format>
    <format dxfId="367">
      <pivotArea dataOnly="0" labelOnly="1" fieldPosition="0">
        <references count="1">
          <reference field="11" count="0"/>
        </references>
      </pivotArea>
    </format>
  </formats>
  <chartFormats count="21">
    <chartFormat chart="1" format="0" series="1">
      <pivotArea type="data" outline="0" fieldPosition="0">
        <references count="2">
          <reference field="4294967294" count="1" selected="0">
            <x v="0"/>
          </reference>
          <reference field="11" count="1" selected="0">
            <x v="1"/>
          </reference>
        </references>
      </pivotArea>
    </chartFormat>
    <chartFormat chart="3" format="7" series="1">
      <pivotArea type="data" outline="0" fieldPosition="0">
        <references count="2">
          <reference field="4294967294" count="1" selected="0">
            <x v="0"/>
          </reference>
          <reference field="11" count="1" selected="0">
            <x v="1"/>
          </reference>
        </references>
      </pivotArea>
    </chartFormat>
    <chartFormat chart="3" format="9"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4" format="11" series="1">
      <pivotArea type="data" outline="0" fieldPosition="0">
        <references count="2">
          <reference field="4294967294" count="1" selected="0">
            <x v="0"/>
          </reference>
          <reference field="11" count="1" selected="0">
            <x v="1"/>
          </reference>
        </references>
      </pivotArea>
    </chartFormat>
    <chartFormat chart="5" format="14" series="1">
      <pivotArea type="data" outline="0" fieldPosition="0">
        <references count="2">
          <reference field="4294967294" count="1" selected="0">
            <x v="0"/>
          </reference>
          <reference field="11" count="1" selected="0">
            <x v="1"/>
          </reference>
        </references>
      </pivotArea>
    </chartFormat>
    <chartFormat chart="3" format="10" series="1">
      <pivotArea type="data" outline="0" fieldPosition="0">
        <references count="2">
          <reference field="4294967294" count="1" selected="0">
            <x v="0"/>
          </reference>
          <reference field="11" count="1" selected="0">
            <x v="2"/>
          </reference>
        </references>
      </pivotArea>
    </chartFormat>
    <chartFormat chart="8" format="13" series="1">
      <pivotArea type="data" outline="0" fieldPosition="0">
        <references count="2">
          <reference field="4294967294" count="1" selected="0">
            <x v="0"/>
          </reference>
          <reference field="11" count="1" selected="0">
            <x v="1"/>
          </reference>
        </references>
      </pivotArea>
    </chartFormat>
    <chartFormat chart="8" format="14" series="1">
      <pivotArea type="data" outline="0" fieldPosition="0">
        <references count="2">
          <reference field="4294967294" count="1" selected="0">
            <x v="0"/>
          </reference>
          <reference field="11" count="1" selected="0">
            <x v="2"/>
          </reference>
        </references>
      </pivotArea>
    </chartFormat>
    <chartFormat chart="9" format="16" series="1">
      <pivotArea type="data" outline="0" fieldPosition="0">
        <references count="2">
          <reference field="4294967294" count="1" selected="0">
            <x v="0"/>
          </reference>
          <reference field="11" count="1" selected="0">
            <x v="1"/>
          </reference>
        </references>
      </pivotArea>
    </chartFormat>
    <chartFormat chart="9" format="17" series="1">
      <pivotArea type="data" outline="0" fieldPosition="0">
        <references count="2">
          <reference field="4294967294" count="1" selected="0">
            <x v="0"/>
          </reference>
          <reference field="11" count="1" selected="0">
            <x v="2"/>
          </reference>
        </references>
      </pivotArea>
    </chartFormat>
    <chartFormat chart="10" format="1" series="1">
      <pivotArea type="data" outline="0" fieldPosition="0">
        <references count="2">
          <reference field="4294967294" count="1" selected="0">
            <x v="0"/>
          </reference>
          <reference field="11" count="1" selected="0">
            <x v="1"/>
          </reference>
        </references>
      </pivotArea>
    </chartFormat>
    <chartFormat chart="10" format="2" series="1">
      <pivotArea type="data" outline="0" fieldPosition="0">
        <references count="2">
          <reference field="4294967294" count="1" selected="0">
            <x v="0"/>
          </reference>
          <reference field="11" count="1" selected="0">
            <x v="2"/>
          </reference>
        </references>
      </pivotArea>
    </chartFormat>
    <chartFormat chart="12" format="13" series="1">
      <pivotArea type="data" outline="0" fieldPosition="0">
        <references count="2">
          <reference field="4294967294" count="1" selected="0">
            <x v="0"/>
          </reference>
          <reference field="11" count="1" selected="0">
            <x v="1"/>
          </reference>
        </references>
      </pivotArea>
    </chartFormat>
    <chartFormat chart="12" format="14" series="1">
      <pivotArea type="data" outline="0" fieldPosition="0">
        <references count="2">
          <reference field="4294967294" count="1" selected="0">
            <x v="0"/>
          </reference>
          <reference field="11" count="1" selected="0">
            <x v="2"/>
          </reference>
        </references>
      </pivotArea>
    </chartFormat>
    <chartFormat chart="13" format="16" series="1">
      <pivotArea type="data" outline="0" fieldPosition="0">
        <references count="2">
          <reference field="4294967294" count="1" selected="0">
            <x v="0"/>
          </reference>
          <reference field="11" count="1" selected="0">
            <x v="1"/>
          </reference>
        </references>
      </pivotArea>
    </chartFormat>
    <chartFormat chart="13" format="17" series="1">
      <pivotArea type="data" outline="0" fieldPosition="0">
        <references count="2">
          <reference field="4294967294" count="1" selected="0">
            <x v="0"/>
          </reference>
          <reference field="11" count="1" selected="0">
            <x v="2"/>
          </reference>
        </references>
      </pivotArea>
    </chartFormat>
    <chartFormat chart="14" format="19" series="1">
      <pivotArea type="data" outline="0" fieldPosition="0">
        <references count="2">
          <reference field="4294967294" count="1" selected="0">
            <x v="0"/>
          </reference>
          <reference field="11" count="1" selected="0">
            <x v="1"/>
          </reference>
        </references>
      </pivotArea>
    </chartFormat>
    <chartFormat chart="14" format="20" series="1">
      <pivotArea type="data" outline="0" fieldPosition="0">
        <references count="2">
          <reference field="4294967294" count="1" selected="0">
            <x v="0"/>
          </reference>
          <reference field="11" count="1" selected="0">
            <x v="2"/>
          </reference>
        </references>
      </pivotArea>
    </chartFormat>
    <chartFormat chart="14" format="24" series="1">
      <pivotArea type="data" outline="0" fieldPosition="0">
        <references count="2">
          <reference field="4294967294" count="1" selected="0">
            <x v="0"/>
          </reference>
          <reference field="11" count="1" selected="0">
            <x v="0"/>
          </reference>
        </references>
      </pivotArea>
    </chartFormat>
    <chartFormat chart="14" format="25"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5BE0CA-D77A-4995-8F77-923F530AC703}" name="PivotTable29-2" cacheId="132"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location ref="C17:D19" firstHeaderRow="1" firstDataRow="1" firstDataCol="1" rowPageCount="1" colPageCount="1"/>
  <pivotFields count="41">
    <pivotField showAll="0">
      <items count="52">
        <item h="1" m="1" x="26"/>
        <item x="0"/>
        <item x="1"/>
        <item x="2"/>
        <item x="3"/>
        <item x="4"/>
        <item x="5"/>
        <item x="7"/>
        <item x="6"/>
        <item x="8"/>
        <item x="9"/>
        <item x="10"/>
        <item x="11"/>
        <item x="13"/>
        <item x="16"/>
        <item x="12"/>
        <item x="17"/>
        <item x="14"/>
        <item x="15"/>
        <item x="18"/>
        <item x="19"/>
        <item x="20"/>
        <item x="21"/>
        <item x="22"/>
        <item x="23"/>
        <item x="24"/>
        <item x="25"/>
        <item h="1" m="1" x="29"/>
        <item h="1" m="1" x="46"/>
        <item h="1" m="1" x="39"/>
        <item h="1" m="1" x="32"/>
        <item h="1" m="1" x="27"/>
        <item h="1" m="1" x="48"/>
        <item h="1" m="1" x="44"/>
        <item h="1" m="1" x="41"/>
        <item h="1" m="1" x="37"/>
        <item h="1" m="1" x="34"/>
        <item h="1" m="1" x="30"/>
        <item h="1" m="1" x="50"/>
        <item h="1" m="1" x="47"/>
        <item h="1" m="1" x="43"/>
        <item h="1" m="1" x="40"/>
        <item h="1" m="1" x="36"/>
        <item h="1" m="1" x="33"/>
        <item h="1" m="1" x="28"/>
        <item h="1" m="1" x="49"/>
        <item h="1" m="1" x="45"/>
        <item h="1" m="1" x="42"/>
        <item h="1" m="1" x="38"/>
        <item h="1" m="1" x="35"/>
        <item h="1" m="1" x="31"/>
        <item t="default"/>
      </items>
    </pivotField>
    <pivotField showAll="0">
      <items count="14">
        <item x="0"/>
        <item x="1"/>
        <item x="2"/>
        <item x="3"/>
        <item x="4"/>
        <item x="5"/>
        <item x="6"/>
        <item h="1" m="1" x="12"/>
        <item h="1" m="1" x="8"/>
        <item h="1" m="1" x="11"/>
        <item h="1" m="1" x="9"/>
        <item h="1" m="1" x="10"/>
        <item h="1" m="1" x="7"/>
        <item t="default"/>
      </items>
    </pivotField>
    <pivotField axis="axisPage" showAll="0">
      <items count="14">
        <item m="1" x="11"/>
        <item x="1"/>
        <item x="0"/>
        <item x="4"/>
        <item m="1" x="12"/>
        <item x="7"/>
        <item x="8"/>
        <item x="6"/>
        <item x="9"/>
        <item x="5"/>
        <item m="1" x="10"/>
        <item x="2"/>
        <item x="3"/>
        <item t="default"/>
      </items>
    </pivotField>
    <pivotField axis="axisRow" dataField="1" showAll="0">
      <items count="45">
        <item x="2"/>
        <item x="6"/>
        <item x="3"/>
        <item m="1" x="36"/>
        <item m="1" x="43"/>
        <item x="20"/>
        <item x="0"/>
        <item x="7"/>
        <item x="5"/>
        <item m="1" x="34"/>
        <item x="31"/>
        <item x="16"/>
        <item x="25"/>
        <item x="29"/>
        <item x="18"/>
        <item x="17"/>
        <item x="8"/>
        <item x="9"/>
        <item m="1" x="39"/>
        <item x="10"/>
        <item x="32"/>
        <item x="12"/>
        <item x="26"/>
        <item x="28"/>
        <item m="1" x="38"/>
        <item m="1" x="35"/>
        <item x="11"/>
        <item x="23"/>
        <item m="1" x="37"/>
        <item x="19"/>
        <item x="33"/>
        <item m="1" x="40"/>
        <item m="1" x="42"/>
        <item x="27"/>
        <item x="15"/>
        <item m="1" x="41"/>
        <item x="24"/>
        <item x="4"/>
        <item x="1"/>
        <item x="14"/>
        <item x="22"/>
        <item x="13"/>
        <item x="21"/>
        <item x="30"/>
        <item t="default"/>
      </items>
    </pivotField>
    <pivotField showAll="0"/>
    <pivotField showAll="0"/>
    <pivotField showAll="0"/>
    <pivotField numFmtId="168" showAll="0"/>
    <pivotField numFmtId="168"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
    <i>
      <x v="15"/>
    </i>
    <i>
      <x v="21"/>
    </i>
  </rowItems>
  <colItems count="1">
    <i/>
  </colItems>
  <pageFields count="1">
    <pageField fld="2" item="7" hier="-1"/>
  </pageFields>
  <dataFields count="1">
    <dataField name="Count of TASK"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DCE53E-E0DB-4DD5-AE46-16568A96A41A}" name="PivotTable6-2" cacheId="132"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3">
  <location ref="AS3:AV26" firstHeaderRow="1" firstDataRow="2" firstDataCol="2" rowPageCount="1" colPageCount="1"/>
  <pivotFields count="41">
    <pivotField axis="axisRow" outline="0" showAll="0" defaultSubtotal="0">
      <items count="51">
        <item x="14"/>
        <item x="15"/>
        <item x="18"/>
        <item x="19"/>
        <item x="21"/>
        <item x="22"/>
        <item x="23"/>
        <item x="24"/>
        <item x="25"/>
        <item x="20"/>
        <item h="1" m="1" x="29"/>
        <item h="1" m="1" x="46"/>
        <item h="1" m="1" x="26"/>
        <item h="1" m="1" x="39"/>
        <item h="1" m="1" x="32"/>
        <item h="1" m="1" x="48"/>
        <item h="1" m="1" x="27"/>
        <item h="1" m="1" x="37"/>
        <item h="1" m="1" x="44"/>
        <item h="1" m="1" x="41"/>
        <item h="1" m="1" x="34"/>
        <item h="1" m="1" x="30"/>
        <item h="1" m="1" x="50"/>
        <item h="1" m="1" x="47"/>
        <item h="1" m="1" x="43"/>
        <item h="1" m="1" x="40"/>
        <item h="1" m="1" x="49"/>
        <item h="1" m="1" x="36"/>
        <item h="1" m="1" x="33"/>
        <item h="1" m="1" x="28"/>
        <item h="1" m="1" x="42"/>
        <item h="1" m="1" x="45"/>
        <item h="1" m="1" x="38"/>
        <item h="1" m="1" x="35"/>
        <item h="1" m="1" x="31"/>
        <item x="0"/>
        <item x="1"/>
        <item x="2"/>
        <item x="5"/>
        <item x="7"/>
        <item x="8"/>
        <item x="11"/>
        <item x="4"/>
        <item x="3"/>
        <item x="6"/>
        <item x="9"/>
        <item x="10"/>
        <item x="12"/>
        <item x="13"/>
        <item x="16"/>
        <item x="17"/>
      </items>
      <extLst>
        <ext xmlns:x14="http://schemas.microsoft.com/office/spreadsheetml/2009/9/main" uri="{2946ED86-A175-432a-8AC1-64E0C546D7DE}">
          <x14:pivotField fillDownLabels="1"/>
        </ext>
      </extLst>
    </pivotField>
    <pivotField axis="axisRow" outline="0" showAll="0" defaultSubtotal="0">
      <items count="13">
        <item sd="0" x="4"/>
        <item sd="0" x="5"/>
        <item x="6"/>
        <item x="0"/>
        <item h="1" m="1" x="12"/>
        <item h="1" m="1" x="7"/>
        <item h="1" m="1" x="8"/>
        <item h="1" m="1" x="11"/>
        <item h="1" m="1" x="9"/>
        <item h="1" m="1" x="10"/>
        <item x="1"/>
        <item x="2"/>
        <item x="3"/>
      </items>
      <extLst>
        <ext xmlns:x14="http://schemas.microsoft.com/office/spreadsheetml/2009/9/main" uri="{2946ED86-A175-432a-8AC1-64E0C546D7DE}">
          <x14:pivotField fillDownLabels="1"/>
        </ext>
      </extLst>
    </pivotField>
    <pivotField showAll="0"/>
    <pivotField showAll="0"/>
    <pivotField showAll="0"/>
    <pivotField showAll="0"/>
    <pivotField showAll="0"/>
    <pivotField numFmtId="168" showAll="0"/>
    <pivotField numFmtId="168" showAll="0"/>
    <pivotField showAll="0"/>
    <pivotField axis="axisPage" outline="0" showAll="0" defaultSubtotal="0">
      <items count="3">
        <item x="0"/>
        <item h="1" x="1"/>
        <item m="1" x="2"/>
      </items>
      <extLst>
        <ext xmlns:x14="http://schemas.microsoft.com/office/spreadsheetml/2009/9/main" uri="{2946ED86-A175-432a-8AC1-64E0C546D7DE}">
          <x14:pivotField fillDownLabels="1"/>
        </ext>
      </extLst>
    </pivotField>
    <pivotField showAll="0"/>
    <pivotField name="Performace" axis="axisCol" dataField="1">
      <items count="5">
        <item h="1" x="2"/>
        <item x="0"/>
        <item h="1" m="1" x="3"/>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0"/>
  </rowFields>
  <rowItems count="22">
    <i>
      <x/>
    </i>
    <i>
      <x v="1"/>
    </i>
    <i>
      <x v="2"/>
      <x v="7"/>
    </i>
    <i r="1">
      <x v="8"/>
    </i>
    <i>
      <x v="3"/>
      <x v="35"/>
    </i>
    <i r="1">
      <x v="36"/>
    </i>
    <i r="1">
      <x v="37"/>
    </i>
    <i r="1">
      <x v="43"/>
    </i>
    <i>
      <x v="10"/>
      <x v="38"/>
    </i>
    <i r="1">
      <x v="39"/>
    </i>
    <i r="1">
      <x v="42"/>
    </i>
    <i r="1">
      <x v="44"/>
    </i>
    <i>
      <x v="11"/>
      <x v="40"/>
    </i>
    <i r="1">
      <x v="41"/>
    </i>
    <i r="1">
      <x v="45"/>
    </i>
    <i r="1">
      <x v="46"/>
    </i>
    <i r="1">
      <x v="48"/>
    </i>
    <i>
      <x v="12"/>
      <x v="47"/>
    </i>
    <i r="1">
      <x v="48"/>
    </i>
    <i r="1">
      <x v="49"/>
    </i>
    <i r="1">
      <x v="50"/>
    </i>
    <i t="grand">
      <x/>
    </i>
  </rowItems>
  <colFields count="1">
    <field x="12"/>
  </colFields>
  <colItems count="2">
    <i>
      <x v="1"/>
    </i>
    <i t="grand">
      <x/>
    </i>
  </colItems>
  <pageFields count="1">
    <pageField fld="10" item="0" hier="-1"/>
  </pageFields>
  <dataFields count="1">
    <dataField name="Count of Performace_x000a_status" fld="12" subtotal="count" baseField="0" baseItem="0"/>
  </dataFields>
  <formats count="10">
    <format dxfId="349">
      <pivotArea type="all" dataOnly="0" outline="0" fieldPosition="0"/>
    </format>
    <format dxfId="350">
      <pivotArea outline="0" collapsedLevelsAreSubtotals="1" fieldPosition="0"/>
    </format>
    <format dxfId="351">
      <pivotArea type="origin" dataOnly="0" labelOnly="1" outline="0" fieldPosition="0"/>
    </format>
    <format dxfId="352">
      <pivotArea field="12" type="button" dataOnly="0" labelOnly="1" outline="0" axis="axisCol" fieldPosition="0"/>
    </format>
    <format dxfId="353">
      <pivotArea type="topRight" dataOnly="0" labelOnly="1" outline="0" fieldPosition="0"/>
    </format>
    <format dxfId="354">
      <pivotArea field="1" type="button" dataOnly="0" labelOnly="1" outline="0" axis="axisRow" fieldPosition="0"/>
    </format>
    <format dxfId="355">
      <pivotArea field="0" type="button" dataOnly="0" labelOnly="1" outline="0" axis="axisRow" fieldPosition="1"/>
    </format>
    <format dxfId="356">
      <pivotArea dataOnly="0" labelOnly="1" grandRow="1" outline="0" fieldPosition="0"/>
    </format>
    <format dxfId="357">
      <pivotArea dataOnly="0" labelOnly="1" fieldPosition="0">
        <references count="1">
          <reference field="12" count="0"/>
        </references>
      </pivotArea>
    </format>
    <format dxfId="358">
      <pivotArea dataOnly="0" labelOnly="1" grandCol="1" outline="0" fieldPosition="0"/>
    </format>
  </formats>
  <chartFormats count="12">
    <chartFormat chart="1" format="3" series="1">
      <pivotArea type="data" outline="0" fieldPosition="0">
        <references count="2">
          <reference field="4294967294" count="1" selected="0">
            <x v="0"/>
          </reference>
          <reference field="12" count="1" selected="0">
            <x v="0"/>
          </reference>
        </references>
      </pivotArea>
    </chartFormat>
    <chartFormat chart="1" format="4" series="1">
      <pivotArea type="data" outline="0" fieldPosition="0">
        <references count="2">
          <reference field="4294967294" count="1" selected="0">
            <x v="0"/>
          </reference>
          <reference field="12" count="1" selected="0">
            <x v="1"/>
          </reference>
        </references>
      </pivotArea>
    </chartFormat>
    <chartFormat chart="3" format="9" series="1">
      <pivotArea type="data" outline="0" fieldPosition="0">
        <references count="2">
          <reference field="4294967294" count="1" selected="0">
            <x v="0"/>
          </reference>
          <reference field="12" count="1" selected="0">
            <x v="1"/>
          </reference>
        </references>
      </pivotArea>
    </chartFormat>
    <chartFormat chart="4" format="11" series="1">
      <pivotArea type="data" outline="0" fieldPosition="0">
        <references count="2">
          <reference field="4294967294" count="1" selected="0">
            <x v="0"/>
          </reference>
          <reference field="12" count="1" selected="0">
            <x v="1"/>
          </reference>
        </references>
      </pivotArea>
    </chartFormat>
    <chartFormat chart="5" format="9" series="1">
      <pivotArea type="data" outline="0" fieldPosition="0">
        <references count="2">
          <reference field="4294967294" count="1" selected="0">
            <x v="0"/>
          </reference>
          <reference field="12" count="1" selected="0">
            <x v="1"/>
          </reference>
        </references>
      </pivotArea>
    </chartFormat>
    <chartFormat chart="6" format="11" series="1">
      <pivotArea type="data" outline="0" fieldPosition="0">
        <references count="2">
          <reference field="4294967294" count="1" selected="0">
            <x v="0"/>
          </reference>
          <reference field="12" count="1" selected="0">
            <x v="1"/>
          </reference>
        </references>
      </pivotArea>
    </chartFormat>
    <chartFormat chart="2" format="13" series="1">
      <pivotArea type="data" outline="0" fieldPosition="0">
        <references count="2">
          <reference field="4294967294" count="1" selected="0">
            <x v="0"/>
          </reference>
          <reference field="12" count="1" selected="0">
            <x v="1"/>
          </reference>
        </references>
      </pivotArea>
    </chartFormat>
    <chartFormat chart="15" format="15" series="1">
      <pivotArea type="data" outline="0" fieldPosition="0">
        <references count="2">
          <reference field="4294967294" count="1" selected="0">
            <x v="0"/>
          </reference>
          <reference field="12" count="1" selected="0">
            <x v="1"/>
          </reference>
        </references>
      </pivotArea>
    </chartFormat>
    <chartFormat chart="17" format="19" series="1">
      <pivotArea type="data" outline="0" fieldPosition="0">
        <references count="2">
          <reference field="4294967294" count="1" selected="0">
            <x v="0"/>
          </reference>
          <reference field="12" count="1" selected="0">
            <x v="1"/>
          </reference>
        </references>
      </pivotArea>
    </chartFormat>
    <chartFormat chart="20" format="23" series="1">
      <pivotArea type="data" outline="0" fieldPosition="0">
        <references count="2">
          <reference field="4294967294" count="1" selected="0">
            <x v="0"/>
          </reference>
          <reference field="12" count="1" selected="0">
            <x v="1"/>
          </reference>
        </references>
      </pivotArea>
    </chartFormat>
    <chartFormat chart="21" format="25" series="1">
      <pivotArea type="data" outline="0" fieldPosition="0">
        <references count="2">
          <reference field="4294967294" count="1" selected="0">
            <x v="0"/>
          </reference>
          <reference field="12" count="1" selected="0">
            <x v="1"/>
          </reference>
        </references>
      </pivotArea>
    </chartFormat>
    <chartFormat chart="22" format="27"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C9D5B4-11E7-4B67-B5AB-A6A42D4F636E}" name="PivotTable28-2" cacheId="132"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location ref="H3:J14" firstHeaderRow="1" firstDataRow="2" firstDataCol="1"/>
  <pivotFields count="41">
    <pivotField showAll="0">
      <items count="52">
        <item h="1" m="1" x="26"/>
        <item x="0"/>
        <item x="1"/>
        <item x="2"/>
        <item x="3"/>
        <item x="4"/>
        <item x="5"/>
        <item x="7"/>
        <item x="6"/>
        <item x="8"/>
        <item x="9"/>
        <item x="10"/>
        <item x="11"/>
        <item x="13"/>
        <item x="16"/>
        <item x="12"/>
        <item x="17"/>
        <item x="14"/>
        <item x="15"/>
        <item x="18"/>
        <item x="19"/>
        <item x="20"/>
        <item x="21"/>
        <item x="22"/>
        <item x="23"/>
        <item x="24"/>
        <item x="25"/>
        <item h="1" m="1" x="29"/>
        <item h="1" m="1" x="46"/>
        <item h="1" m="1" x="39"/>
        <item h="1" m="1" x="32"/>
        <item h="1" m="1" x="27"/>
        <item h="1" m="1" x="48"/>
        <item h="1" m="1" x="44"/>
        <item h="1" m="1" x="41"/>
        <item h="1" m="1" x="37"/>
        <item h="1" m="1" x="34"/>
        <item h="1" m="1" x="30"/>
        <item h="1" m="1" x="50"/>
        <item h="1" m="1" x="47"/>
        <item h="1" m="1" x="43"/>
        <item h="1" m="1" x="40"/>
        <item h="1" m="1" x="36"/>
        <item h="1" m="1" x="33"/>
        <item h="1" m="1" x="28"/>
        <item h="1" m="1" x="49"/>
        <item h="1" m="1" x="45"/>
        <item h="1" m="1" x="42"/>
        <item h="1" m="1" x="38"/>
        <item h="1" m="1" x="35"/>
        <item h="1" m="1" x="31"/>
        <item t="default"/>
      </items>
    </pivotField>
    <pivotField showAll="0">
      <items count="14">
        <item x="0"/>
        <item x="1"/>
        <item x="2"/>
        <item x="3"/>
        <item x="4"/>
        <item x="5"/>
        <item x="6"/>
        <item h="1" m="1" x="12"/>
        <item h="1" m="1" x="8"/>
        <item h="1" m="1" x="11"/>
        <item h="1" m="1" x="9"/>
        <item h="1" m="1" x="10"/>
        <item h="1" m="1" x="7"/>
        <item t="default"/>
      </items>
    </pivotField>
    <pivotField axis="axisRow" showAll="0">
      <items count="14">
        <item m="1" x="11"/>
        <item x="1"/>
        <item x="0"/>
        <item x="4"/>
        <item m="1" x="12"/>
        <item x="7"/>
        <item x="8"/>
        <item x="6"/>
        <item x="9"/>
        <item x="5"/>
        <item m="1" x="10"/>
        <item x="2"/>
        <item x="3"/>
        <item t="default"/>
      </items>
    </pivotField>
    <pivotField showAll="0"/>
    <pivotField showAll="0"/>
    <pivotField showAll="0"/>
    <pivotField showAll="0"/>
    <pivotField numFmtId="168" showAll="0"/>
    <pivotField numFmtId="168" showAll="0"/>
    <pivotField showAll="0"/>
    <pivotField axis="axisCol" dataField="1" showAll="0">
      <items count="4">
        <item x="0"/>
        <item x="1"/>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10">
    <i>
      <x v="1"/>
    </i>
    <i>
      <x v="2"/>
    </i>
    <i>
      <x v="3"/>
    </i>
    <i>
      <x v="5"/>
    </i>
    <i>
      <x v="6"/>
    </i>
    <i>
      <x v="7"/>
    </i>
    <i>
      <x v="8"/>
    </i>
    <i>
      <x v="9"/>
    </i>
    <i>
      <x v="11"/>
    </i>
    <i>
      <x v="12"/>
    </i>
  </rowItems>
  <colFields count="1">
    <field x="10"/>
  </colFields>
  <colItems count="2">
    <i>
      <x/>
    </i>
    <i>
      <x v="1"/>
    </i>
  </colItems>
  <dataFields count="1">
    <dataField name="Count of Status" fld="10" subtotal="count" baseField="0" baseItem="0"/>
  </dataFields>
  <formats count="24">
    <format dxfId="325">
      <pivotArea type="all" dataOnly="0" outline="0" fieldPosition="0"/>
    </format>
    <format dxfId="326">
      <pivotArea outline="0" collapsedLevelsAreSubtotals="1" fieldPosition="0"/>
    </format>
    <format dxfId="327">
      <pivotArea type="origin" dataOnly="0" labelOnly="1" outline="0" fieldPosition="0"/>
    </format>
    <format dxfId="328">
      <pivotArea field="10" type="button" dataOnly="0" labelOnly="1" outline="0" axis="axisCol" fieldPosition="0"/>
    </format>
    <format dxfId="329">
      <pivotArea type="topRight" dataOnly="0" labelOnly="1" outline="0" fieldPosition="0"/>
    </format>
    <format dxfId="330">
      <pivotArea field="2" type="button" dataOnly="0" labelOnly="1" outline="0" axis="axisRow" fieldPosition="0"/>
    </format>
    <format dxfId="331">
      <pivotArea dataOnly="0" labelOnly="1" fieldPosition="0">
        <references count="1">
          <reference field="2" count="0"/>
        </references>
      </pivotArea>
    </format>
    <format dxfId="332">
      <pivotArea dataOnly="0" labelOnly="1" fieldPosition="0">
        <references count="1">
          <reference field="10" count="0"/>
        </references>
      </pivotArea>
    </format>
    <format dxfId="333">
      <pivotArea type="all" dataOnly="0" outline="0" fieldPosition="0"/>
    </format>
    <format dxfId="334">
      <pivotArea outline="0" collapsedLevelsAreSubtotals="1" fieldPosition="0"/>
    </format>
    <format dxfId="335">
      <pivotArea type="origin" dataOnly="0" labelOnly="1" outline="0" fieldPosition="0"/>
    </format>
    <format dxfId="336">
      <pivotArea field="10" type="button" dataOnly="0" labelOnly="1" outline="0" axis="axisCol" fieldPosition="0"/>
    </format>
    <format dxfId="337">
      <pivotArea type="topRight" dataOnly="0" labelOnly="1" outline="0" fieldPosition="0"/>
    </format>
    <format dxfId="338">
      <pivotArea field="2" type="button" dataOnly="0" labelOnly="1" outline="0" axis="axisRow" fieldPosition="0"/>
    </format>
    <format dxfId="339">
      <pivotArea dataOnly="0" labelOnly="1" fieldPosition="0">
        <references count="1">
          <reference field="2" count="0"/>
        </references>
      </pivotArea>
    </format>
    <format dxfId="340">
      <pivotArea dataOnly="0" labelOnly="1" fieldPosition="0">
        <references count="1">
          <reference field="10" count="0"/>
        </references>
      </pivotArea>
    </format>
    <format dxfId="341">
      <pivotArea type="all" dataOnly="0" outline="0" fieldPosition="0"/>
    </format>
    <format dxfId="342">
      <pivotArea outline="0" collapsedLevelsAreSubtotals="1" fieldPosition="0"/>
    </format>
    <format dxfId="343">
      <pivotArea type="origin" dataOnly="0" labelOnly="1" outline="0" fieldPosition="0"/>
    </format>
    <format dxfId="344">
      <pivotArea field="10" type="button" dataOnly="0" labelOnly="1" outline="0" axis="axisCol" fieldPosition="0"/>
    </format>
    <format dxfId="345">
      <pivotArea type="topRight" dataOnly="0" labelOnly="1" outline="0" fieldPosition="0"/>
    </format>
    <format dxfId="346">
      <pivotArea field="2" type="button" dataOnly="0" labelOnly="1" outline="0" axis="axisRow" fieldPosition="0"/>
    </format>
    <format dxfId="347">
      <pivotArea dataOnly="0" labelOnly="1" fieldPosition="0">
        <references count="1">
          <reference field="2" count="5">
            <x v="0"/>
            <x v="1"/>
            <x v="2"/>
            <x v="5"/>
            <x v="6"/>
          </reference>
        </references>
      </pivotArea>
    </format>
    <format dxfId="348">
      <pivotArea dataOnly="0" labelOnly="1" fieldPosition="0">
        <references count="1">
          <reference field="1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3787B6-9197-4B1E-9BDF-2BCE210D4C83}" name="PivotTable6" cacheId="132"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1">
  <location ref="AS3:AV33" firstHeaderRow="1" firstDataRow="2" firstDataCol="2" rowPageCount="1" colPageCount="1"/>
  <pivotFields count="41">
    <pivotField axis="axisRow" outline="0" showAll="0" defaultSubtotal="0">
      <items count="51">
        <item x="14"/>
        <item x="15"/>
        <item x="18"/>
        <item x="19"/>
        <item x="21"/>
        <item x="22"/>
        <item x="23"/>
        <item x="24"/>
        <item x="25"/>
        <item x="20"/>
        <item h="1" m="1" x="29"/>
        <item h="1" m="1" x="46"/>
        <item h="1" m="1" x="26"/>
        <item h="1" m="1" x="39"/>
        <item h="1" m="1" x="32"/>
        <item h="1" m="1" x="48"/>
        <item h="1" m="1" x="27"/>
        <item h="1" m="1" x="37"/>
        <item h="1" m="1" x="44"/>
        <item h="1" m="1" x="41"/>
        <item h="1" m="1" x="34"/>
        <item h="1" m="1" x="30"/>
        <item h="1" m="1" x="50"/>
        <item h="1" m="1" x="47"/>
        <item h="1" m="1" x="43"/>
        <item h="1" m="1" x="40"/>
        <item h="1" m="1" x="49"/>
        <item h="1" m="1" x="36"/>
        <item h="1" m="1" x="33"/>
        <item h="1" m="1" x="28"/>
        <item h="1" m="1" x="42"/>
        <item h="1" m="1" x="45"/>
        <item h="1" m="1" x="38"/>
        <item h="1" m="1" x="35"/>
        <item h="1" m="1" x="31"/>
        <item x="0"/>
        <item x="1"/>
        <item x="2"/>
        <item x="5"/>
        <item x="7"/>
        <item x="8"/>
        <item x="11"/>
        <item x="4"/>
        <item x="3"/>
        <item x="6"/>
        <item x="9"/>
        <item x="10"/>
        <item x="12"/>
        <item x="13"/>
        <item x="16"/>
        <item x="17"/>
      </items>
      <extLst>
        <ext xmlns:x14="http://schemas.microsoft.com/office/spreadsheetml/2009/9/main" uri="{2946ED86-A175-432a-8AC1-64E0C546D7DE}">
          <x14:pivotField fillDownLabels="1"/>
        </ext>
      </extLst>
    </pivotField>
    <pivotField axis="axisRow" outline="0" showAll="0" defaultSubtotal="0">
      <items count="13">
        <item x="4"/>
        <item x="5"/>
        <item x="6"/>
        <item x="0"/>
        <item h="1" m="1" x="12"/>
        <item h="1" m="1" x="7"/>
        <item h="1" m="1" x="8"/>
        <item h="1" m="1" x="11"/>
        <item h="1" m="1" x="9"/>
        <item h="1" m="1" x="10"/>
        <item x="1"/>
        <item x="2"/>
        <item x="3"/>
      </items>
      <extLst>
        <ext xmlns:x14="http://schemas.microsoft.com/office/spreadsheetml/2009/9/main" uri="{2946ED86-A175-432a-8AC1-64E0C546D7DE}">
          <x14:pivotField fillDownLabels="1"/>
        </ext>
      </extLst>
    </pivotField>
    <pivotField showAll="0"/>
    <pivotField showAll="0"/>
    <pivotField showAll="0"/>
    <pivotField showAll="0"/>
    <pivotField showAll="0"/>
    <pivotField numFmtId="168" showAll="0"/>
    <pivotField numFmtId="168" showAll="0"/>
    <pivotField showAll="0"/>
    <pivotField axis="axisPage" outline="0" showAll="0" defaultSubtotal="0">
      <items count="3">
        <item x="0"/>
        <item h="1" x="1"/>
        <item m="1" x="2"/>
      </items>
      <extLst>
        <ext xmlns:x14="http://schemas.microsoft.com/office/spreadsheetml/2009/9/main" uri="{2946ED86-A175-432a-8AC1-64E0C546D7DE}">
          <x14:pivotField fillDownLabels="1"/>
        </ext>
      </extLst>
    </pivotField>
    <pivotField showAll="0"/>
    <pivotField name="Performace" axis="axisCol" dataField="1">
      <items count="5">
        <item h="1" x="2"/>
        <item x="0"/>
        <item h="1" m="1" x="3"/>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0"/>
  </rowFields>
  <rowItems count="29">
    <i>
      <x/>
      <x/>
    </i>
    <i r="1">
      <x v="1"/>
    </i>
    <i r="1">
      <x v="2"/>
    </i>
    <i r="1">
      <x v="3"/>
    </i>
    <i>
      <x v="1"/>
      <x v="4"/>
    </i>
    <i r="1">
      <x v="5"/>
    </i>
    <i r="1">
      <x v="6"/>
    </i>
    <i r="1">
      <x v="7"/>
    </i>
    <i r="1">
      <x v="9"/>
    </i>
    <i>
      <x v="2"/>
      <x v="7"/>
    </i>
    <i r="1">
      <x v="8"/>
    </i>
    <i>
      <x v="3"/>
      <x v="35"/>
    </i>
    <i r="1">
      <x v="36"/>
    </i>
    <i r="1">
      <x v="37"/>
    </i>
    <i r="1">
      <x v="43"/>
    </i>
    <i>
      <x v="10"/>
      <x v="38"/>
    </i>
    <i r="1">
      <x v="39"/>
    </i>
    <i r="1">
      <x v="42"/>
    </i>
    <i r="1">
      <x v="44"/>
    </i>
    <i>
      <x v="11"/>
      <x v="40"/>
    </i>
    <i r="1">
      <x v="41"/>
    </i>
    <i r="1">
      <x v="45"/>
    </i>
    <i r="1">
      <x v="46"/>
    </i>
    <i r="1">
      <x v="48"/>
    </i>
    <i>
      <x v="12"/>
      <x v="47"/>
    </i>
    <i r="1">
      <x v="48"/>
    </i>
    <i r="1">
      <x v="49"/>
    </i>
    <i r="1">
      <x v="50"/>
    </i>
    <i t="grand">
      <x/>
    </i>
  </rowItems>
  <colFields count="1">
    <field x="12"/>
  </colFields>
  <colItems count="2">
    <i>
      <x v="1"/>
    </i>
    <i t="grand">
      <x/>
    </i>
  </colItems>
  <pageFields count="1">
    <pageField fld="10" item="0" hier="-1"/>
  </pageFields>
  <dataFields count="1">
    <dataField name="Count of Performace_x000a_status" fld="12" subtotal="count" baseField="0" baseItem="0"/>
  </dataFields>
  <formats count="10">
    <format dxfId="315">
      <pivotArea type="all" dataOnly="0" outline="0" fieldPosition="0"/>
    </format>
    <format dxfId="316">
      <pivotArea outline="0" collapsedLevelsAreSubtotals="1" fieldPosition="0"/>
    </format>
    <format dxfId="317">
      <pivotArea type="origin" dataOnly="0" labelOnly="1" outline="0" fieldPosition="0"/>
    </format>
    <format dxfId="318">
      <pivotArea field="12" type="button" dataOnly="0" labelOnly="1" outline="0" axis="axisCol" fieldPosition="0"/>
    </format>
    <format dxfId="319">
      <pivotArea type="topRight" dataOnly="0" labelOnly="1" outline="0" fieldPosition="0"/>
    </format>
    <format dxfId="320">
      <pivotArea field="1" type="button" dataOnly="0" labelOnly="1" outline="0" axis="axisRow" fieldPosition="0"/>
    </format>
    <format dxfId="321">
      <pivotArea field="0" type="button" dataOnly="0" labelOnly="1" outline="0" axis="axisRow" fieldPosition="1"/>
    </format>
    <format dxfId="322">
      <pivotArea dataOnly="0" labelOnly="1" grandRow="1" outline="0" fieldPosition="0"/>
    </format>
    <format dxfId="323">
      <pivotArea dataOnly="0" labelOnly="1" fieldPosition="0">
        <references count="1">
          <reference field="12" count="0"/>
        </references>
      </pivotArea>
    </format>
    <format dxfId="324">
      <pivotArea dataOnly="0" labelOnly="1" grandCol="1" outline="0" fieldPosition="0"/>
    </format>
  </formats>
  <chartFormats count="12">
    <chartFormat chart="1" format="3" series="1">
      <pivotArea type="data" outline="0" fieldPosition="0">
        <references count="2">
          <reference field="4294967294" count="1" selected="0">
            <x v="0"/>
          </reference>
          <reference field="12" count="1" selected="0">
            <x v="0"/>
          </reference>
        </references>
      </pivotArea>
    </chartFormat>
    <chartFormat chart="1" format="4" series="1">
      <pivotArea type="data" outline="0" fieldPosition="0">
        <references count="2">
          <reference field="4294967294" count="1" selected="0">
            <x v="0"/>
          </reference>
          <reference field="12" count="1" selected="0">
            <x v="1"/>
          </reference>
        </references>
      </pivotArea>
    </chartFormat>
    <chartFormat chart="3" format="9" series="1">
      <pivotArea type="data" outline="0" fieldPosition="0">
        <references count="2">
          <reference field="4294967294" count="1" selected="0">
            <x v="0"/>
          </reference>
          <reference field="12" count="1" selected="0">
            <x v="1"/>
          </reference>
        </references>
      </pivotArea>
    </chartFormat>
    <chartFormat chart="4" format="11" series="1">
      <pivotArea type="data" outline="0" fieldPosition="0">
        <references count="2">
          <reference field="4294967294" count="1" selected="0">
            <x v="0"/>
          </reference>
          <reference field="12" count="1" selected="0">
            <x v="1"/>
          </reference>
        </references>
      </pivotArea>
    </chartFormat>
    <chartFormat chart="5" format="9" series="1">
      <pivotArea type="data" outline="0" fieldPosition="0">
        <references count="2">
          <reference field="4294967294" count="1" selected="0">
            <x v="0"/>
          </reference>
          <reference field="12" count="1" selected="0">
            <x v="1"/>
          </reference>
        </references>
      </pivotArea>
    </chartFormat>
    <chartFormat chart="6" format="11" series="1">
      <pivotArea type="data" outline="0" fieldPosition="0">
        <references count="2">
          <reference field="4294967294" count="1" selected="0">
            <x v="0"/>
          </reference>
          <reference field="12" count="1" selected="0">
            <x v="1"/>
          </reference>
        </references>
      </pivotArea>
    </chartFormat>
    <chartFormat chart="2" format="13" series="1">
      <pivotArea type="data" outline="0" fieldPosition="0">
        <references count="2">
          <reference field="4294967294" count="1" selected="0">
            <x v="0"/>
          </reference>
          <reference field="12" count="1" selected="0">
            <x v="1"/>
          </reference>
        </references>
      </pivotArea>
    </chartFormat>
    <chartFormat chart="16" format="17" series="1">
      <pivotArea type="data" outline="0" fieldPosition="0">
        <references count="2">
          <reference field="4294967294" count="1" selected="0">
            <x v="0"/>
          </reference>
          <reference field="12" count="1" selected="0">
            <x v="1"/>
          </reference>
        </references>
      </pivotArea>
    </chartFormat>
    <chartFormat chart="17" format="15" series="1">
      <pivotArea type="data" outline="0" fieldPosition="0">
        <references count="2">
          <reference field="4294967294" count="1" selected="0">
            <x v="0"/>
          </reference>
          <reference field="12" count="1" selected="0">
            <x v="1"/>
          </reference>
        </references>
      </pivotArea>
    </chartFormat>
    <chartFormat chart="18" format="17" series="1">
      <pivotArea type="data" outline="0" fieldPosition="0">
        <references count="2">
          <reference field="4294967294" count="1" selected="0">
            <x v="0"/>
          </reference>
          <reference field="12" count="1" selected="0">
            <x v="1"/>
          </reference>
        </references>
      </pivotArea>
    </chartFormat>
    <chartFormat chart="19" format="15" series="1">
      <pivotArea type="data" outline="0" fieldPosition="0">
        <references count="2">
          <reference field="4294967294" count="1" selected="0">
            <x v="0"/>
          </reference>
          <reference field="12" count="1" selected="0">
            <x v="1"/>
          </reference>
        </references>
      </pivotArea>
    </chartFormat>
    <chartFormat chart="20" format="17"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FD18D6D-0615-4199-B15B-BB5C52C2BA35}" name="PivotTable2" cacheId="12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C35:C42" firstHeaderRow="1" firstDataRow="1" firstDataCol="1"/>
  <pivotFields count="1">
    <pivotField axis="axisRow" showAll="0">
      <items count="13">
        <item x="5"/>
        <item x="0"/>
        <item m="1" x="8"/>
        <item m="1" x="9"/>
        <item m="1" x="7"/>
        <item m="1" x="11"/>
        <item m="1" x="10"/>
        <item x="2"/>
        <item x="3"/>
        <item x="4"/>
        <item m="1" x="6"/>
        <item x="1"/>
        <item t="default"/>
      </items>
    </pivotField>
  </pivotFields>
  <rowFields count="1">
    <field x="0"/>
  </rowFields>
  <rowItems count="7">
    <i>
      <x/>
    </i>
    <i>
      <x v="1"/>
    </i>
    <i>
      <x v="7"/>
    </i>
    <i>
      <x v="8"/>
    </i>
    <i>
      <x v="9"/>
    </i>
    <i>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3482C19-FCBD-4156-B60E-BBE1F33439FC}" name="PivotTable30" cacheId="132"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37">
  <location ref="H15:S44" firstHeaderRow="1" firstDataRow="2" firstDataCol="2"/>
  <pivotFields count="41">
    <pivotField axis="axisRow" showAll="0">
      <items count="52">
        <item x="14"/>
        <item x="15"/>
        <item x="18"/>
        <item x="19"/>
        <item x="21"/>
        <item x="22"/>
        <item x="23"/>
        <item x="24"/>
        <item x="25"/>
        <item x="20"/>
        <item h="1" m="1" x="29"/>
        <item h="1" m="1" x="46"/>
        <item h="1" m="1" x="26"/>
        <item h="1" m="1" x="39"/>
        <item h="1" m="1" x="32"/>
        <item h="1" m="1" x="48"/>
        <item h="1" m="1" x="27"/>
        <item h="1" m="1" x="37"/>
        <item h="1" m="1" x="44"/>
        <item h="1" m="1" x="41"/>
        <item h="1" m="1" x="34"/>
        <item h="1" m="1" x="30"/>
        <item h="1" m="1" x="50"/>
        <item h="1" m="1" x="47"/>
        <item h="1" m="1" x="43"/>
        <item h="1" m="1" x="40"/>
        <item h="1" m="1" x="49"/>
        <item h="1" m="1" x="36"/>
        <item h="1" m="1" x="33"/>
        <item h="1" m="1" x="28"/>
        <item h="1" m="1" x="42"/>
        <item h="1" m="1" x="45"/>
        <item h="1" m="1" x="38"/>
        <item h="1" m="1" x="35"/>
        <item h="1" m="1" x="31"/>
        <item x="0"/>
        <item x="1"/>
        <item x="2"/>
        <item x="5"/>
        <item x="7"/>
        <item x="8"/>
        <item x="11"/>
        <item x="4"/>
        <item x="3"/>
        <item x="6"/>
        <item x="9"/>
        <item x="10"/>
        <item x="12"/>
        <item x="13"/>
        <item x="16"/>
        <item x="17"/>
        <item t="default"/>
      </items>
    </pivotField>
    <pivotField axis="axisRow" outline="0" showAll="0" defaultSubtotal="0">
      <items count="13">
        <item x="4"/>
        <item x="5"/>
        <item x="6"/>
        <item x="0"/>
        <item h="1" m="1" x="12"/>
        <item h="1" m="1" x="7"/>
        <item h="1" m="1" x="8"/>
        <item h="1" m="1" x="11"/>
        <item h="1" m="1" x="9"/>
        <item h="1" m="1" x="10"/>
        <item x="1"/>
        <item x="2"/>
        <item x="3"/>
      </items>
      <extLst>
        <ext xmlns:x14="http://schemas.microsoft.com/office/spreadsheetml/2009/9/main" uri="{2946ED86-A175-432a-8AC1-64E0C546D7DE}">
          <x14:pivotField fillDownLabels="1"/>
        </ext>
      </extLst>
    </pivotField>
    <pivotField axis="axisCol" showAll="0">
      <items count="14">
        <item x="0"/>
        <item m="1" x="11"/>
        <item x="1"/>
        <item x="4"/>
        <item m="1" x="12"/>
        <item x="7"/>
        <item x="8"/>
        <item x="6"/>
        <item x="9"/>
        <item x="5"/>
        <item m="1" x="10"/>
        <item x="2"/>
        <item x="3"/>
        <item t="default"/>
      </items>
    </pivotField>
    <pivotField dataField="1" showAll="0"/>
    <pivotField showAll="0"/>
    <pivotField showAll="0"/>
    <pivotField showAll="0"/>
    <pivotField numFmtId="168" showAll="0"/>
    <pivotField numFmtId="168"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0"/>
  </rowFields>
  <rowItems count="28">
    <i>
      <x/>
      <x/>
    </i>
    <i r="1">
      <x v="1"/>
    </i>
    <i r="1">
      <x v="2"/>
    </i>
    <i r="1">
      <x v="3"/>
    </i>
    <i>
      <x v="1"/>
      <x v="4"/>
    </i>
    <i r="1">
      <x v="5"/>
    </i>
    <i r="1">
      <x v="6"/>
    </i>
    <i r="1">
      <x v="7"/>
    </i>
    <i r="1">
      <x v="9"/>
    </i>
    <i>
      <x v="2"/>
      <x v="7"/>
    </i>
    <i r="1">
      <x v="8"/>
    </i>
    <i>
      <x v="3"/>
      <x v="35"/>
    </i>
    <i r="1">
      <x v="36"/>
    </i>
    <i r="1">
      <x v="37"/>
    </i>
    <i r="1">
      <x v="43"/>
    </i>
    <i>
      <x v="10"/>
      <x v="38"/>
    </i>
    <i r="1">
      <x v="39"/>
    </i>
    <i r="1">
      <x v="42"/>
    </i>
    <i r="1">
      <x v="44"/>
    </i>
    <i>
      <x v="11"/>
      <x v="40"/>
    </i>
    <i r="1">
      <x v="41"/>
    </i>
    <i r="1">
      <x v="45"/>
    </i>
    <i r="1">
      <x v="46"/>
    </i>
    <i r="1">
      <x v="48"/>
    </i>
    <i>
      <x v="12"/>
      <x v="47"/>
    </i>
    <i r="1">
      <x v="48"/>
    </i>
    <i r="1">
      <x v="49"/>
    </i>
    <i r="1">
      <x v="50"/>
    </i>
  </rowItems>
  <colFields count="1">
    <field x="2"/>
  </colFields>
  <colItems count="10">
    <i>
      <x/>
    </i>
    <i>
      <x v="2"/>
    </i>
    <i>
      <x v="3"/>
    </i>
    <i>
      <x v="5"/>
    </i>
    <i>
      <x v="6"/>
    </i>
    <i>
      <x v="7"/>
    </i>
    <i>
      <x v="8"/>
    </i>
    <i>
      <x v="9"/>
    </i>
    <i>
      <x v="11"/>
    </i>
    <i>
      <x v="12"/>
    </i>
  </colItems>
  <dataFields count="1">
    <dataField name="Count of TASK" fld="3" subtotal="count" baseField="0" baseItem="0"/>
  </dataFields>
  <formats count="19">
    <format dxfId="296">
      <pivotArea type="all" dataOnly="0" outline="0" fieldPosition="0"/>
    </format>
    <format dxfId="297">
      <pivotArea outline="0" collapsedLevelsAreSubtotals="1" fieldPosition="0"/>
    </format>
    <format dxfId="298">
      <pivotArea type="origin" dataOnly="0" labelOnly="1" outline="0" fieldPosition="0"/>
    </format>
    <format dxfId="299">
      <pivotArea field="2" type="button" dataOnly="0" labelOnly="1" outline="0" axis="axisCol" fieldPosition="0"/>
    </format>
    <format dxfId="300">
      <pivotArea type="topRight" dataOnly="0" labelOnly="1" outline="0" fieldPosition="0"/>
    </format>
    <format dxfId="301">
      <pivotArea field="1" type="button" dataOnly="0" labelOnly="1" outline="0" axis="axisRow" fieldPosition="0"/>
    </format>
    <format dxfId="302">
      <pivotArea field="0" type="button" dataOnly="0" labelOnly="1" outline="0" axis="axisRow" fieldPosition="1"/>
    </format>
    <format dxfId="303">
      <pivotArea dataOnly="0" labelOnly="1" fieldPosition="0">
        <references count="1">
          <reference field="1" count="0"/>
        </references>
      </pivotArea>
    </format>
    <format dxfId="304">
      <pivotArea dataOnly="0" labelOnly="1" fieldPosition="0">
        <references count="1">
          <reference field="2" count="3">
            <x v="0"/>
            <x v="1"/>
            <x v="3"/>
          </reference>
        </references>
      </pivotArea>
    </format>
    <format dxfId="305">
      <pivotArea type="all" dataOnly="0" outline="0" fieldPosition="0"/>
    </format>
    <format dxfId="306">
      <pivotArea outline="0" collapsedLevelsAreSubtotals="1" fieldPosition="0"/>
    </format>
    <format dxfId="307">
      <pivotArea type="origin" dataOnly="0" labelOnly="1" outline="0" fieldPosition="0"/>
    </format>
    <format dxfId="308">
      <pivotArea field="2" type="button" dataOnly="0" labelOnly="1" outline="0" axis="axisCol" fieldPosition="0"/>
    </format>
    <format dxfId="309">
      <pivotArea type="topRight" dataOnly="0" labelOnly="1" outline="0" fieldPosition="0"/>
    </format>
    <format dxfId="310">
      <pivotArea field="1" type="button" dataOnly="0" labelOnly="1" outline="0" axis="axisRow" fieldPosition="0"/>
    </format>
    <format dxfId="311">
      <pivotArea field="0" type="button" dataOnly="0" labelOnly="1" outline="0" axis="axisRow" fieldPosition="1"/>
    </format>
    <format dxfId="312">
      <pivotArea dataOnly="0" labelOnly="1" fieldPosition="0">
        <references count="1">
          <reference field="1" count="0"/>
        </references>
      </pivotArea>
    </format>
    <format dxfId="313">
      <pivotArea dataOnly="0" labelOnly="1" fieldPosition="0">
        <references count="2">
          <reference field="0" count="3">
            <x v="4"/>
            <x v="5"/>
            <x v="6"/>
          </reference>
          <reference field="1" count="0" selected="0"/>
        </references>
      </pivotArea>
    </format>
    <format dxfId="314">
      <pivotArea dataOnly="0" labelOnly="1" fieldPosition="0">
        <references count="1">
          <reference field="2" count="5">
            <x v="0"/>
            <x v="1"/>
            <x v="2"/>
            <x v="5"/>
            <x v="6"/>
          </reference>
        </references>
      </pivotArea>
    </format>
  </formats>
  <chartFormats count="134">
    <chartFormat chart="2" format="14" series="1">
      <pivotArea type="data" outline="0" fieldPosition="0">
        <references count="2">
          <reference field="4294967294" count="1" selected="0">
            <x v="0"/>
          </reference>
          <reference field="2" count="1" selected="0">
            <x v="0"/>
          </reference>
        </references>
      </pivotArea>
    </chartFormat>
    <chartFormat chart="2" format="15" series="1">
      <pivotArea type="data" outline="0" fieldPosition="0">
        <references count="2">
          <reference field="4294967294" count="1" selected="0">
            <x v="0"/>
          </reference>
          <reference field="2" count="1" selected="0">
            <x v="1"/>
          </reference>
        </references>
      </pivotArea>
    </chartFormat>
    <chartFormat chart="2" format="19" series="1">
      <pivotArea type="data" outline="0" fieldPosition="0">
        <references count="2">
          <reference field="4294967294" count="1" selected="0">
            <x v="0"/>
          </reference>
          <reference field="2" count="1" selected="0">
            <x v="2"/>
          </reference>
        </references>
      </pivotArea>
    </chartFormat>
    <chartFormat chart="2" format="20" series="1">
      <pivotArea type="data" outline="0" fieldPosition="0">
        <references count="2">
          <reference field="4294967294" count="1" selected="0">
            <x v="0"/>
          </reference>
          <reference field="2" count="1" selected="0">
            <x v="3"/>
          </reference>
        </references>
      </pivotArea>
    </chartFormat>
    <chartFormat chart="2" format="21" series="1">
      <pivotArea type="data" outline="0" fieldPosition="0">
        <references count="1">
          <reference field="4294967294" count="1" selected="0">
            <x v="0"/>
          </reference>
        </references>
      </pivotArea>
    </chartFormat>
    <chartFormat chart="3" format="22" series="1">
      <pivotArea type="data" outline="0" fieldPosition="0">
        <references count="2">
          <reference field="4294967294" count="1" selected="0">
            <x v="0"/>
          </reference>
          <reference field="2" count="1" selected="0">
            <x v="0"/>
          </reference>
        </references>
      </pivotArea>
    </chartFormat>
    <chartFormat chart="3" format="23" series="1">
      <pivotArea type="data" outline="0" fieldPosition="0">
        <references count="2">
          <reference field="4294967294" count="1" selected="0">
            <x v="0"/>
          </reference>
          <reference field="2" count="1" selected="0">
            <x v="1"/>
          </reference>
        </references>
      </pivotArea>
    </chartFormat>
    <chartFormat chart="3" format="27" series="1">
      <pivotArea type="data" outline="0" fieldPosition="0">
        <references count="2">
          <reference field="4294967294" count="1" selected="0">
            <x v="0"/>
          </reference>
          <reference field="2" count="1" selected="0">
            <x v="2"/>
          </reference>
        </references>
      </pivotArea>
    </chartFormat>
    <chartFormat chart="3" format="28" series="1">
      <pivotArea type="data" outline="0" fieldPosition="0">
        <references count="2">
          <reference field="4294967294" count="1" selected="0">
            <x v="0"/>
          </reference>
          <reference field="2" count="1" selected="0">
            <x v="3"/>
          </reference>
        </references>
      </pivotArea>
    </chartFormat>
    <chartFormat chart="4" format="29" series="1">
      <pivotArea type="data" outline="0" fieldPosition="0">
        <references count="2">
          <reference field="4294967294" count="1" selected="0">
            <x v="0"/>
          </reference>
          <reference field="2" count="1" selected="0">
            <x v="0"/>
          </reference>
        </references>
      </pivotArea>
    </chartFormat>
    <chartFormat chart="4" format="30" series="1">
      <pivotArea type="data" outline="0" fieldPosition="0">
        <references count="2">
          <reference field="4294967294" count="1" selected="0">
            <x v="0"/>
          </reference>
          <reference field="2" count="1" selected="0">
            <x v="1"/>
          </reference>
        </references>
      </pivotArea>
    </chartFormat>
    <chartFormat chart="4" format="34" series="1">
      <pivotArea type="data" outline="0" fieldPosition="0">
        <references count="2">
          <reference field="4294967294" count="1" selected="0">
            <x v="0"/>
          </reference>
          <reference field="2" count="1" selected="0">
            <x v="2"/>
          </reference>
        </references>
      </pivotArea>
    </chartFormat>
    <chartFormat chart="4" format="35" series="1">
      <pivotArea type="data" outline="0" fieldPosition="0">
        <references count="2">
          <reference field="4294967294" count="1" selected="0">
            <x v="0"/>
          </reference>
          <reference field="2" count="1" selected="0">
            <x v="3"/>
          </reference>
        </references>
      </pivotArea>
    </chartFormat>
    <chartFormat chart="5" format="22" series="1">
      <pivotArea type="data" outline="0" fieldPosition="0">
        <references count="2">
          <reference field="4294967294" count="1" selected="0">
            <x v="0"/>
          </reference>
          <reference field="2" count="1" selected="0">
            <x v="0"/>
          </reference>
        </references>
      </pivotArea>
    </chartFormat>
    <chartFormat chart="5" format="23" series="1">
      <pivotArea type="data" outline="0" fieldPosition="0">
        <references count="2">
          <reference field="4294967294" count="1" selected="0">
            <x v="0"/>
          </reference>
          <reference field="2" count="1" selected="0">
            <x v="1"/>
          </reference>
        </references>
      </pivotArea>
    </chartFormat>
    <chartFormat chart="5" format="27" series="1">
      <pivotArea type="data" outline="0" fieldPosition="0">
        <references count="2">
          <reference field="4294967294" count="1" selected="0">
            <x v="0"/>
          </reference>
          <reference field="2" count="1" selected="0">
            <x v="2"/>
          </reference>
        </references>
      </pivotArea>
    </chartFormat>
    <chartFormat chart="5" format="28" series="1">
      <pivotArea type="data" outline="0" fieldPosition="0">
        <references count="2">
          <reference field="4294967294" count="1" selected="0">
            <x v="0"/>
          </reference>
          <reference field="2" count="1" selected="0">
            <x v="3"/>
          </reference>
        </references>
      </pivotArea>
    </chartFormat>
    <chartFormat chart="6" format="29" series="1">
      <pivotArea type="data" outline="0" fieldPosition="0">
        <references count="2">
          <reference field="4294967294" count="1" selected="0">
            <x v="0"/>
          </reference>
          <reference field="2" count="1" selected="0">
            <x v="0"/>
          </reference>
        </references>
      </pivotArea>
    </chartFormat>
    <chartFormat chart="6" format="30" series="1">
      <pivotArea type="data" outline="0" fieldPosition="0">
        <references count="2">
          <reference field="4294967294" count="1" selected="0">
            <x v="0"/>
          </reference>
          <reference field="2" count="1" selected="0">
            <x v="1"/>
          </reference>
        </references>
      </pivotArea>
    </chartFormat>
    <chartFormat chart="6" format="34" series="1">
      <pivotArea type="data" outline="0" fieldPosition="0">
        <references count="2">
          <reference field="4294967294" count="1" selected="0">
            <x v="0"/>
          </reference>
          <reference field="2" count="1" selected="0">
            <x v="2"/>
          </reference>
        </references>
      </pivotArea>
    </chartFormat>
    <chartFormat chart="6" format="35" series="1">
      <pivotArea type="data" outline="0" fieldPosition="0">
        <references count="2">
          <reference field="4294967294" count="1" selected="0">
            <x v="0"/>
          </reference>
          <reference field="2" count="1" selected="0">
            <x v="3"/>
          </reference>
        </references>
      </pivotArea>
    </chartFormat>
    <chartFormat chart="7" format="22" series="1">
      <pivotArea type="data" outline="0" fieldPosition="0">
        <references count="2">
          <reference field="4294967294" count="1" selected="0">
            <x v="0"/>
          </reference>
          <reference field="2" count="1" selected="0">
            <x v="0"/>
          </reference>
        </references>
      </pivotArea>
    </chartFormat>
    <chartFormat chart="7" format="23" series="1">
      <pivotArea type="data" outline="0" fieldPosition="0">
        <references count="2">
          <reference field="4294967294" count="1" selected="0">
            <x v="0"/>
          </reference>
          <reference field="2" count="1" selected="0">
            <x v="1"/>
          </reference>
        </references>
      </pivotArea>
    </chartFormat>
    <chartFormat chart="7" format="27" series="1">
      <pivotArea type="data" outline="0" fieldPosition="0">
        <references count="2">
          <reference field="4294967294" count="1" selected="0">
            <x v="0"/>
          </reference>
          <reference field="2" count="1" selected="0">
            <x v="2"/>
          </reference>
        </references>
      </pivotArea>
    </chartFormat>
    <chartFormat chart="7" format="28" series="1">
      <pivotArea type="data" outline="0" fieldPosition="0">
        <references count="2">
          <reference field="4294967294" count="1" selected="0">
            <x v="0"/>
          </reference>
          <reference field="2" count="1" selected="0">
            <x v="3"/>
          </reference>
        </references>
      </pivotArea>
    </chartFormat>
    <chartFormat chart="8" format="29" series="1">
      <pivotArea type="data" outline="0" fieldPosition="0">
        <references count="2">
          <reference field="4294967294" count="1" selected="0">
            <x v="0"/>
          </reference>
          <reference field="2" count="1" selected="0">
            <x v="0"/>
          </reference>
        </references>
      </pivotArea>
    </chartFormat>
    <chartFormat chart="8" format="30" series="1">
      <pivotArea type="data" outline="0" fieldPosition="0">
        <references count="2">
          <reference field="4294967294" count="1" selected="0">
            <x v="0"/>
          </reference>
          <reference field="2" count="1" selected="0">
            <x v="1"/>
          </reference>
        </references>
      </pivotArea>
    </chartFormat>
    <chartFormat chart="8" format="34" series="1">
      <pivotArea type="data" outline="0" fieldPosition="0">
        <references count="2">
          <reference field="4294967294" count="1" selected="0">
            <x v="0"/>
          </reference>
          <reference field="2" count="1" selected="0">
            <x v="2"/>
          </reference>
        </references>
      </pivotArea>
    </chartFormat>
    <chartFormat chart="8" format="35" series="1">
      <pivotArea type="data" outline="0" fieldPosition="0">
        <references count="2">
          <reference field="4294967294" count="1" selected="0">
            <x v="0"/>
          </reference>
          <reference field="2" count="1" selected="0">
            <x v="3"/>
          </reference>
        </references>
      </pivotArea>
    </chartFormat>
    <chartFormat chart="11" format="22" series="1">
      <pivotArea type="data" outline="0" fieldPosition="0">
        <references count="2">
          <reference field="4294967294" count="1" selected="0">
            <x v="0"/>
          </reference>
          <reference field="2" count="1" selected="0">
            <x v="0"/>
          </reference>
        </references>
      </pivotArea>
    </chartFormat>
    <chartFormat chart="11" format="23" series="1">
      <pivotArea type="data" outline="0" fieldPosition="0">
        <references count="2">
          <reference field="4294967294" count="1" selected="0">
            <x v="0"/>
          </reference>
          <reference field="2" count="1" selected="0">
            <x v="1"/>
          </reference>
        </references>
      </pivotArea>
    </chartFormat>
    <chartFormat chart="11" format="27" series="1">
      <pivotArea type="data" outline="0" fieldPosition="0">
        <references count="2">
          <reference field="4294967294" count="1" selected="0">
            <x v="0"/>
          </reference>
          <reference field="2" count="1" selected="0">
            <x v="2"/>
          </reference>
        </references>
      </pivotArea>
    </chartFormat>
    <chartFormat chart="11" format="28" series="1">
      <pivotArea type="data" outline="0" fieldPosition="0">
        <references count="2">
          <reference field="4294967294" count="1" selected="0">
            <x v="0"/>
          </reference>
          <reference field="2" count="1" selected="0">
            <x v="3"/>
          </reference>
        </references>
      </pivotArea>
    </chartFormat>
    <chartFormat chart="12" format="29" series="1">
      <pivotArea type="data" outline="0" fieldPosition="0">
        <references count="2">
          <reference field="4294967294" count="1" selected="0">
            <x v="0"/>
          </reference>
          <reference field="2" count="1" selected="0">
            <x v="0"/>
          </reference>
        </references>
      </pivotArea>
    </chartFormat>
    <chartFormat chart="12" format="30" series="1">
      <pivotArea type="data" outline="0" fieldPosition="0">
        <references count="2">
          <reference field="4294967294" count="1" selected="0">
            <x v="0"/>
          </reference>
          <reference field="2" count="1" selected="0">
            <x v="1"/>
          </reference>
        </references>
      </pivotArea>
    </chartFormat>
    <chartFormat chart="12" format="34" series="1">
      <pivotArea type="data" outline="0" fieldPosition="0">
        <references count="2">
          <reference field="4294967294" count="1" selected="0">
            <x v="0"/>
          </reference>
          <reference field="2" count="1" selected="0">
            <x v="2"/>
          </reference>
        </references>
      </pivotArea>
    </chartFormat>
    <chartFormat chart="12" format="35" series="1">
      <pivotArea type="data" outline="0" fieldPosition="0">
        <references count="2">
          <reference field="4294967294" count="1" selected="0">
            <x v="0"/>
          </reference>
          <reference field="2" count="1" selected="0">
            <x v="3"/>
          </reference>
        </references>
      </pivotArea>
    </chartFormat>
    <chartFormat chart="13" format="22" series="1">
      <pivotArea type="data" outline="0" fieldPosition="0">
        <references count="2">
          <reference field="4294967294" count="1" selected="0">
            <x v="0"/>
          </reference>
          <reference field="2" count="1" selected="0">
            <x v="0"/>
          </reference>
        </references>
      </pivotArea>
    </chartFormat>
    <chartFormat chart="13" format="23" series="1">
      <pivotArea type="data" outline="0" fieldPosition="0">
        <references count="2">
          <reference field="4294967294" count="1" selected="0">
            <x v="0"/>
          </reference>
          <reference field="2" count="1" selected="0">
            <x v="1"/>
          </reference>
        </references>
      </pivotArea>
    </chartFormat>
    <chartFormat chart="13" format="27" series="1">
      <pivotArea type="data" outline="0" fieldPosition="0">
        <references count="2">
          <reference field="4294967294" count="1" selected="0">
            <x v="0"/>
          </reference>
          <reference field="2" count="1" selected="0">
            <x v="2"/>
          </reference>
        </references>
      </pivotArea>
    </chartFormat>
    <chartFormat chart="13" format="28" series="1">
      <pivotArea type="data" outline="0" fieldPosition="0">
        <references count="2">
          <reference field="4294967294" count="1" selected="0">
            <x v="0"/>
          </reference>
          <reference field="2" count="1" selected="0">
            <x v="3"/>
          </reference>
        </references>
      </pivotArea>
    </chartFormat>
    <chartFormat chart="14" format="29" series="1">
      <pivotArea type="data" outline="0" fieldPosition="0">
        <references count="2">
          <reference field="4294967294" count="1" selected="0">
            <x v="0"/>
          </reference>
          <reference field="2" count="1" selected="0">
            <x v="0"/>
          </reference>
        </references>
      </pivotArea>
    </chartFormat>
    <chartFormat chart="14" format="30" series="1">
      <pivotArea type="data" outline="0" fieldPosition="0">
        <references count="2">
          <reference field="4294967294" count="1" selected="0">
            <x v="0"/>
          </reference>
          <reference field="2" count="1" selected="0">
            <x v="1"/>
          </reference>
        </references>
      </pivotArea>
    </chartFormat>
    <chartFormat chart="14" format="34" series="1">
      <pivotArea type="data" outline="0" fieldPosition="0">
        <references count="2">
          <reference field="4294967294" count="1" selected="0">
            <x v="0"/>
          </reference>
          <reference field="2" count="1" selected="0">
            <x v="2"/>
          </reference>
        </references>
      </pivotArea>
    </chartFormat>
    <chartFormat chart="14" format="35" series="1">
      <pivotArea type="data" outline="0" fieldPosition="0">
        <references count="2">
          <reference field="4294967294" count="1" selected="0">
            <x v="0"/>
          </reference>
          <reference field="2" count="1" selected="0">
            <x v="3"/>
          </reference>
        </references>
      </pivotArea>
    </chartFormat>
    <chartFormat chart="15" format="23" series="1">
      <pivotArea type="data" outline="0" fieldPosition="0">
        <references count="2">
          <reference field="4294967294" count="1" selected="0">
            <x v="0"/>
          </reference>
          <reference field="2" count="1" selected="0">
            <x v="0"/>
          </reference>
        </references>
      </pivotArea>
    </chartFormat>
    <chartFormat chart="15" format="24" series="1">
      <pivotArea type="data" outline="0" fieldPosition="0">
        <references count="2">
          <reference field="4294967294" count="1" selected="0">
            <x v="0"/>
          </reference>
          <reference field="2" count="1" selected="0">
            <x v="1"/>
          </reference>
        </references>
      </pivotArea>
    </chartFormat>
    <chartFormat chart="15" format="28" series="1">
      <pivotArea type="data" outline="0" fieldPosition="0">
        <references count="2">
          <reference field="4294967294" count="1" selected="0">
            <x v="0"/>
          </reference>
          <reference field="2" count="1" selected="0">
            <x v="2"/>
          </reference>
        </references>
      </pivotArea>
    </chartFormat>
    <chartFormat chart="15" format="29" series="1">
      <pivotArea type="data" outline="0" fieldPosition="0">
        <references count="2">
          <reference field="4294967294" count="1" selected="0">
            <x v="0"/>
          </reference>
          <reference field="2" count="1" selected="0">
            <x v="3"/>
          </reference>
        </references>
      </pivotArea>
    </chartFormat>
    <chartFormat chart="16" format="31" series="1">
      <pivotArea type="data" outline="0" fieldPosition="0">
        <references count="2">
          <reference field="4294967294" count="1" selected="0">
            <x v="0"/>
          </reference>
          <reference field="2" count="1" selected="0">
            <x v="0"/>
          </reference>
        </references>
      </pivotArea>
    </chartFormat>
    <chartFormat chart="16" format="32" series="1">
      <pivotArea type="data" outline="0" fieldPosition="0">
        <references count="2">
          <reference field="4294967294" count="1" selected="0">
            <x v="0"/>
          </reference>
          <reference field="2" count="1" selected="0">
            <x v="1"/>
          </reference>
        </references>
      </pivotArea>
    </chartFormat>
    <chartFormat chart="16" format="36" series="1">
      <pivotArea type="data" outline="0" fieldPosition="0">
        <references count="2">
          <reference field="4294967294" count="1" selected="0">
            <x v="0"/>
          </reference>
          <reference field="2" count="1" selected="0">
            <x v="2"/>
          </reference>
        </references>
      </pivotArea>
    </chartFormat>
    <chartFormat chart="16" format="37" series="1">
      <pivotArea type="data" outline="0" fieldPosition="0">
        <references count="2">
          <reference field="4294967294" count="1" selected="0">
            <x v="0"/>
          </reference>
          <reference field="2" count="1" selected="0">
            <x v="3"/>
          </reference>
        </references>
      </pivotArea>
    </chartFormat>
    <chartFormat chart="17" format="23" series="1">
      <pivotArea type="data" outline="0" fieldPosition="0">
        <references count="2">
          <reference field="4294967294" count="1" selected="0">
            <x v="0"/>
          </reference>
          <reference field="2" count="1" selected="0">
            <x v="0"/>
          </reference>
        </references>
      </pivotArea>
    </chartFormat>
    <chartFormat chart="17" format="24" series="1">
      <pivotArea type="data" outline="0" fieldPosition="0">
        <references count="2">
          <reference field="4294967294" count="1" selected="0">
            <x v="0"/>
          </reference>
          <reference field="2" count="1" selected="0">
            <x v="1"/>
          </reference>
        </references>
      </pivotArea>
    </chartFormat>
    <chartFormat chart="17" format="28" series="1">
      <pivotArea type="data" outline="0" fieldPosition="0">
        <references count="2">
          <reference field="4294967294" count="1" selected="0">
            <x v="0"/>
          </reference>
          <reference field="2" count="1" selected="0">
            <x v="2"/>
          </reference>
        </references>
      </pivotArea>
    </chartFormat>
    <chartFormat chart="17" format="29" series="1">
      <pivotArea type="data" outline="0" fieldPosition="0">
        <references count="2">
          <reference field="4294967294" count="1" selected="0">
            <x v="0"/>
          </reference>
          <reference field="2" count="1" selected="0">
            <x v="3"/>
          </reference>
        </references>
      </pivotArea>
    </chartFormat>
    <chartFormat chart="18" format="31" series="1">
      <pivotArea type="data" outline="0" fieldPosition="0">
        <references count="2">
          <reference field="4294967294" count="1" selected="0">
            <x v="0"/>
          </reference>
          <reference field="2" count="1" selected="0">
            <x v="0"/>
          </reference>
        </references>
      </pivotArea>
    </chartFormat>
    <chartFormat chart="18" format="32" series="1">
      <pivotArea type="data" outline="0" fieldPosition="0">
        <references count="2">
          <reference field="4294967294" count="1" selected="0">
            <x v="0"/>
          </reference>
          <reference field="2" count="1" selected="0">
            <x v="1"/>
          </reference>
        </references>
      </pivotArea>
    </chartFormat>
    <chartFormat chart="18" format="36" series="1">
      <pivotArea type="data" outline="0" fieldPosition="0">
        <references count="2">
          <reference field="4294967294" count="1" selected="0">
            <x v="0"/>
          </reference>
          <reference field="2" count="1" selected="0">
            <x v="2"/>
          </reference>
        </references>
      </pivotArea>
    </chartFormat>
    <chartFormat chart="18" format="37" series="1">
      <pivotArea type="data" outline="0" fieldPosition="0">
        <references count="2">
          <reference field="4294967294" count="1" selected="0">
            <x v="0"/>
          </reference>
          <reference field="2" count="1" selected="0">
            <x v="3"/>
          </reference>
        </references>
      </pivotArea>
    </chartFormat>
    <chartFormat chart="19" format="23" series="1">
      <pivotArea type="data" outline="0" fieldPosition="0">
        <references count="2">
          <reference field="4294967294" count="1" selected="0">
            <x v="0"/>
          </reference>
          <reference field="2" count="1" selected="0">
            <x v="0"/>
          </reference>
        </references>
      </pivotArea>
    </chartFormat>
    <chartFormat chart="19" format="24" series="1">
      <pivotArea type="data" outline="0" fieldPosition="0">
        <references count="2">
          <reference field="4294967294" count="1" selected="0">
            <x v="0"/>
          </reference>
          <reference field="2" count="1" selected="0">
            <x v="1"/>
          </reference>
        </references>
      </pivotArea>
    </chartFormat>
    <chartFormat chart="19" format="28" series="1">
      <pivotArea type="data" outline="0" fieldPosition="0">
        <references count="2">
          <reference field="4294967294" count="1" selected="0">
            <x v="0"/>
          </reference>
          <reference field="2" count="1" selected="0">
            <x v="2"/>
          </reference>
        </references>
      </pivotArea>
    </chartFormat>
    <chartFormat chart="19" format="29" series="1">
      <pivotArea type="data" outline="0" fieldPosition="0">
        <references count="2">
          <reference field="4294967294" count="1" selected="0">
            <x v="0"/>
          </reference>
          <reference field="2" count="1" selected="0">
            <x v="3"/>
          </reference>
        </references>
      </pivotArea>
    </chartFormat>
    <chartFormat chart="20" format="31" series="1">
      <pivotArea type="data" outline="0" fieldPosition="0">
        <references count="2">
          <reference field="4294967294" count="1" selected="0">
            <x v="0"/>
          </reference>
          <reference field="2" count="1" selected="0">
            <x v="0"/>
          </reference>
        </references>
      </pivotArea>
    </chartFormat>
    <chartFormat chart="20" format="32" series="1">
      <pivotArea type="data" outline="0" fieldPosition="0">
        <references count="2">
          <reference field="4294967294" count="1" selected="0">
            <x v="0"/>
          </reference>
          <reference field="2" count="1" selected="0">
            <x v="1"/>
          </reference>
        </references>
      </pivotArea>
    </chartFormat>
    <chartFormat chart="20" format="36" series="1">
      <pivotArea type="data" outline="0" fieldPosition="0">
        <references count="2">
          <reference field="4294967294" count="1" selected="0">
            <x v="0"/>
          </reference>
          <reference field="2" count="1" selected="0">
            <x v="2"/>
          </reference>
        </references>
      </pivotArea>
    </chartFormat>
    <chartFormat chart="20" format="37" series="1">
      <pivotArea type="data" outline="0" fieldPosition="0">
        <references count="2">
          <reference field="4294967294" count="1" selected="0">
            <x v="0"/>
          </reference>
          <reference field="2" count="1" selected="0">
            <x v="3"/>
          </reference>
        </references>
      </pivotArea>
    </chartFormat>
    <chartFormat chart="21" format="23" series="1">
      <pivotArea type="data" outline="0" fieldPosition="0">
        <references count="2">
          <reference field="4294967294" count="1" selected="0">
            <x v="0"/>
          </reference>
          <reference field="2" count="1" selected="0">
            <x v="0"/>
          </reference>
        </references>
      </pivotArea>
    </chartFormat>
    <chartFormat chart="21" format="24" series="1">
      <pivotArea type="data" outline="0" fieldPosition="0">
        <references count="2">
          <reference field="4294967294" count="1" selected="0">
            <x v="0"/>
          </reference>
          <reference field="2" count="1" selected="0">
            <x v="1"/>
          </reference>
        </references>
      </pivotArea>
    </chartFormat>
    <chartFormat chart="21" format="28" series="1">
      <pivotArea type="data" outline="0" fieldPosition="0">
        <references count="2">
          <reference field="4294967294" count="1" selected="0">
            <x v="0"/>
          </reference>
          <reference field="2" count="1" selected="0">
            <x v="2"/>
          </reference>
        </references>
      </pivotArea>
    </chartFormat>
    <chartFormat chart="21" format="29" series="1">
      <pivotArea type="data" outline="0" fieldPosition="0">
        <references count="2">
          <reference field="4294967294" count="1" selected="0">
            <x v="0"/>
          </reference>
          <reference field="2" count="1" selected="0">
            <x v="3"/>
          </reference>
        </references>
      </pivotArea>
    </chartFormat>
    <chartFormat chart="22" format="31" series="1">
      <pivotArea type="data" outline="0" fieldPosition="0">
        <references count="2">
          <reference field="4294967294" count="1" selected="0">
            <x v="0"/>
          </reference>
          <reference field="2" count="1" selected="0">
            <x v="0"/>
          </reference>
        </references>
      </pivotArea>
    </chartFormat>
    <chartFormat chart="22" format="32" series="1">
      <pivotArea type="data" outline="0" fieldPosition="0">
        <references count="2">
          <reference field="4294967294" count="1" selected="0">
            <x v="0"/>
          </reference>
          <reference field="2" count="1" selected="0">
            <x v="1"/>
          </reference>
        </references>
      </pivotArea>
    </chartFormat>
    <chartFormat chart="22" format="36" series="1">
      <pivotArea type="data" outline="0" fieldPosition="0">
        <references count="2">
          <reference field="4294967294" count="1" selected="0">
            <x v="0"/>
          </reference>
          <reference field="2" count="1" selected="0">
            <x v="2"/>
          </reference>
        </references>
      </pivotArea>
    </chartFormat>
    <chartFormat chart="22" format="37" series="1">
      <pivotArea type="data" outline="0" fieldPosition="0">
        <references count="2">
          <reference field="4294967294" count="1" selected="0">
            <x v="0"/>
          </reference>
          <reference field="2" count="1" selected="0">
            <x v="3"/>
          </reference>
        </references>
      </pivotArea>
    </chartFormat>
    <chartFormat chart="23" format="23" series="1">
      <pivotArea type="data" outline="0" fieldPosition="0">
        <references count="2">
          <reference field="4294967294" count="1" selected="0">
            <x v="0"/>
          </reference>
          <reference field="2" count="1" selected="0">
            <x v="0"/>
          </reference>
        </references>
      </pivotArea>
    </chartFormat>
    <chartFormat chart="23" format="24" series="1">
      <pivotArea type="data" outline="0" fieldPosition="0">
        <references count="2">
          <reference field="4294967294" count="1" selected="0">
            <x v="0"/>
          </reference>
          <reference field="2" count="1" selected="0">
            <x v="1"/>
          </reference>
        </references>
      </pivotArea>
    </chartFormat>
    <chartFormat chart="23" format="28" series="1">
      <pivotArea type="data" outline="0" fieldPosition="0">
        <references count="2">
          <reference field="4294967294" count="1" selected="0">
            <x v="0"/>
          </reference>
          <reference field="2" count="1" selected="0">
            <x v="2"/>
          </reference>
        </references>
      </pivotArea>
    </chartFormat>
    <chartFormat chart="23" format="29" series="1">
      <pivotArea type="data" outline="0" fieldPosition="0">
        <references count="2">
          <reference field="4294967294" count="1" selected="0">
            <x v="0"/>
          </reference>
          <reference field="2" count="1" selected="0">
            <x v="3"/>
          </reference>
        </references>
      </pivotArea>
    </chartFormat>
    <chartFormat chart="24" format="31" series="1">
      <pivotArea type="data" outline="0" fieldPosition="0">
        <references count="2">
          <reference field="4294967294" count="1" selected="0">
            <x v="0"/>
          </reference>
          <reference field="2" count="1" selected="0">
            <x v="0"/>
          </reference>
        </references>
      </pivotArea>
    </chartFormat>
    <chartFormat chart="24" format="32" series="1">
      <pivotArea type="data" outline="0" fieldPosition="0">
        <references count="2">
          <reference field="4294967294" count="1" selected="0">
            <x v="0"/>
          </reference>
          <reference field="2" count="1" selected="0">
            <x v="1"/>
          </reference>
        </references>
      </pivotArea>
    </chartFormat>
    <chartFormat chart="24" format="36" series="1">
      <pivotArea type="data" outline="0" fieldPosition="0">
        <references count="2">
          <reference field="4294967294" count="1" selected="0">
            <x v="0"/>
          </reference>
          <reference field="2" count="1" selected="0">
            <x v="2"/>
          </reference>
        </references>
      </pivotArea>
    </chartFormat>
    <chartFormat chart="24" format="37" series="1">
      <pivotArea type="data" outline="0" fieldPosition="0">
        <references count="2">
          <reference field="4294967294" count="1" selected="0">
            <x v="0"/>
          </reference>
          <reference field="2" count="1" selected="0">
            <x v="3"/>
          </reference>
        </references>
      </pivotArea>
    </chartFormat>
    <chartFormat chart="25" format="23" series="1">
      <pivotArea type="data" outline="0" fieldPosition="0">
        <references count="2">
          <reference field="4294967294" count="1" selected="0">
            <x v="0"/>
          </reference>
          <reference field="2" count="1" selected="0">
            <x v="0"/>
          </reference>
        </references>
      </pivotArea>
    </chartFormat>
    <chartFormat chart="25" format="24" series="1">
      <pivotArea type="data" outline="0" fieldPosition="0">
        <references count="2">
          <reference field="4294967294" count="1" selected="0">
            <x v="0"/>
          </reference>
          <reference field="2" count="1" selected="0">
            <x v="1"/>
          </reference>
        </references>
      </pivotArea>
    </chartFormat>
    <chartFormat chart="25" format="28" series="1">
      <pivotArea type="data" outline="0" fieldPosition="0">
        <references count="2">
          <reference field="4294967294" count="1" selected="0">
            <x v="0"/>
          </reference>
          <reference field="2" count="1" selected="0">
            <x v="2"/>
          </reference>
        </references>
      </pivotArea>
    </chartFormat>
    <chartFormat chart="25" format="29" series="1">
      <pivotArea type="data" outline="0" fieldPosition="0">
        <references count="2">
          <reference field="4294967294" count="1" selected="0">
            <x v="0"/>
          </reference>
          <reference field="2" count="1" selected="0">
            <x v="3"/>
          </reference>
        </references>
      </pivotArea>
    </chartFormat>
    <chartFormat chart="26" format="31" series="1">
      <pivotArea type="data" outline="0" fieldPosition="0">
        <references count="2">
          <reference field="4294967294" count="1" selected="0">
            <x v="0"/>
          </reference>
          <reference field="2" count="1" selected="0">
            <x v="0"/>
          </reference>
        </references>
      </pivotArea>
    </chartFormat>
    <chartFormat chart="26" format="32" series="1">
      <pivotArea type="data" outline="0" fieldPosition="0">
        <references count="2">
          <reference field="4294967294" count="1" selected="0">
            <x v="0"/>
          </reference>
          <reference field="2" count="1" selected="0">
            <x v="1"/>
          </reference>
        </references>
      </pivotArea>
    </chartFormat>
    <chartFormat chart="26" format="36" series="1">
      <pivotArea type="data" outline="0" fieldPosition="0">
        <references count="2">
          <reference field="4294967294" count="1" selected="0">
            <x v="0"/>
          </reference>
          <reference field="2" count="1" selected="0">
            <x v="2"/>
          </reference>
        </references>
      </pivotArea>
    </chartFormat>
    <chartFormat chart="26" format="37" series="1">
      <pivotArea type="data" outline="0" fieldPosition="0">
        <references count="2">
          <reference field="4294967294" count="1" selected="0">
            <x v="0"/>
          </reference>
          <reference field="2" count="1" selected="0">
            <x v="3"/>
          </reference>
        </references>
      </pivotArea>
    </chartFormat>
    <chartFormat chart="27" format="23" series="1">
      <pivotArea type="data" outline="0" fieldPosition="0">
        <references count="2">
          <reference field="4294967294" count="1" selected="0">
            <x v="0"/>
          </reference>
          <reference field="2" count="1" selected="0">
            <x v="0"/>
          </reference>
        </references>
      </pivotArea>
    </chartFormat>
    <chartFormat chart="27" format="24" series="1">
      <pivotArea type="data" outline="0" fieldPosition="0">
        <references count="2">
          <reference field="4294967294" count="1" selected="0">
            <x v="0"/>
          </reference>
          <reference field="2" count="1" selected="0">
            <x v="1"/>
          </reference>
        </references>
      </pivotArea>
    </chartFormat>
    <chartFormat chart="27" format="28" series="1">
      <pivotArea type="data" outline="0" fieldPosition="0">
        <references count="2">
          <reference field="4294967294" count="1" selected="0">
            <x v="0"/>
          </reference>
          <reference field="2" count="1" selected="0">
            <x v="2"/>
          </reference>
        </references>
      </pivotArea>
    </chartFormat>
    <chartFormat chart="27" format="29" series="1">
      <pivotArea type="data" outline="0" fieldPosition="0">
        <references count="2">
          <reference field="4294967294" count="1" selected="0">
            <x v="0"/>
          </reference>
          <reference field="2" count="1" selected="0">
            <x v="3"/>
          </reference>
        </references>
      </pivotArea>
    </chartFormat>
    <chartFormat chart="28" format="31" series="1">
      <pivotArea type="data" outline="0" fieldPosition="0">
        <references count="2">
          <reference field="4294967294" count="1" selected="0">
            <x v="0"/>
          </reference>
          <reference field="2" count="1" selected="0">
            <x v="0"/>
          </reference>
        </references>
      </pivotArea>
    </chartFormat>
    <chartFormat chart="28" format="32" series="1">
      <pivotArea type="data" outline="0" fieldPosition="0">
        <references count="2">
          <reference field="4294967294" count="1" selected="0">
            <x v="0"/>
          </reference>
          <reference field="2" count="1" selected="0">
            <x v="1"/>
          </reference>
        </references>
      </pivotArea>
    </chartFormat>
    <chartFormat chart="28" format="36" series="1">
      <pivotArea type="data" outline="0" fieldPosition="0">
        <references count="2">
          <reference field="4294967294" count="1" selected="0">
            <x v="0"/>
          </reference>
          <reference field="2" count="1" selected="0">
            <x v="2"/>
          </reference>
        </references>
      </pivotArea>
    </chartFormat>
    <chartFormat chart="28" format="37" series="1">
      <pivotArea type="data" outline="0" fieldPosition="0">
        <references count="2">
          <reference field="4294967294" count="1" selected="0">
            <x v="0"/>
          </reference>
          <reference field="2" count="1" selected="0">
            <x v="3"/>
          </reference>
        </references>
      </pivotArea>
    </chartFormat>
    <chartFormat chart="31" format="23" series="1">
      <pivotArea type="data" outline="0" fieldPosition="0">
        <references count="2">
          <reference field="4294967294" count="1" selected="0">
            <x v="0"/>
          </reference>
          <reference field="2" count="1" selected="0">
            <x v="0"/>
          </reference>
        </references>
      </pivotArea>
    </chartFormat>
    <chartFormat chart="31" format="24" series="1">
      <pivotArea type="data" outline="0" fieldPosition="0">
        <references count="2">
          <reference field="4294967294" count="1" selected="0">
            <x v="0"/>
          </reference>
          <reference field="2" count="1" selected="0">
            <x v="1"/>
          </reference>
        </references>
      </pivotArea>
    </chartFormat>
    <chartFormat chart="31" format="28" series="1">
      <pivotArea type="data" outline="0" fieldPosition="0">
        <references count="2">
          <reference field="4294967294" count="1" selected="0">
            <x v="0"/>
          </reference>
          <reference field="2" count="1" selected="0">
            <x v="2"/>
          </reference>
        </references>
      </pivotArea>
    </chartFormat>
    <chartFormat chart="31" format="29" series="1">
      <pivotArea type="data" outline="0" fieldPosition="0">
        <references count="2">
          <reference field="4294967294" count="1" selected="0">
            <x v="0"/>
          </reference>
          <reference field="2" count="1" selected="0">
            <x v="3"/>
          </reference>
        </references>
      </pivotArea>
    </chartFormat>
    <chartFormat chart="32" format="31" series="1">
      <pivotArea type="data" outline="0" fieldPosition="0">
        <references count="2">
          <reference field="4294967294" count="1" selected="0">
            <x v="0"/>
          </reference>
          <reference field="2" count="1" selected="0">
            <x v="0"/>
          </reference>
        </references>
      </pivotArea>
    </chartFormat>
    <chartFormat chart="32" format="32" series="1">
      <pivotArea type="data" outline="0" fieldPosition="0">
        <references count="2">
          <reference field="4294967294" count="1" selected="0">
            <x v="0"/>
          </reference>
          <reference field="2" count="1" selected="0">
            <x v="1"/>
          </reference>
        </references>
      </pivotArea>
    </chartFormat>
    <chartFormat chart="32" format="36" series="1">
      <pivotArea type="data" outline="0" fieldPosition="0">
        <references count="2">
          <reference field="4294967294" count="1" selected="0">
            <x v="0"/>
          </reference>
          <reference field="2" count="1" selected="0">
            <x v="2"/>
          </reference>
        </references>
      </pivotArea>
    </chartFormat>
    <chartFormat chart="32" format="37" series="1">
      <pivotArea type="data" outline="0" fieldPosition="0">
        <references count="2">
          <reference field="4294967294" count="1" selected="0">
            <x v="0"/>
          </reference>
          <reference field="2" count="1" selected="0">
            <x v="3"/>
          </reference>
        </references>
      </pivotArea>
    </chartFormat>
    <chartFormat chart="33" format="23" series="1">
      <pivotArea type="data" outline="0" fieldPosition="0">
        <references count="2">
          <reference field="4294967294" count="1" selected="0">
            <x v="0"/>
          </reference>
          <reference field="2" count="1" selected="0">
            <x v="0"/>
          </reference>
        </references>
      </pivotArea>
    </chartFormat>
    <chartFormat chart="33" format="24" series="1">
      <pivotArea type="data" outline="0" fieldPosition="0">
        <references count="2">
          <reference field="4294967294" count="1" selected="0">
            <x v="0"/>
          </reference>
          <reference field="2" count="1" selected="0">
            <x v="1"/>
          </reference>
        </references>
      </pivotArea>
    </chartFormat>
    <chartFormat chart="33" format="28" series="1">
      <pivotArea type="data" outline="0" fieldPosition="0">
        <references count="2">
          <reference field="4294967294" count="1" selected="0">
            <x v="0"/>
          </reference>
          <reference field="2" count="1" selected="0">
            <x v="2"/>
          </reference>
        </references>
      </pivotArea>
    </chartFormat>
    <chartFormat chart="33" format="29" series="1">
      <pivotArea type="data" outline="0" fieldPosition="0">
        <references count="2">
          <reference field="4294967294" count="1" selected="0">
            <x v="0"/>
          </reference>
          <reference field="2" count="1" selected="0">
            <x v="3"/>
          </reference>
        </references>
      </pivotArea>
    </chartFormat>
    <chartFormat chart="34" format="31" series="1">
      <pivotArea type="data" outline="0" fieldPosition="0">
        <references count="2">
          <reference field="4294967294" count="1" selected="0">
            <x v="0"/>
          </reference>
          <reference field="2" count="1" selected="0">
            <x v="0"/>
          </reference>
        </references>
      </pivotArea>
    </chartFormat>
    <chartFormat chart="34" format="32" series="1">
      <pivotArea type="data" outline="0" fieldPosition="0">
        <references count="2">
          <reference field="4294967294" count="1" selected="0">
            <x v="0"/>
          </reference>
          <reference field="2" count="1" selected="0">
            <x v="1"/>
          </reference>
        </references>
      </pivotArea>
    </chartFormat>
    <chartFormat chart="34" format="36" series="1">
      <pivotArea type="data" outline="0" fieldPosition="0">
        <references count="2">
          <reference field="4294967294" count="1" selected="0">
            <x v="0"/>
          </reference>
          <reference field="2" count="1" selected="0">
            <x v="2"/>
          </reference>
        </references>
      </pivotArea>
    </chartFormat>
    <chartFormat chart="34" format="37" series="1">
      <pivotArea type="data" outline="0" fieldPosition="0">
        <references count="2">
          <reference field="4294967294" count="1" selected="0">
            <x v="0"/>
          </reference>
          <reference field="2" count="1" selected="0">
            <x v="3"/>
          </reference>
        </references>
      </pivotArea>
    </chartFormat>
    <chartFormat chart="35" format="24" series="1">
      <pivotArea type="data" outline="0" fieldPosition="0">
        <references count="2">
          <reference field="4294967294" count="1" selected="0">
            <x v="0"/>
          </reference>
          <reference field="2" count="1" selected="0">
            <x v="0"/>
          </reference>
        </references>
      </pivotArea>
    </chartFormat>
    <chartFormat chart="35" format="25" series="1">
      <pivotArea type="data" outline="0" fieldPosition="0">
        <references count="2">
          <reference field="4294967294" count="1" selected="0">
            <x v="0"/>
          </reference>
          <reference field="2" count="1" selected="0">
            <x v="1"/>
          </reference>
        </references>
      </pivotArea>
    </chartFormat>
    <chartFormat chart="35" format="29" series="1">
      <pivotArea type="data" outline="0" fieldPosition="0">
        <references count="2">
          <reference field="4294967294" count="1" selected="0">
            <x v="0"/>
          </reference>
          <reference field="2" count="1" selected="0">
            <x v="2"/>
          </reference>
        </references>
      </pivotArea>
    </chartFormat>
    <chartFormat chart="35" format="30" series="1">
      <pivotArea type="data" outline="0" fieldPosition="0">
        <references count="2">
          <reference field="4294967294" count="1" selected="0">
            <x v="0"/>
          </reference>
          <reference field="2" count="1" selected="0">
            <x v="3"/>
          </reference>
        </references>
      </pivotArea>
    </chartFormat>
    <chartFormat chart="36" format="31" series="1">
      <pivotArea type="data" outline="0" fieldPosition="0">
        <references count="2">
          <reference field="4294967294" count="1" selected="0">
            <x v="0"/>
          </reference>
          <reference field="2" count="1" selected="0">
            <x v="0"/>
          </reference>
        </references>
      </pivotArea>
    </chartFormat>
    <chartFormat chart="36" format="32" series="1">
      <pivotArea type="data" outline="0" fieldPosition="0">
        <references count="2">
          <reference field="4294967294" count="1" selected="0">
            <x v="0"/>
          </reference>
          <reference field="2" count="1" selected="0">
            <x v="1"/>
          </reference>
        </references>
      </pivotArea>
    </chartFormat>
    <chartFormat chart="36" format="36" series="1">
      <pivotArea type="data" outline="0" fieldPosition="0">
        <references count="2">
          <reference field="4294967294" count="1" selected="0">
            <x v="0"/>
          </reference>
          <reference field="2" count="1" selected="0">
            <x v="2"/>
          </reference>
        </references>
      </pivotArea>
    </chartFormat>
    <chartFormat chart="36" format="37" series="1">
      <pivotArea type="data" outline="0" fieldPosition="0">
        <references count="2">
          <reference field="4294967294" count="1" selected="0">
            <x v="0"/>
          </reference>
          <reference field="2" count="1" selected="0">
            <x v="3"/>
          </reference>
        </references>
      </pivotArea>
    </chartFormat>
    <chartFormat chart="2" format="25" series="1">
      <pivotArea type="data" outline="0" fieldPosition="0">
        <references count="2">
          <reference field="4294967294" count="1" selected="0">
            <x v="0"/>
          </reference>
          <reference field="2" count="1" selected="0">
            <x v="4"/>
          </reference>
        </references>
      </pivotArea>
    </chartFormat>
    <chartFormat chart="2" format="26" series="1">
      <pivotArea type="data" outline="0" fieldPosition="0">
        <references count="2">
          <reference field="4294967294" count="1" selected="0">
            <x v="0"/>
          </reference>
          <reference field="2" count="1" selected="0">
            <x v="5"/>
          </reference>
        </references>
      </pivotArea>
    </chartFormat>
    <chartFormat chart="2" format="27" series="1">
      <pivotArea type="data" outline="0" fieldPosition="0">
        <references count="2">
          <reference field="4294967294" count="1" selected="0">
            <x v="0"/>
          </reference>
          <reference field="2" count="1" selected="0">
            <x v="6"/>
          </reference>
        </references>
      </pivotArea>
    </chartFormat>
    <chartFormat chart="2" format="28" series="1">
      <pivotArea type="data" outline="0" fieldPosition="0">
        <references count="2">
          <reference field="4294967294" count="1" selected="0">
            <x v="0"/>
          </reference>
          <reference field="2" count="1" selected="0">
            <x v="7"/>
          </reference>
        </references>
      </pivotArea>
    </chartFormat>
    <chartFormat chart="2" format="29" series="1">
      <pivotArea type="data" outline="0" fieldPosition="0">
        <references count="2">
          <reference field="4294967294" count="1" selected="0">
            <x v="0"/>
          </reference>
          <reference field="2" count="1" selected="0">
            <x v="8"/>
          </reference>
        </references>
      </pivotArea>
    </chartFormat>
    <chartFormat chart="2" format="30" series="1">
      <pivotArea type="data" outline="0" fieldPosition="0">
        <references count="2">
          <reference field="4294967294" count="1" selected="0">
            <x v="0"/>
          </reference>
          <reference field="2" count="1" selected="0">
            <x v="9"/>
          </reference>
        </references>
      </pivotArea>
    </chartFormat>
    <chartFormat chart="2" format="31" series="1">
      <pivotArea type="data" outline="0" fieldPosition="0">
        <references count="2">
          <reference field="4294967294" count="1" selected="0">
            <x v="0"/>
          </reference>
          <reference field="2" count="1" selected="0">
            <x v="10"/>
          </reference>
        </references>
      </pivotArea>
    </chartFormat>
    <chartFormat chart="2" format="32" series="1">
      <pivotArea type="data" outline="0" fieldPosition="0">
        <references count="2">
          <reference field="4294967294" count="1" selected="0">
            <x v="0"/>
          </reference>
          <reference field="2" count="1" selected="0">
            <x v="12"/>
          </reference>
        </references>
      </pivotArea>
    </chartFormat>
    <chartFormat chart="2" format="33" series="1">
      <pivotArea type="data" outline="0" fieldPosition="0">
        <references count="2">
          <reference field="4294967294" count="1" selected="0">
            <x v="0"/>
          </reference>
          <reference field="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DEC5125-3881-4E77-84AF-D2A0F52E18E4}" name="PivotTable29" cacheId="132"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location ref="C17:D23" firstHeaderRow="1" firstDataRow="1" firstDataCol="1" rowPageCount="1" colPageCount="1"/>
  <pivotFields count="41">
    <pivotField showAll="0">
      <items count="52">
        <item h="1" m="1" x="26"/>
        <item x="0"/>
        <item x="1"/>
        <item x="2"/>
        <item x="3"/>
        <item x="4"/>
        <item x="5"/>
        <item x="7"/>
        <item x="6"/>
        <item x="8"/>
        <item x="9"/>
        <item x="10"/>
        <item x="11"/>
        <item x="13"/>
        <item x="16"/>
        <item x="12"/>
        <item x="17"/>
        <item x="14"/>
        <item x="15"/>
        <item x="18"/>
        <item x="19"/>
        <item x="20"/>
        <item x="21"/>
        <item x="22"/>
        <item x="23"/>
        <item x="24"/>
        <item x="25"/>
        <item h="1" m="1" x="29"/>
        <item h="1" m="1" x="46"/>
        <item h="1" m="1" x="39"/>
        <item h="1" m="1" x="32"/>
        <item h="1" m="1" x="27"/>
        <item h="1" m="1" x="48"/>
        <item h="1" m="1" x="44"/>
        <item h="1" m="1" x="41"/>
        <item h="1" m="1" x="37"/>
        <item h="1" m="1" x="34"/>
        <item h="1" m="1" x="30"/>
        <item h="1" m="1" x="50"/>
        <item h="1" m="1" x="47"/>
        <item h="1" m="1" x="43"/>
        <item h="1" m="1" x="40"/>
        <item h="1" m="1" x="36"/>
        <item h="1" m="1" x="33"/>
        <item h="1" m="1" x="28"/>
        <item h="1" m="1" x="49"/>
        <item h="1" m="1" x="45"/>
        <item h="1" m="1" x="42"/>
        <item h="1" m="1" x="38"/>
        <item h="1" m="1" x="35"/>
        <item h="1" m="1" x="31"/>
        <item t="default"/>
      </items>
    </pivotField>
    <pivotField showAll="0">
      <items count="14">
        <item x="0"/>
        <item x="1"/>
        <item x="2"/>
        <item x="3"/>
        <item x="4"/>
        <item x="5"/>
        <item x="6"/>
        <item h="1" m="1" x="12"/>
        <item h="1" m="1" x="8"/>
        <item h="1" m="1" x="11"/>
        <item h="1" m="1" x="9"/>
        <item h="1" m="1" x="10"/>
        <item h="1" m="1" x="7"/>
        <item t="default"/>
      </items>
    </pivotField>
    <pivotField axis="axisPage" showAll="0">
      <items count="14">
        <item m="1" x="11"/>
        <item h="1" x="1"/>
        <item h="1" x="0"/>
        <item x="4"/>
        <item m="1" x="12"/>
        <item x="7"/>
        <item x="8"/>
        <item h="1" x="6"/>
        <item x="9"/>
        <item x="5"/>
        <item m="1" x="10"/>
        <item h="1" x="2"/>
        <item h="1" x="3"/>
        <item t="default"/>
      </items>
    </pivotField>
    <pivotField axis="axisRow" dataField="1" showAll="0">
      <items count="45">
        <item x="2"/>
        <item x="6"/>
        <item x="3"/>
        <item m="1" x="36"/>
        <item m="1" x="43"/>
        <item x="20"/>
        <item x="0"/>
        <item x="7"/>
        <item x="5"/>
        <item m="1" x="34"/>
        <item x="31"/>
        <item x="16"/>
        <item x="25"/>
        <item x="29"/>
        <item x="18"/>
        <item x="17"/>
        <item x="8"/>
        <item x="9"/>
        <item m="1" x="39"/>
        <item x="10"/>
        <item x="32"/>
        <item x="12"/>
        <item x="26"/>
        <item x="28"/>
        <item m="1" x="38"/>
        <item m="1" x="35"/>
        <item x="11"/>
        <item x="23"/>
        <item m="1" x="37"/>
        <item x="19"/>
        <item x="33"/>
        <item m="1" x="40"/>
        <item m="1" x="42"/>
        <item x="27"/>
        <item x="15"/>
        <item m="1" x="41"/>
        <item x="24"/>
        <item x="4"/>
        <item x="1"/>
        <item x="14"/>
        <item x="22"/>
        <item x="13"/>
        <item x="21"/>
        <item x="30"/>
        <item t="default"/>
      </items>
    </pivotField>
    <pivotField showAll="0"/>
    <pivotField showAll="0"/>
    <pivotField showAll="0"/>
    <pivotField numFmtId="168" showAll="0"/>
    <pivotField numFmtId="168"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v="7"/>
    </i>
    <i>
      <x v="16"/>
    </i>
    <i>
      <x v="22"/>
    </i>
    <i>
      <x v="27"/>
    </i>
    <i>
      <x v="29"/>
    </i>
    <i>
      <x v="33"/>
    </i>
  </rowItems>
  <colItems count="1">
    <i/>
  </colItems>
  <pageFields count="1">
    <pageField fld="2" item="3" hier="-1"/>
  </pageFields>
  <dataFields count="1">
    <dataField name="Count of TASK"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325CAD2-960F-4AD0-BB09-B9ACEA45BEA7}" name="PivotTable5" cacheId="132"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location ref="AK4:AN4" firstHeaderRow="1" firstDataRow="1" firstDataCol="4" rowPageCount="1" colPageCount="1"/>
  <pivotFields count="41">
    <pivotField axis="axisRow" outline="0" showAll="0" defaultSubtotal="0">
      <items count="51">
        <item x="14"/>
        <item x="15"/>
        <item x="18"/>
        <item x="19"/>
        <item x="21"/>
        <item x="22"/>
        <item x="23"/>
        <item x="24"/>
        <item x="25"/>
        <item x="20"/>
        <item h="1" m="1" x="29"/>
        <item h="1" m="1" x="46"/>
        <item h="1" m="1" x="26"/>
        <item h="1" m="1" x="39"/>
        <item h="1" m="1" x="32"/>
        <item h="1" m="1" x="48"/>
        <item h="1" m="1" x="27"/>
        <item h="1" m="1" x="37"/>
        <item h="1" m="1" x="44"/>
        <item h="1" m="1" x="41"/>
        <item h="1" m="1" x="34"/>
        <item h="1" m="1" x="30"/>
        <item h="1" m="1" x="50"/>
        <item h="1" m="1" x="47"/>
        <item h="1" m="1" x="43"/>
        <item h="1" m="1" x="40"/>
        <item h="1" m="1" x="49"/>
        <item h="1" m="1" x="36"/>
        <item h="1" m="1" x="33"/>
        <item h="1" m="1" x="28"/>
        <item h="1" m="1" x="42"/>
        <item h="1" m="1" x="45"/>
        <item h="1" m="1" x="38"/>
        <item h="1" m="1" x="35"/>
        <item h="1" m="1" x="31"/>
        <item x="0"/>
        <item x="1"/>
        <item x="2"/>
        <item x="5"/>
        <item x="7"/>
        <item x="8"/>
        <item x="11"/>
        <item x="4"/>
        <item x="3"/>
        <item x="6"/>
        <item x="9"/>
        <item x="10"/>
        <item x="12"/>
        <item x="13"/>
        <item x="16"/>
        <item x="17"/>
      </items>
      <extLst>
        <ext xmlns:x14="http://schemas.microsoft.com/office/spreadsheetml/2009/9/main" uri="{2946ED86-A175-432a-8AC1-64E0C546D7DE}">
          <x14:pivotField fillDownLabels="1"/>
        </ext>
      </extLst>
    </pivotField>
    <pivotField outline="0" showAll="0" defaultSubtotal="0">
      <items count="13">
        <item x="4"/>
        <item x="5"/>
        <item x="6"/>
        <item x="0"/>
        <item h="1" m="1" x="12"/>
        <item h="1" m="1" x="7"/>
        <item h="1" m="1" x="8"/>
        <item h="1" m="1" x="11"/>
        <item h="1" m="1" x="9"/>
        <item h="1" m="1" x="10"/>
        <item x="1"/>
        <item x="2"/>
        <item x="3"/>
      </items>
      <extLst>
        <ext xmlns:x14="http://schemas.microsoft.com/office/spreadsheetml/2009/9/main" uri="{2946ED86-A175-432a-8AC1-64E0C546D7DE}">
          <x14:pivotField fillDownLabels="1"/>
        </ext>
      </extLst>
    </pivotField>
    <pivotField axis="axisRow" outline="0" showAll="0" defaultSubtotal="0">
      <items count="13">
        <item m="1" x="11"/>
        <item x="1"/>
        <item x="0"/>
        <item x="4"/>
        <item m="1" x="12"/>
        <item x="7"/>
        <item x="8"/>
        <item x="6"/>
        <item x="9"/>
        <item x="5"/>
        <item m="1" x="10"/>
        <item x="2"/>
        <item x="3"/>
      </items>
      <extLst>
        <ext xmlns:x14="http://schemas.microsoft.com/office/spreadsheetml/2009/9/main" uri="{2946ED86-A175-432a-8AC1-64E0C546D7DE}">
          <x14:pivotField fillDownLabels="1"/>
        </ext>
      </extLst>
    </pivotField>
    <pivotField axis="axisRow" outline="0" showAll="0" defaultSubtotal="0">
      <items count="44">
        <item x="2"/>
        <item x="6"/>
        <item x="3"/>
        <item m="1" x="36"/>
        <item m="1" x="43"/>
        <item x="20"/>
        <item x="0"/>
        <item x="7"/>
        <item x="5"/>
        <item m="1" x="34"/>
        <item x="31"/>
        <item x="16"/>
        <item x="25"/>
        <item x="29"/>
        <item x="18"/>
        <item x="17"/>
        <item x="8"/>
        <item x="9"/>
        <item m="1" x="39"/>
        <item x="10"/>
        <item x="32"/>
        <item x="12"/>
        <item x="26"/>
        <item x="28"/>
        <item m="1" x="38"/>
        <item m="1" x="35"/>
        <item x="11"/>
        <item x="23"/>
        <item m="1" x="37"/>
        <item x="19"/>
        <item x="33"/>
        <item m="1" x="40"/>
        <item m="1" x="42"/>
        <item x="27"/>
        <item x="15"/>
        <item m="1" x="41"/>
        <item x="24"/>
        <item x="4"/>
        <item x="1"/>
        <item x="14"/>
        <item x="22"/>
        <item x="13"/>
        <item x="21"/>
        <item x="30"/>
      </items>
      <extLst>
        <ext xmlns:x14="http://schemas.microsoft.com/office/spreadsheetml/2009/9/main" uri="{2946ED86-A175-432a-8AC1-64E0C546D7DE}">
          <x14:pivotField fillDownLabels="1"/>
        </ext>
      </extLst>
    </pivotField>
    <pivotField showAll="0"/>
    <pivotField showAll="0"/>
    <pivotField showAll="0"/>
    <pivotField numFmtId="168" showAll="0"/>
    <pivotField axis="axisRow" numFmtId="168" outline="0" showAll="0" defaultSubtotal="0">
      <items count="285">
        <item m="1" x="284"/>
        <item m="1" x="225"/>
        <item m="1" x="163"/>
        <item m="1" x="159"/>
        <item m="1" x="279"/>
        <item m="1" x="200"/>
        <item m="1" x="273"/>
        <item m="1" x="232"/>
        <item m="1" x="190"/>
        <item m="1" x="156"/>
        <item m="1" x="268"/>
        <item m="1" x="151"/>
        <item m="1" x="228"/>
        <item m="1" x="186"/>
        <item m="1" x="271"/>
        <item m="1" x="266"/>
        <item m="1" x="146"/>
        <item m="1" x="193"/>
        <item m="1" x="144"/>
        <item m="1" x="227"/>
        <item m="1" x="217"/>
        <item m="1" x="142"/>
        <item m="1" x="179"/>
        <item m="1" x="262"/>
        <item m="1" x="238"/>
        <item m="1" x="196"/>
        <item m="1" x="213"/>
        <item m="1" x="184"/>
        <item m="1" x="221"/>
        <item m="1" x="137"/>
        <item m="1" x="219"/>
        <item m="1" x="256"/>
        <item m="1" x="176"/>
        <item m="1" x="260"/>
        <item m="1" x="253"/>
        <item m="1" x="181"/>
        <item m="1" x="140"/>
        <item m="1" x="254"/>
        <item m="1" x="257"/>
        <item m="1" x="215"/>
        <item m="1" x="175"/>
        <item m="1" x="134"/>
        <item m="1" x="251"/>
        <item m="1" x="211"/>
        <item m="1" x="166"/>
        <item m="1" x="172"/>
        <item m="1" x="247"/>
        <item m="1" x="131"/>
        <item m="1" x="169"/>
        <item m="1" x="206"/>
        <item m="1" x="162"/>
        <item m="1" x="210"/>
        <item m="1" x="283"/>
        <item m="1" x="241"/>
        <item m="1" x="207"/>
        <item m="1" x="153"/>
        <item m="1" x="248"/>
        <item m="1" x="244"/>
        <item m="1" x="168"/>
        <item m="1" x="130"/>
        <item m="1" x="127"/>
        <item m="1" x="203"/>
        <item m="1" x="281"/>
        <item m="1" x="161"/>
        <item m="1" x="269"/>
        <item m="1" x="236"/>
        <item m="1" x="198"/>
        <item m="1" x="277"/>
        <item m="1" x="149"/>
        <item m="1" x="272"/>
        <item m="1" x="231"/>
        <item m="1" x="189"/>
        <item m="1" x="148"/>
        <item m="1" x="157"/>
        <item m="1" x="192"/>
        <item m="1" x="188"/>
        <item m="1" x="270"/>
        <item m="1" x="230"/>
        <item m="1" x="237"/>
        <item m="1" x="235"/>
        <item m="1" x="199"/>
        <item m="1" x="155"/>
        <item m="1" x="276"/>
        <item m="1" x="195"/>
        <item m="1" x="265"/>
        <item m="1" x="143"/>
        <item m="1" x="224"/>
        <item m="1" x="145"/>
        <item m="1" x="185"/>
        <item m="1" x="180"/>
        <item m="1" x="218"/>
        <item m="1" x="177"/>
        <item m="1" x="259"/>
        <item m="1" x="223"/>
        <item m="1" x="183"/>
        <item m="1" x="139"/>
        <item m="1" x="214"/>
        <item m="1" x="174"/>
        <item m="1" x="264"/>
        <item m="1" x="216"/>
        <item m="1" x="138"/>
        <item m="1" x="258"/>
        <item m="1" x="220"/>
        <item m="1" x="178"/>
        <item m="1" x="252"/>
        <item m="1" x="209"/>
        <item m="1" x="132"/>
        <item m="1" x="173"/>
        <item m="1" x="212"/>
        <item m="1" x="255"/>
        <item m="1" x="136"/>
        <item m="1" x="250"/>
        <item m="1" x="278"/>
        <item m="1" x="158"/>
        <item m="1" x="170"/>
        <item m="1" x="167"/>
        <item m="1" x="135"/>
        <item m="1" x="129"/>
        <item m="1" x="243"/>
        <item m="1" x="204"/>
        <item m="1" x="171"/>
        <item m="1" x="164"/>
        <item m="1" x="133"/>
        <item m="1" x="208"/>
        <item m="1" x="249"/>
        <item m="1" x="165"/>
        <item m="1" x="242"/>
        <item m="1" x="205"/>
        <item m="1" x="246"/>
        <item m="1" x="240"/>
        <item m="1" x="128"/>
        <item m="1" x="282"/>
        <item m="1" x="202"/>
        <item m="1" x="280"/>
        <item m="1" x="154"/>
        <item m="1" x="234"/>
        <item m="1" x="194"/>
        <item m="1" x="150"/>
        <item m="1" x="275"/>
        <item m="1" x="152"/>
        <item m="1" x="201"/>
        <item m="1" x="191"/>
        <item m="1" x="160"/>
        <item m="1" x="239"/>
        <item m="1" x="197"/>
        <item m="1" x="274"/>
        <item m="1" x="233"/>
        <item m="1" x="229"/>
        <item m="1" x="187"/>
        <item m="1" x="226"/>
        <item m="1" x="267"/>
        <item m="1" x="263"/>
        <item m="1" x="222"/>
        <item m="1" x="141"/>
        <item m="1" x="261"/>
        <item m="1" x="147"/>
        <item m="1" x="182"/>
        <item x="1"/>
        <item x="3"/>
        <item x="26"/>
        <item x="2"/>
        <item x="5"/>
        <item x="8"/>
        <item x="10"/>
        <item x="21"/>
        <item x="24"/>
        <item x="28"/>
        <item x="25"/>
        <item x="53"/>
        <item x="11"/>
        <item x="0"/>
        <item x="27"/>
        <item x="6"/>
        <item x="7"/>
        <item x="4"/>
        <item x="9"/>
        <item m="1" x="245"/>
        <item x="22"/>
        <item x="17"/>
        <item x="30"/>
        <item x="15"/>
        <item x="12"/>
        <item x="14"/>
        <item x="13"/>
        <item x="16"/>
        <item x="20"/>
        <item x="32"/>
        <item x="19"/>
        <item x="18"/>
        <item x="29"/>
        <item x="31"/>
        <item x="34"/>
        <item x="35"/>
        <item x="33"/>
        <item x="36"/>
        <item x="39"/>
        <item x="40"/>
        <item x="23"/>
        <item x="37"/>
        <item x="38"/>
        <item x="42"/>
        <item x="43"/>
        <item x="41"/>
        <item x="44"/>
        <item x="45"/>
        <item x="47"/>
        <item x="46"/>
        <item x="48"/>
        <item x="49"/>
        <item x="50"/>
        <item x="54"/>
        <item x="123"/>
        <item x="55"/>
        <item x="59"/>
        <item x="57"/>
        <item x="51"/>
        <item x="52"/>
        <item x="56"/>
        <item x="60"/>
        <item x="58"/>
        <item x="61"/>
        <item x="63"/>
        <item x="64"/>
        <item x="72"/>
        <item x="74"/>
        <item x="62"/>
        <item x="76"/>
        <item x="78"/>
        <item x="71"/>
        <item x="73"/>
        <item x="75"/>
        <item x="77"/>
        <item x="79"/>
        <item x="80"/>
        <item x="81"/>
        <item x="82"/>
        <item x="70"/>
        <item x="85"/>
        <item x="84"/>
        <item x="65"/>
        <item x="87"/>
        <item x="91"/>
        <item x="83"/>
        <item x="68"/>
        <item x="92"/>
        <item x="86"/>
        <item x="66"/>
        <item x="67"/>
        <item x="89"/>
        <item x="90"/>
        <item x="88"/>
        <item x="69"/>
        <item x="94"/>
        <item x="96"/>
        <item x="95"/>
        <item x="93"/>
        <item x="98"/>
        <item x="99"/>
        <item x="97"/>
        <item x="101"/>
        <item x="102"/>
        <item x="100"/>
        <item x="103"/>
        <item x="104"/>
        <item x="106"/>
        <item x="108"/>
        <item x="107"/>
        <item x="109"/>
        <item x="110"/>
        <item x="105"/>
        <item x="111"/>
        <item x="112"/>
        <item x="115"/>
        <item x="114"/>
        <item x="116"/>
        <item x="113"/>
        <item x="117"/>
        <item x="118"/>
        <item x="119"/>
        <item x="120"/>
        <item x="121"/>
        <item x="122"/>
        <item x="125"/>
        <item x="124"/>
        <item x="126"/>
      </items>
      <extLst>
        <ext xmlns:x14="http://schemas.microsoft.com/office/spreadsheetml/2009/9/main" uri="{2946ED86-A175-432a-8AC1-64E0C546D7DE}">
          <x14:pivotField fillDownLabels="1"/>
        </ext>
      </extLst>
    </pivotField>
    <pivotField showAll="0"/>
    <pivotField showAll="0"/>
    <pivotField axis="axisPage" multipleItemSelectionAllowed="1" showAll="0">
      <items count="5">
        <item h="1" x="0"/>
        <item h="1" x="1"/>
        <item m="1" x="2"/>
        <item h="1" m="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4">
    <field x="0"/>
    <field x="2"/>
    <field x="3"/>
    <field x="8"/>
  </rowFields>
  <colItems count="1">
    <i/>
  </colItems>
  <pageFields count="1">
    <pageField fld="11" hier="-1"/>
  </pageFields>
  <formats count="18">
    <format dxfId="278">
      <pivotArea type="all" dataOnly="0" outline="0" fieldPosition="0"/>
    </format>
    <format dxfId="279">
      <pivotArea field="1" type="button" dataOnly="0" labelOnly="1" outline="0"/>
    </format>
    <format dxfId="280">
      <pivotArea field="0" type="button" dataOnly="0" labelOnly="1" outline="0" axis="axisRow" fieldPosition="0"/>
    </format>
    <format dxfId="281">
      <pivotArea field="2" type="button" dataOnly="0" labelOnly="1" outline="0" axis="axisRow" fieldPosition="1"/>
    </format>
    <format dxfId="282">
      <pivotArea field="3" type="button" dataOnly="0" labelOnly="1" outline="0" axis="axisRow" fieldPosition="2"/>
    </format>
    <format dxfId="283">
      <pivotArea field="8" type="button" dataOnly="0" labelOnly="1" outline="0" axis="axisRow" fieldPosition="3"/>
    </format>
    <format dxfId="284">
      <pivotArea type="all" dataOnly="0" outline="0" fieldPosition="0"/>
    </format>
    <format dxfId="285">
      <pivotArea field="1" type="button" dataOnly="0" labelOnly="1" outline="0"/>
    </format>
    <format dxfId="286">
      <pivotArea field="0" type="button" dataOnly="0" labelOnly="1" outline="0" axis="axisRow" fieldPosition="0"/>
    </format>
    <format dxfId="287">
      <pivotArea field="2" type="button" dataOnly="0" labelOnly="1" outline="0" axis="axisRow" fieldPosition="1"/>
    </format>
    <format dxfId="288">
      <pivotArea field="3" type="button" dataOnly="0" labelOnly="1" outline="0" axis="axisRow" fieldPosition="2"/>
    </format>
    <format dxfId="289">
      <pivotArea field="8" type="button" dataOnly="0" labelOnly="1" outline="0" axis="axisRow" fieldPosition="3"/>
    </format>
    <format dxfId="290">
      <pivotArea type="all" dataOnly="0" outline="0" fieldPosition="0"/>
    </format>
    <format dxfId="291">
      <pivotArea field="1" type="button" dataOnly="0" labelOnly="1" outline="0"/>
    </format>
    <format dxfId="292">
      <pivotArea field="0" type="button" dataOnly="0" labelOnly="1" outline="0" axis="axisRow" fieldPosition="0"/>
    </format>
    <format dxfId="293">
      <pivotArea field="2" type="button" dataOnly="0" labelOnly="1" outline="0" axis="axisRow" fieldPosition="1"/>
    </format>
    <format dxfId="294">
      <pivotArea field="3" type="button" dataOnly="0" labelOnly="1" outline="0" axis="axisRow" fieldPosition="2"/>
    </format>
    <format dxfId="295">
      <pivotArea field="8" type="button" dataOnly="0" labelOnly="1" outline="0" axis="axisRow" fieldPosition="3"/>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95C0330-AE08-44C4-9781-9BA562A1FF8E}" name="PivotTable28" cacheId="132"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location ref="H3:J12" firstHeaderRow="1" firstDataRow="2" firstDataCol="1"/>
  <pivotFields count="41">
    <pivotField showAll="0">
      <items count="52">
        <item h="1" m="1" x="26"/>
        <item x="0"/>
        <item x="1"/>
        <item x="2"/>
        <item x="3"/>
        <item x="4"/>
        <item x="5"/>
        <item x="7"/>
        <item x="6"/>
        <item x="8"/>
        <item x="9"/>
        <item x="10"/>
        <item x="11"/>
        <item x="13"/>
        <item x="16"/>
        <item x="12"/>
        <item x="17"/>
        <item x="14"/>
        <item x="15"/>
        <item x="18"/>
        <item x="19"/>
        <item x="20"/>
        <item x="21"/>
        <item x="22"/>
        <item x="23"/>
        <item x="24"/>
        <item x="25"/>
        <item h="1" m="1" x="29"/>
        <item h="1" m="1" x="46"/>
        <item h="1" m="1" x="39"/>
        <item h="1" m="1" x="32"/>
        <item h="1" m="1" x="27"/>
        <item h="1" m="1" x="48"/>
        <item h="1" m="1" x="44"/>
        <item h="1" m="1" x="41"/>
        <item h="1" m="1" x="37"/>
        <item h="1" m="1" x="34"/>
        <item h="1" m="1" x="30"/>
        <item h="1" m="1" x="50"/>
        <item h="1" m="1" x="47"/>
        <item h="1" m="1" x="43"/>
        <item h="1" m="1" x="40"/>
        <item h="1" m="1" x="36"/>
        <item h="1" m="1" x="33"/>
        <item h="1" m="1" x="28"/>
        <item h="1" m="1" x="49"/>
        <item h="1" m="1" x="45"/>
        <item h="1" m="1" x="42"/>
        <item h="1" m="1" x="38"/>
        <item h="1" m="1" x="35"/>
        <item h="1" m="1" x="31"/>
        <item t="default"/>
      </items>
    </pivotField>
    <pivotField showAll="0">
      <items count="14">
        <item x="0"/>
        <item x="1"/>
        <item x="2"/>
        <item x="3"/>
        <item x="4"/>
        <item x="5"/>
        <item x="6"/>
        <item h="1" m="1" x="12"/>
        <item h="1" m="1" x="8"/>
        <item h="1" m="1" x="11"/>
        <item h="1" m="1" x="9"/>
        <item h="1" m="1" x="10"/>
        <item h="1" m="1" x="7"/>
        <item t="default"/>
      </items>
    </pivotField>
    <pivotField axis="axisRow" defaultSubtotal="0">
      <items count="13">
        <item x="3"/>
        <item h="1" m="1" x="11"/>
        <item x="1"/>
        <item x="0"/>
        <item x="4"/>
        <item h="1" m="1" x="12"/>
        <item x="7"/>
        <item x="8"/>
        <item x="6"/>
        <item h="1" x="9"/>
        <item x="5"/>
        <item h="1" m="1" x="10"/>
        <item h="1" x="2"/>
      </items>
    </pivotField>
    <pivotField showAll="0"/>
    <pivotField showAll="0"/>
    <pivotField showAll="0"/>
    <pivotField showAll="0"/>
    <pivotField numFmtId="168" showAll="0"/>
    <pivotField numFmtId="168" showAll="0"/>
    <pivotField showAll="0"/>
    <pivotField axis="axisCol" dataField="1" showAll="0">
      <items count="4">
        <item x="0"/>
        <item x="1"/>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8">
    <i>
      <x/>
    </i>
    <i>
      <x v="2"/>
    </i>
    <i>
      <x v="3"/>
    </i>
    <i>
      <x v="4"/>
    </i>
    <i>
      <x v="6"/>
    </i>
    <i>
      <x v="7"/>
    </i>
    <i>
      <x v="8"/>
    </i>
    <i>
      <x v="10"/>
    </i>
  </rowItems>
  <colFields count="1">
    <field x="10"/>
  </colFields>
  <colItems count="2">
    <i>
      <x/>
    </i>
    <i>
      <x v="1"/>
    </i>
  </colItems>
  <dataFields count="1">
    <dataField name="Count of Status" fld="10" subtotal="count" baseField="0" baseItem="0"/>
  </dataFields>
  <formats count="24">
    <format dxfId="254">
      <pivotArea type="all" dataOnly="0" outline="0" fieldPosition="0"/>
    </format>
    <format dxfId="255">
      <pivotArea outline="0" collapsedLevelsAreSubtotals="1" fieldPosition="0"/>
    </format>
    <format dxfId="256">
      <pivotArea type="origin" dataOnly="0" labelOnly="1" outline="0" fieldPosition="0"/>
    </format>
    <format dxfId="257">
      <pivotArea field="10" type="button" dataOnly="0" labelOnly="1" outline="0" axis="axisCol" fieldPosition="0"/>
    </format>
    <format dxfId="258">
      <pivotArea type="topRight" dataOnly="0" labelOnly="1" outline="0" fieldPosition="0"/>
    </format>
    <format dxfId="259">
      <pivotArea field="2" type="button" dataOnly="0" labelOnly="1" outline="0" axis="axisRow" fieldPosition="0"/>
    </format>
    <format dxfId="260">
      <pivotArea dataOnly="0" labelOnly="1" fieldPosition="0">
        <references count="1">
          <reference field="2" count="0"/>
        </references>
      </pivotArea>
    </format>
    <format dxfId="261">
      <pivotArea dataOnly="0" labelOnly="1" fieldPosition="0">
        <references count="1">
          <reference field="10" count="0"/>
        </references>
      </pivotArea>
    </format>
    <format dxfId="262">
      <pivotArea type="all" dataOnly="0" outline="0" fieldPosition="0"/>
    </format>
    <format dxfId="263">
      <pivotArea outline="0" collapsedLevelsAreSubtotals="1" fieldPosition="0"/>
    </format>
    <format dxfId="264">
      <pivotArea type="origin" dataOnly="0" labelOnly="1" outline="0" fieldPosition="0"/>
    </format>
    <format dxfId="265">
      <pivotArea field="10" type="button" dataOnly="0" labelOnly="1" outline="0" axis="axisCol" fieldPosition="0"/>
    </format>
    <format dxfId="266">
      <pivotArea type="topRight" dataOnly="0" labelOnly="1" outline="0" fieldPosition="0"/>
    </format>
    <format dxfId="267">
      <pivotArea field="2" type="button" dataOnly="0" labelOnly="1" outline="0" axis="axisRow" fieldPosition="0"/>
    </format>
    <format dxfId="268">
      <pivotArea dataOnly="0" labelOnly="1" fieldPosition="0">
        <references count="1">
          <reference field="2" count="0"/>
        </references>
      </pivotArea>
    </format>
    <format dxfId="269">
      <pivotArea dataOnly="0" labelOnly="1" fieldPosition="0">
        <references count="1">
          <reference field="10" count="0"/>
        </references>
      </pivotArea>
    </format>
    <format dxfId="270">
      <pivotArea type="all" dataOnly="0" outline="0" fieldPosition="0"/>
    </format>
    <format dxfId="271">
      <pivotArea outline="0" collapsedLevelsAreSubtotals="1" fieldPosition="0"/>
    </format>
    <format dxfId="272">
      <pivotArea type="origin" dataOnly="0" labelOnly="1" outline="0" fieldPosition="0"/>
    </format>
    <format dxfId="273">
      <pivotArea field="10" type="button" dataOnly="0" labelOnly="1" outline="0" axis="axisCol" fieldPosition="0"/>
    </format>
    <format dxfId="274">
      <pivotArea type="topRight" dataOnly="0" labelOnly="1" outline="0" fieldPosition="0"/>
    </format>
    <format dxfId="275">
      <pivotArea field="2" type="button" dataOnly="0" labelOnly="1" outline="0" axis="axisRow" fieldPosition="0"/>
    </format>
    <format dxfId="276">
      <pivotArea dataOnly="0" labelOnly="1" fieldPosition="0">
        <references count="1">
          <reference field="2" count="0"/>
        </references>
      </pivotArea>
    </format>
    <format dxfId="277">
      <pivotArea dataOnly="0" labelOnly="1" fieldPosition="0">
        <references count="1">
          <reference field="1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F0934B7-3D57-487D-865C-7B6674A7B4F5}" name="PivotTable32" cacheId="132"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12">
  <location ref="AC3:AH32" firstHeaderRow="1" firstDataRow="2" firstDataCol="2"/>
  <pivotFields count="41">
    <pivotField axis="axisRow" outline="0" showAll="0" defaultSubtotal="0">
      <items count="51">
        <item x="14"/>
        <item x="15"/>
        <item x="18"/>
        <item x="19"/>
        <item x="21"/>
        <item x="22"/>
        <item x="23"/>
        <item x="24"/>
        <item x="25"/>
        <item x="20"/>
        <item h="1" m="1" x="29"/>
        <item h="1" m="1" x="46"/>
        <item h="1" m="1" x="26"/>
        <item h="1" m="1" x="39"/>
        <item h="1" m="1" x="32"/>
        <item h="1" m="1" x="48"/>
        <item h="1" m="1" x="27"/>
        <item h="1" m="1" x="37"/>
        <item h="1" m="1" x="44"/>
        <item h="1" m="1" x="41"/>
        <item h="1" m="1" x="34"/>
        <item h="1" m="1" x="30"/>
        <item h="1" m="1" x="50"/>
        <item h="1" m="1" x="47"/>
        <item h="1" m="1" x="43"/>
        <item h="1" m="1" x="40"/>
        <item h="1" m="1" x="49"/>
        <item h="1" m="1" x="36"/>
        <item h="1" m="1" x="33"/>
        <item h="1" m="1" x="28"/>
        <item h="1" m="1" x="42"/>
        <item h="1" m="1" x="45"/>
        <item h="1" m="1" x="38"/>
        <item h="1" m="1" x="35"/>
        <item h="1" m="1" x="31"/>
        <item x="0"/>
        <item x="1"/>
        <item x="2"/>
        <item x="5"/>
        <item x="7"/>
        <item x="8"/>
        <item x="11"/>
        <item x="4"/>
        <item x="3"/>
        <item x="6"/>
        <item x="9"/>
        <item x="10"/>
        <item x="12"/>
        <item x="13"/>
        <item x="16"/>
        <item x="17"/>
      </items>
      <extLst>
        <ext xmlns:x14="http://schemas.microsoft.com/office/spreadsheetml/2009/9/main" uri="{2946ED86-A175-432a-8AC1-64E0C546D7DE}">
          <x14:pivotField fillDownLabels="1"/>
        </ext>
      </extLst>
    </pivotField>
    <pivotField axis="axisRow" outline="0" showAll="0" defaultSubtotal="0">
      <items count="13">
        <item x="4"/>
        <item x="5"/>
        <item x="6"/>
        <item x="0"/>
        <item h="1" m="1" x="12"/>
        <item h="1" m="1" x="7"/>
        <item h="1" m="1" x="8"/>
        <item h="1" m="1" x="11"/>
        <item h="1" m="1" x="9"/>
        <item h="1" m="1" x="10"/>
        <item x="1"/>
        <item x="2"/>
        <item x="3"/>
      </items>
      <extLst>
        <ext xmlns:x14="http://schemas.microsoft.com/office/spreadsheetml/2009/9/main" uri="{2946ED86-A175-432a-8AC1-64E0C546D7DE}">
          <x14:pivotField fillDownLabels="1"/>
        </ext>
      </extLst>
    </pivotField>
    <pivotField showAll="0"/>
    <pivotField showAll="0"/>
    <pivotField showAll="0"/>
    <pivotField showAll="0"/>
    <pivotField showAll="0"/>
    <pivotField numFmtId="168" showAll="0"/>
    <pivotField numFmtId="168" showAll="0"/>
    <pivotField showAll="0"/>
    <pivotField showAll="0"/>
    <pivotField axis="axisCol" dataField="1">
      <items count="5">
        <item m="1" x="2"/>
        <item x="0"/>
        <item x="1"/>
        <item m="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0"/>
  </rowFields>
  <rowItems count="28">
    <i>
      <x/>
      <x/>
    </i>
    <i r="1">
      <x v="1"/>
    </i>
    <i r="1">
      <x v="2"/>
    </i>
    <i r="1">
      <x v="3"/>
    </i>
    <i>
      <x v="1"/>
      <x v="4"/>
    </i>
    <i r="1">
      <x v="5"/>
    </i>
    <i r="1">
      <x v="6"/>
    </i>
    <i r="1">
      <x v="7"/>
    </i>
    <i r="1">
      <x v="9"/>
    </i>
    <i>
      <x v="2"/>
      <x v="7"/>
    </i>
    <i r="1">
      <x v="8"/>
    </i>
    <i>
      <x v="3"/>
      <x v="35"/>
    </i>
    <i r="1">
      <x v="36"/>
    </i>
    <i r="1">
      <x v="37"/>
    </i>
    <i r="1">
      <x v="43"/>
    </i>
    <i>
      <x v="10"/>
      <x v="38"/>
    </i>
    <i r="1">
      <x v="39"/>
    </i>
    <i r="1">
      <x v="42"/>
    </i>
    <i r="1">
      <x v="44"/>
    </i>
    <i>
      <x v="11"/>
      <x v="40"/>
    </i>
    <i r="1">
      <x v="41"/>
    </i>
    <i r="1">
      <x v="45"/>
    </i>
    <i r="1">
      <x v="46"/>
    </i>
    <i r="1">
      <x v="48"/>
    </i>
    <i>
      <x v="12"/>
      <x v="47"/>
    </i>
    <i r="1">
      <x v="48"/>
    </i>
    <i r="1">
      <x v="49"/>
    </i>
    <i r="1">
      <x v="50"/>
    </i>
  </rowItems>
  <colFields count="1">
    <field x="11"/>
  </colFields>
  <colItems count="4">
    <i>
      <x/>
    </i>
    <i>
      <x v="1"/>
    </i>
    <i>
      <x v="2"/>
    </i>
    <i>
      <x v="3"/>
    </i>
  </colItems>
  <dataFields count="1">
    <dataField name="Count of OverDue Aleart" fld="11" subtotal="count" baseField="0" baseItem="0"/>
  </dataFields>
  <formats count="9">
    <format dxfId="245">
      <pivotArea type="all" dataOnly="0" outline="0" fieldPosition="0"/>
    </format>
    <format dxfId="246">
      <pivotArea outline="0" collapsedLevelsAreSubtotals="1" fieldPosition="0"/>
    </format>
    <format dxfId="247">
      <pivotArea type="origin" dataOnly="0" labelOnly="1" outline="0" fieldPosition="0"/>
    </format>
    <format dxfId="248">
      <pivotArea field="11" type="button" dataOnly="0" labelOnly="1" outline="0" axis="axisCol" fieldPosition="0"/>
    </format>
    <format dxfId="249">
      <pivotArea type="topRight" dataOnly="0" labelOnly="1" outline="0" fieldPosition="0"/>
    </format>
    <format dxfId="250">
      <pivotArea field="1" type="button" dataOnly="0" labelOnly="1" outline="0" axis="axisRow" fieldPosition="0"/>
    </format>
    <format dxfId="251">
      <pivotArea field="0" type="button" dataOnly="0" labelOnly="1" outline="0" axis="axisRow" fieldPosition="1"/>
    </format>
    <format dxfId="252">
      <pivotArea dataOnly="0" labelOnly="1" fieldPosition="0">
        <references count="1">
          <reference field="1" count="0"/>
        </references>
      </pivotArea>
    </format>
    <format dxfId="253">
      <pivotArea dataOnly="0" labelOnly="1" fieldPosition="0">
        <references count="1">
          <reference field="11" count="0"/>
        </references>
      </pivotArea>
    </format>
  </formats>
  <chartFormats count="13">
    <chartFormat chart="1" format="0" series="1">
      <pivotArea type="data" outline="0" fieldPosition="0">
        <references count="2">
          <reference field="4294967294" count="1" selected="0">
            <x v="0"/>
          </reference>
          <reference field="11" count="1" selected="0">
            <x v="1"/>
          </reference>
        </references>
      </pivotArea>
    </chartFormat>
    <chartFormat chart="3" format="7" series="1">
      <pivotArea type="data" outline="0" fieldPosition="0">
        <references count="2">
          <reference field="4294967294" count="1" selected="0">
            <x v="0"/>
          </reference>
          <reference field="11" count="1" selected="0">
            <x v="1"/>
          </reference>
        </references>
      </pivotArea>
    </chartFormat>
    <chartFormat chart="3" format="9"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4" format="11" series="1">
      <pivotArea type="data" outline="0" fieldPosition="0">
        <references count="2">
          <reference field="4294967294" count="1" selected="0">
            <x v="0"/>
          </reference>
          <reference field="11" count="1" selected="0">
            <x v="1"/>
          </reference>
        </references>
      </pivotArea>
    </chartFormat>
    <chartFormat chart="5" format="14" series="1">
      <pivotArea type="data" outline="0" fieldPosition="0">
        <references count="2">
          <reference field="4294967294" count="1" selected="0">
            <x v="0"/>
          </reference>
          <reference field="11" count="1" selected="0">
            <x v="1"/>
          </reference>
        </references>
      </pivotArea>
    </chartFormat>
    <chartFormat chart="3" format="10" series="1">
      <pivotArea type="data" outline="0" fieldPosition="0">
        <references count="2">
          <reference field="4294967294" count="1" selected="0">
            <x v="0"/>
          </reference>
          <reference field="11" count="1" selected="0">
            <x v="2"/>
          </reference>
        </references>
      </pivotArea>
    </chartFormat>
    <chartFormat chart="8" format="13" series="1">
      <pivotArea type="data" outline="0" fieldPosition="0">
        <references count="2">
          <reference field="4294967294" count="1" selected="0">
            <x v="0"/>
          </reference>
          <reference field="11" count="1" selected="0">
            <x v="1"/>
          </reference>
        </references>
      </pivotArea>
    </chartFormat>
    <chartFormat chart="8" format="14" series="1">
      <pivotArea type="data" outline="0" fieldPosition="0">
        <references count="2">
          <reference field="4294967294" count="1" selected="0">
            <x v="0"/>
          </reference>
          <reference field="11" count="1" selected="0">
            <x v="2"/>
          </reference>
        </references>
      </pivotArea>
    </chartFormat>
    <chartFormat chart="9" format="16" series="1">
      <pivotArea type="data" outline="0" fieldPosition="0">
        <references count="2">
          <reference field="4294967294" count="1" selected="0">
            <x v="0"/>
          </reference>
          <reference field="11" count="1" selected="0">
            <x v="1"/>
          </reference>
        </references>
      </pivotArea>
    </chartFormat>
    <chartFormat chart="9" format="17" series="1">
      <pivotArea type="data" outline="0" fieldPosition="0">
        <references count="2">
          <reference field="4294967294" count="1" selected="0">
            <x v="0"/>
          </reference>
          <reference field="11" count="1" selected="0">
            <x v="2"/>
          </reference>
        </references>
      </pivotArea>
    </chartFormat>
    <chartFormat chart="3" format="14" series="1">
      <pivotArea type="data" outline="0" fieldPosition="0">
        <references count="2">
          <reference field="4294967294" count="1" selected="0">
            <x v="0"/>
          </reference>
          <reference field="11" count="1" selected="0">
            <x v="0"/>
          </reference>
        </references>
      </pivotArea>
    </chartFormat>
    <chartFormat chart="3" format="15"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BE3180F-8136-4566-B9D4-ACB8DD902075}" name="PivotTable27" cacheId="132" applyNumberFormats="0" applyBorderFormats="0" applyFontFormats="0" applyPatternFormats="0" applyAlignmentFormats="0" applyWidthHeightFormats="1" dataCaption="Values" updatedVersion="8" minRefreshableVersion="3" useAutoFormatting="1" rowGrandTotals="0" itemPrintTitles="1" createdVersion="7" indent="0" outline="1" outlineData="1" multipleFieldFilters="0" chartFormat="23">
  <location ref="C3:D12" firstHeaderRow="1" firstDataRow="1" firstDataCol="1"/>
  <pivotFields count="41">
    <pivotField showAll="0">
      <items count="52">
        <item h="1" m="1" x="26"/>
        <item x="0"/>
        <item x="1"/>
        <item x="2"/>
        <item x="3"/>
        <item x="4"/>
        <item x="5"/>
        <item x="7"/>
        <item x="6"/>
        <item x="8"/>
        <item x="9"/>
        <item x="10"/>
        <item x="11"/>
        <item x="13"/>
        <item x="16"/>
        <item x="12"/>
        <item x="17"/>
        <item x="14"/>
        <item x="15"/>
        <item x="18"/>
        <item x="19"/>
        <item x="20"/>
        <item x="21"/>
        <item x="22"/>
        <item x="23"/>
        <item x="24"/>
        <item x="25"/>
        <item h="1" m="1" x="29"/>
        <item h="1" m="1" x="46"/>
        <item h="1" m="1" x="39"/>
        <item h="1" m="1" x="32"/>
        <item h="1" m="1" x="27"/>
        <item h="1" m="1" x="48"/>
        <item h="1" m="1" x="44"/>
        <item h="1" m="1" x="41"/>
        <item h="1" m="1" x="37"/>
        <item h="1" m="1" x="34"/>
        <item h="1" m="1" x="30"/>
        <item h="1" m="1" x="50"/>
        <item h="1" m="1" x="47"/>
        <item h="1" m="1" x="43"/>
        <item h="1" m="1" x="40"/>
        <item h="1" m="1" x="36"/>
        <item h="1" m="1" x="33"/>
        <item h="1" m="1" x="28"/>
        <item h="1" m="1" x="49"/>
        <item h="1" m="1" x="45"/>
        <item h="1" m="1" x="42"/>
        <item h="1" m="1" x="38"/>
        <item h="1" m="1" x="35"/>
        <item h="1" m="1" x="31"/>
        <item t="default"/>
      </items>
    </pivotField>
    <pivotField showAll="0">
      <items count="14">
        <item x="0"/>
        <item x="1"/>
        <item x="2"/>
        <item x="3"/>
        <item x="4"/>
        <item x="5"/>
        <item x="6"/>
        <item h="1" m="1" x="12"/>
        <item h="1" m="1" x="8"/>
        <item h="1" m="1" x="11"/>
        <item h="1" m="1" x="9"/>
        <item h="1" m="1" x="10"/>
        <item h="1" m="1" x="7"/>
        <item t="default"/>
      </items>
    </pivotField>
    <pivotField axis="axisRow" outline="0">
      <items count="14">
        <item x="0"/>
        <item x="3"/>
        <item x="2"/>
        <item h="1" m="1" x="11"/>
        <item x="1"/>
        <item x="4"/>
        <item h="1" m="1" x="12"/>
        <item x="7"/>
        <item x="8"/>
        <item x="6"/>
        <item h="1" x="9"/>
        <item x="5"/>
        <item h="1" m="1" x="10"/>
        <item t="default"/>
      </items>
      <extLst>
        <ext xmlns:x14="http://schemas.microsoft.com/office/spreadsheetml/2009/9/main" uri="{2946ED86-A175-432a-8AC1-64E0C546D7DE}">
          <x14:pivotField fillDownLabels="1"/>
        </ext>
      </extLst>
    </pivotField>
    <pivotField dataField="1" showAll="0"/>
    <pivotField showAll="0"/>
    <pivotField showAll="0"/>
    <pivotField showAll="0"/>
    <pivotField numFmtId="168" showAll="0"/>
    <pivotField numFmtId="168"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9">
    <i>
      <x/>
    </i>
    <i>
      <x v="1"/>
    </i>
    <i>
      <x v="2"/>
    </i>
    <i>
      <x v="4"/>
    </i>
    <i>
      <x v="5"/>
    </i>
    <i>
      <x v="7"/>
    </i>
    <i>
      <x v="8"/>
    </i>
    <i>
      <x v="9"/>
    </i>
    <i>
      <x v="11"/>
    </i>
  </rowItems>
  <colItems count="1">
    <i/>
  </colItems>
  <dataFields count="1">
    <dataField name="Count of TASK" fld="3" subtotal="count" baseField="0" baseItem="0"/>
  </dataFields>
  <formats count="6">
    <format dxfId="239">
      <pivotArea type="all" dataOnly="0" outline="0" fieldPosition="0"/>
    </format>
    <format dxfId="240">
      <pivotArea outline="0" collapsedLevelsAreSubtotals="1" fieldPosition="0"/>
    </format>
    <format dxfId="241">
      <pivotArea field="2" type="button" dataOnly="0" labelOnly="1" outline="0" axis="axisRow" fieldPosition="0"/>
    </format>
    <format dxfId="242">
      <pivotArea dataOnly="0" labelOnly="1" fieldPosition="0">
        <references count="1">
          <reference field="2" count="0"/>
        </references>
      </pivotArea>
    </format>
    <format dxfId="243">
      <pivotArea dataOnly="0" labelOnly="1" grandRow="1" outline="0" fieldPosition="0"/>
    </format>
    <format dxfId="244">
      <pivotArea dataOnly="0" labelOnly="1" outline="0" axis="axisValues" fieldPosition="0"/>
    </format>
  </formats>
  <chartFormats count="149">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2" count="1" selected="0">
            <x v="0"/>
          </reference>
        </references>
      </pivotArea>
    </chartFormat>
    <chartFormat chart="2" format="18">
      <pivotArea type="data" outline="0" fieldPosition="0">
        <references count="2">
          <reference field="4294967294" count="1" selected="0">
            <x v="0"/>
          </reference>
          <reference field="2" count="1" selected="0">
            <x v="3"/>
          </reference>
        </references>
      </pivotArea>
    </chartFormat>
    <chartFormat chart="2" format="22">
      <pivotArea type="data" outline="0" fieldPosition="0">
        <references count="2">
          <reference field="4294967294" count="1" selected="0">
            <x v="0"/>
          </reference>
          <reference field="2" count="1" selected="0">
            <x v="4"/>
          </reference>
        </references>
      </pivotArea>
    </chartFormat>
    <chartFormat chart="2" format="23">
      <pivotArea type="data" outline="0" fieldPosition="0">
        <references count="2">
          <reference field="4294967294" count="1" selected="0">
            <x v="0"/>
          </reference>
          <reference field="2" count="1" selected="0">
            <x v="5"/>
          </reference>
        </references>
      </pivotArea>
    </chartFormat>
    <chartFormat chart="2" format="25">
      <pivotArea type="data" outline="0" fieldPosition="0">
        <references count="1">
          <reference field="4294967294" count="1" selected="0">
            <x v="0"/>
          </reference>
        </references>
      </pivotArea>
    </chartFormat>
    <chartFormat chart="3" format="26" series="1">
      <pivotArea type="data" outline="0" fieldPosition="0">
        <references count="1">
          <reference field="4294967294" count="1" selected="0">
            <x v="0"/>
          </reference>
        </references>
      </pivotArea>
    </chartFormat>
    <chartFormat chart="3" format="27">
      <pivotArea type="data" outline="0" fieldPosition="0">
        <references count="2">
          <reference field="4294967294" count="1" selected="0">
            <x v="0"/>
          </reference>
          <reference field="2" count="1" selected="0">
            <x v="0"/>
          </reference>
        </references>
      </pivotArea>
    </chartFormat>
    <chartFormat chart="3" format="28">
      <pivotArea type="data" outline="0" fieldPosition="0">
        <references count="2">
          <reference field="4294967294" count="1" selected="0">
            <x v="0"/>
          </reference>
          <reference field="2" count="1" selected="0">
            <x v="3"/>
          </reference>
        </references>
      </pivotArea>
    </chartFormat>
    <chartFormat chart="3" format="32">
      <pivotArea type="data" outline="0" fieldPosition="0">
        <references count="2">
          <reference field="4294967294" count="1" selected="0">
            <x v="0"/>
          </reference>
          <reference field="2" count="1" selected="0">
            <x v="4"/>
          </reference>
        </references>
      </pivotArea>
    </chartFormat>
    <chartFormat chart="3" format="33">
      <pivotArea type="data" outline="0" fieldPosition="0">
        <references count="2">
          <reference field="4294967294" count="1" selected="0">
            <x v="0"/>
          </reference>
          <reference field="2" count="1" selected="0">
            <x v="5"/>
          </reference>
        </references>
      </pivotArea>
    </chartFormat>
    <chartFormat chart="4" format="34" series="1">
      <pivotArea type="data" outline="0" fieldPosition="0">
        <references count="1">
          <reference field="4294967294" count="1" selected="0">
            <x v="0"/>
          </reference>
        </references>
      </pivotArea>
    </chartFormat>
    <chartFormat chart="4" format="35">
      <pivotArea type="data" outline="0" fieldPosition="0">
        <references count="2">
          <reference field="4294967294" count="1" selected="0">
            <x v="0"/>
          </reference>
          <reference field="2" count="1" selected="0">
            <x v="0"/>
          </reference>
        </references>
      </pivotArea>
    </chartFormat>
    <chartFormat chart="4" format="36">
      <pivotArea type="data" outline="0" fieldPosition="0">
        <references count="2">
          <reference field="4294967294" count="1" selected="0">
            <x v="0"/>
          </reference>
          <reference field="2" count="1" selected="0">
            <x v="3"/>
          </reference>
        </references>
      </pivotArea>
    </chartFormat>
    <chartFormat chart="4" format="40">
      <pivotArea type="data" outline="0" fieldPosition="0">
        <references count="2">
          <reference field="4294967294" count="1" selected="0">
            <x v="0"/>
          </reference>
          <reference field="2" count="1" selected="0">
            <x v="4"/>
          </reference>
        </references>
      </pivotArea>
    </chartFormat>
    <chartFormat chart="4" format="41">
      <pivotArea type="data" outline="0" fieldPosition="0">
        <references count="2">
          <reference field="4294967294" count="1" selected="0">
            <x v="0"/>
          </reference>
          <reference field="2" count="1" selected="0">
            <x v="5"/>
          </reference>
        </references>
      </pivotArea>
    </chartFormat>
    <chartFormat chart="5" format="26" series="1">
      <pivotArea type="data" outline="0" fieldPosition="0">
        <references count="1">
          <reference field="4294967294" count="1" selected="0">
            <x v="0"/>
          </reference>
        </references>
      </pivotArea>
    </chartFormat>
    <chartFormat chart="5" format="27">
      <pivotArea type="data" outline="0" fieldPosition="0">
        <references count="2">
          <reference field="4294967294" count="1" selected="0">
            <x v="0"/>
          </reference>
          <reference field="2" count="1" selected="0">
            <x v="0"/>
          </reference>
        </references>
      </pivotArea>
    </chartFormat>
    <chartFormat chart="5" format="28">
      <pivotArea type="data" outline="0" fieldPosition="0">
        <references count="2">
          <reference field="4294967294" count="1" selected="0">
            <x v="0"/>
          </reference>
          <reference field="2" count="1" selected="0">
            <x v="3"/>
          </reference>
        </references>
      </pivotArea>
    </chartFormat>
    <chartFormat chart="5" format="32">
      <pivotArea type="data" outline="0" fieldPosition="0">
        <references count="2">
          <reference field="4294967294" count="1" selected="0">
            <x v="0"/>
          </reference>
          <reference field="2" count="1" selected="0">
            <x v="4"/>
          </reference>
        </references>
      </pivotArea>
    </chartFormat>
    <chartFormat chart="5" format="33">
      <pivotArea type="data" outline="0" fieldPosition="0">
        <references count="2">
          <reference field="4294967294" count="1" selected="0">
            <x v="0"/>
          </reference>
          <reference field="2" count="1" selected="0">
            <x v="5"/>
          </reference>
        </references>
      </pivotArea>
    </chartFormat>
    <chartFormat chart="6" format="34" series="1">
      <pivotArea type="data" outline="0" fieldPosition="0">
        <references count="1">
          <reference field="4294967294" count="1" selected="0">
            <x v="0"/>
          </reference>
        </references>
      </pivotArea>
    </chartFormat>
    <chartFormat chart="6" format="35">
      <pivotArea type="data" outline="0" fieldPosition="0">
        <references count="2">
          <reference field="4294967294" count="1" selected="0">
            <x v="0"/>
          </reference>
          <reference field="2" count="1" selected="0">
            <x v="0"/>
          </reference>
        </references>
      </pivotArea>
    </chartFormat>
    <chartFormat chart="6" format="36">
      <pivotArea type="data" outline="0" fieldPosition="0">
        <references count="2">
          <reference field="4294967294" count="1" selected="0">
            <x v="0"/>
          </reference>
          <reference field="2" count="1" selected="0">
            <x v="3"/>
          </reference>
        </references>
      </pivotArea>
    </chartFormat>
    <chartFormat chart="6" format="40">
      <pivotArea type="data" outline="0" fieldPosition="0">
        <references count="2">
          <reference field="4294967294" count="1" selected="0">
            <x v="0"/>
          </reference>
          <reference field="2" count="1" selected="0">
            <x v="4"/>
          </reference>
        </references>
      </pivotArea>
    </chartFormat>
    <chartFormat chart="6" format="41">
      <pivotArea type="data" outline="0" fieldPosition="0">
        <references count="2">
          <reference field="4294967294" count="1" selected="0">
            <x v="0"/>
          </reference>
          <reference field="2" count="1" selected="0">
            <x v="5"/>
          </reference>
        </references>
      </pivotArea>
    </chartFormat>
    <chartFormat chart="9" format="27" series="1">
      <pivotArea type="data" outline="0" fieldPosition="0">
        <references count="1">
          <reference field="4294967294" count="1" selected="0">
            <x v="0"/>
          </reference>
        </references>
      </pivotArea>
    </chartFormat>
    <chartFormat chart="9" format="28">
      <pivotArea type="data" outline="0" fieldPosition="0">
        <references count="2">
          <reference field="4294967294" count="1" selected="0">
            <x v="0"/>
          </reference>
          <reference field="2" count="1" selected="0">
            <x v="0"/>
          </reference>
        </references>
      </pivotArea>
    </chartFormat>
    <chartFormat chart="9" format="29">
      <pivotArea type="data" outline="0" fieldPosition="0">
        <references count="2">
          <reference field="4294967294" count="1" selected="0">
            <x v="0"/>
          </reference>
          <reference field="2" count="1" selected="0">
            <x v="3"/>
          </reference>
        </references>
      </pivotArea>
    </chartFormat>
    <chartFormat chart="9" format="33">
      <pivotArea type="data" outline="0" fieldPosition="0">
        <references count="2">
          <reference field="4294967294" count="1" selected="0">
            <x v="0"/>
          </reference>
          <reference field="2" count="1" selected="0">
            <x v="4"/>
          </reference>
        </references>
      </pivotArea>
    </chartFormat>
    <chartFormat chart="9" format="34">
      <pivotArea type="data" outline="0" fieldPosition="0">
        <references count="2">
          <reference field="4294967294" count="1" selected="0">
            <x v="0"/>
          </reference>
          <reference field="2" count="1" selected="0">
            <x v="5"/>
          </reference>
        </references>
      </pivotArea>
    </chartFormat>
    <chartFormat chart="10" format="36" series="1">
      <pivotArea type="data" outline="0" fieldPosition="0">
        <references count="1">
          <reference field="4294967294" count="1" selected="0">
            <x v="0"/>
          </reference>
        </references>
      </pivotArea>
    </chartFormat>
    <chartFormat chart="10" format="37">
      <pivotArea type="data" outline="0" fieldPosition="0">
        <references count="2">
          <reference field="4294967294" count="1" selected="0">
            <x v="0"/>
          </reference>
          <reference field="2" count="1" selected="0">
            <x v="0"/>
          </reference>
        </references>
      </pivotArea>
    </chartFormat>
    <chartFormat chart="10" format="38">
      <pivotArea type="data" outline="0" fieldPosition="0">
        <references count="2">
          <reference field="4294967294" count="1" selected="0">
            <x v="0"/>
          </reference>
          <reference field="2" count="1" selected="0">
            <x v="3"/>
          </reference>
        </references>
      </pivotArea>
    </chartFormat>
    <chartFormat chart="10" format="42">
      <pivotArea type="data" outline="0" fieldPosition="0">
        <references count="2">
          <reference field="4294967294" count="1" selected="0">
            <x v="0"/>
          </reference>
          <reference field="2" count="1" selected="0">
            <x v="4"/>
          </reference>
        </references>
      </pivotArea>
    </chartFormat>
    <chartFormat chart="10" format="43">
      <pivotArea type="data" outline="0" fieldPosition="0">
        <references count="2">
          <reference field="4294967294" count="1" selected="0">
            <x v="0"/>
          </reference>
          <reference field="2" count="1" selected="0">
            <x v="5"/>
          </reference>
        </references>
      </pivotArea>
    </chartFormat>
    <chartFormat chart="11" format="27" series="1">
      <pivotArea type="data" outline="0" fieldPosition="0">
        <references count="1">
          <reference field="4294967294" count="1" selected="0">
            <x v="0"/>
          </reference>
        </references>
      </pivotArea>
    </chartFormat>
    <chartFormat chart="11" format="28">
      <pivotArea type="data" outline="0" fieldPosition="0">
        <references count="2">
          <reference field="4294967294" count="1" selected="0">
            <x v="0"/>
          </reference>
          <reference field="2" count="1" selected="0">
            <x v="0"/>
          </reference>
        </references>
      </pivotArea>
    </chartFormat>
    <chartFormat chart="11" format="29">
      <pivotArea type="data" outline="0" fieldPosition="0">
        <references count="2">
          <reference field="4294967294" count="1" selected="0">
            <x v="0"/>
          </reference>
          <reference field="2" count="1" selected="0">
            <x v="3"/>
          </reference>
        </references>
      </pivotArea>
    </chartFormat>
    <chartFormat chart="11" format="33">
      <pivotArea type="data" outline="0" fieldPosition="0">
        <references count="2">
          <reference field="4294967294" count="1" selected="0">
            <x v="0"/>
          </reference>
          <reference field="2" count="1" selected="0">
            <x v="4"/>
          </reference>
        </references>
      </pivotArea>
    </chartFormat>
    <chartFormat chart="11" format="34">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1">
          <reference field="4294967294" count="1" selected="0">
            <x v="0"/>
          </reference>
        </references>
      </pivotArea>
    </chartFormat>
    <chartFormat chart="12" format="37">
      <pivotArea type="data" outline="0" fieldPosition="0">
        <references count="2">
          <reference field="4294967294" count="1" selected="0">
            <x v="0"/>
          </reference>
          <reference field="2" count="1" selected="0">
            <x v="0"/>
          </reference>
        </references>
      </pivotArea>
    </chartFormat>
    <chartFormat chart="12" format="38">
      <pivotArea type="data" outline="0" fieldPosition="0">
        <references count="2">
          <reference field="4294967294" count="1" selected="0">
            <x v="0"/>
          </reference>
          <reference field="2" count="1" selected="0">
            <x v="3"/>
          </reference>
        </references>
      </pivotArea>
    </chartFormat>
    <chartFormat chart="12" format="42">
      <pivotArea type="data" outline="0" fieldPosition="0">
        <references count="2">
          <reference field="4294967294" count="1" selected="0">
            <x v="0"/>
          </reference>
          <reference field="2" count="1" selected="0">
            <x v="4"/>
          </reference>
        </references>
      </pivotArea>
    </chartFormat>
    <chartFormat chart="12" format="43">
      <pivotArea type="data" outline="0" fieldPosition="0">
        <references count="2">
          <reference field="4294967294" count="1" selected="0">
            <x v="0"/>
          </reference>
          <reference field="2" count="1" selected="0">
            <x v="5"/>
          </reference>
        </references>
      </pivotArea>
    </chartFormat>
    <chartFormat chart="14" format="36" series="1">
      <pivotArea type="data" outline="0" fieldPosition="0">
        <references count="1">
          <reference field="4294967294" count="1" selected="0">
            <x v="0"/>
          </reference>
        </references>
      </pivotArea>
    </chartFormat>
    <chartFormat chart="14" format="37">
      <pivotArea type="data" outline="0" fieldPosition="0">
        <references count="2">
          <reference field="4294967294" count="1" selected="0">
            <x v="0"/>
          </reference>
          <reference field="2" count="1" selected="0">
            <x v="0"/>
          </reference>
        </references>
      </pivotArea>
    </chartFormat>
    <chartFormat chart="14" format="38">
      <pivotArea type="data" outline="0" fieldPosition="0">
        <references count="2">
          <reference field="4294967294" count="1" selected="0">
            <x v="0"/>
          </reference>
          <reference field="2" count="1" selected="0">
            <x v="3"/>
          </reference>
        </references>
      </pivotArea>
    </chartFormat>
    <chartFormat chart="14" format="42">
      <pivotArea type="data" outline="0" fieldPosition="0">
        <references count="2">
          <reference field="4294967294" count="1" selected="0">
            <x v="0"/>
          </reference>
          <reference field="2" count="1" selected="0">
            <x v="4"/>
          </reference>
        </references>
      </pivotArea>
    </chartFormat>
    <chartFormat chart="14" format="43">
      <pivotArea type="data" outline="0" fieldPosition="0">
        <references count="2">
          <reference field="4294967294" count="1" selected="0">
            <x v="0"/>
          </reference>
          <reference field="2" count="1" selected="0">
            <x v="5"/>
          </reference>
        </references>
      </pivotArea>
    </chartFormat>
    <chartFormat chart="2" format="29">
      <pivotArea type="data" outline="0" fieldPosition="0">
        <references count="2">
          <reference field="4294967294" count="1" selected="0">
            <x v="0"/>
          </reference>
          <reference field="2" count="1" selected="0">
            <x v="6"/>
          </reference>
        </references>
      </pivotArea>
    </chartFormat>
    <chartFormat chart="2" format="30">
      <pivotArea type="data" outline="0" fieldPosition="0">
        <references count="2">
          <reference field="4294967294" count="1" selected="0">
            <x v="0"/>
          </reference>
          <reference field="2" count="1" selected="0">
            <x v="7"/>
          </reference>
        </references>
      </pivotArea>
    </chartFormat>
    <chartFormat chart="14" format="47">
      <pivotArea type="data" outline="0" fieldPosition="0">
        <references count="2">
          <reference field="4294967294" count="1" selected="0">
            <x v="0"/>
          </reference>
          <reference field="2" count="1" selected="0">
            <x v="6"/>
          </reference>
        </references>
      </pivotArea>
    </chartFormat>
    <chartFormat chart="14" format="48">
      <pivotArea type="data" outline="0" fieldPosition="0">
        <references count="2">
          <reference field="4294967294" count="1" selected="0">
            <x v="0"/>
          </reference>
          <reference field="2" count="1" selected="0">
            <x v="7"/>
          </reference>
        </references>
      </pivotArea>
    </chartFormat>
    <chartFormat chart="14" format="49">
      <pivotArea type="data" outline="0" fieldPosition="0">
        <references count="2">
          <reference field="4294967294" count="1" selected="0">
            <x v="0"/>
          </reference>
          <reference field="2" count="1" selected="0">
            <x v="8"/>
          </reference>
        </references>
      </pivotArea>
    </chartFormat>
    <chartFormat chart="2" format="31">
      <pivotArea type="data" outline="0" fieldPosition="0">
        <references count="2">
          <reference field="4294967294" count="1" selected="0">
            <x v="0"/>
          </reference>
          <reference field="2" count="1" selected="0">
            <x v="8"/>
          </reference>
        </references>
      </pivotArea>
    </chartFormat>
    <chartFormat chart="14" format="50">
      <pivotArea type="data" outline="0" fieldPosition="0">
        <references count="2">
          <reference field="4294967294" count="1" selected="0">
            <x v="0"/>
          </reference>
          <reference field="2" count="1" selected="0">
            <x v="9"/>
          </reference>
        </references>
      </pivotArea>
    </chartFormat>
    <chartFormat chart="2" format="32">
      <pivotArea type="data" outline="0" fieldPosition="0">
        <references count="2">
          <reference field="4294967294" count="1" selected="0">
            <x v="0"/>
          </reference>
          <reference field="2" count="1" selected="0">
            <x v="9"/>
          </reference>
        </references>
      </pivotArea>
    </chartFormat>
    <chartFormat chart="2" format="33">
      <pivotArea type="data" outline="0" fieldPosition="0">
        <references count="2">
          <reference field="4294967294" count="1" selected="0">
            <x v="0"/>
          </reference>
          <reference field="2" count="1" selected="0">
            <x v="10"/>
          </reference>
        </references>
      </pivotArea>
    </chartFormat>
    <chartFormat chart="2" format="34">
      <pivotArea type="data" outline="0" fieldPosition="0">
        <references count="2">
          <reference field="4294967294" count="1" selected="0">
            <x v="0"/>
          </reference>
          <reference field="2" count="1" selected="0">
            <x v="11"/>
          </reference>
        </references>
      </pivotArea>
    </chartFormat>
    <chartFormat chart="14" format="51">
      <pivotArea type="data" outline="0" fieldPosition="0">
        <references count="2">
          <reference field="4294967294" count="1" selected="0">
            <x v="0"/>
          </reference>
          <reference field="2" count="1" selected="0">
            <x v="11"/>
          </reference>
        </references>
      </pivotArea>
    </chartFormat>
    <chartFormat chart="15" format="52" series="1">
      <pivotArea type="data" outline="0" fieldPosition="0">
        <references count="1">
          <reference field="4294967294" count="1" selected="0">
            <x v="0"/>
          </reference>
        </references>
      </pivotArea>
    </chartFormat>
    <chartFormat chart="15" format="53">
      <pivotArea type="data" outline="0" fieldPosition="0">
        <references count="2">
          <reference field="4294967294" count="1" selected="0">
            <x v="0"/>
          </reference>
          <reference field="2" count="1" selected="0">
            <x v="0"/>
          </reference>
        </references>
      </pivotArea>
    </chartFormat>
    <chartFormat chart="15" format="54">
      <pivotArea type="data" outline="0" fieldPosition="0">
        <references count="2">
          <reference field="4294967294" count="1" selected="0">
            <x v="0"/>
          </reference>
          <reference field="2" count="1" selected="0">
            <x v="3"/>
          </reference>
        </references>
      </pivotArea>
    </chartFormat>
    <chartFormat chart="15" format="55">
      <pivotArea type="data" outline="0" fieldPosition="0">
        <references count="2">
          <reference field="4294967294" count="1" selected="0">
            <x v="0"/>
          </reference>
          <reference field="2" count="1" selected="0">
            <x v="4"/>
          </reference>
        </references>
      </pivotArea>
    </chartFormat>
    <chartFormat chart="15" format="56">
      <pivotArea type="data" outline="0" fieldPosition="0">
        <references count="2">
          <reference field="4294967294" count="1" selected="0">
            <x v="0"/>
          </reference>
          <reference field="2" count="1" selected="0">
            <x v="5"/>
          </reference>
        </references>
      </pivotArea>
    </chartFormat>
    <chartFormat chart="15" format="57">
      <pivotArea type="data" outline="0" fieldPosition="0">
        <references count="2">
          <reference field="4294967294" count="1" selected="0">
            <x v="0"/>
          </reference>
          <reference field="2" count="1" selected="0">
            <x v="6"/>
          </reference>
        </references>
      </pivotArea>
    </chartFormat>
    <chartFormat chart="15" format="58">
      <pivotArea type="data" outline="0" fieldPosition="0">
        <references count="2">
          <reference field="4294967294" count="1" selected="0">
            <x v="0"/>
          </reference>
          <reference field="2" count="1" selected="0">
            <x v="7"/>
          </reference>
        </references>
      </pivotArea>
    </chartFormat>
    <chartFormat chart="15" format="59">
      <pivotArea type="data" outline="0" fieldPosition="0">
        <references count="2">
          <reference field="4294967294" count="1" selected="0">
            <x v="0"/>
          </reference>
          <reference field="2" count="1" selected="0">
            <x v="8"/>
          </reference>
        </references>
      </pivotArea>
    </chartFormat>
    <chartFormat chart="15" format="60">
      <pivotArea type="data" outline="0" fieldPosition="0">
        <references count="2">
          <reference field="4294967294" count="1" selected="0">
            <x v="0"/>
          </reference>
          <reference field="2" count="1" selected="0">
            <x v="9"/>
          </reference>
        </references>
      </pivotArea>
    </chartFormat>
    <chartFormat chart="15" format="61">
      <pivotArea type="data" outline="0" fieldPosition="0">
        <references count="2">
          <reference field="4294967294" count="1" selected="0">
            <x v="0"/>
          </reference>
          <reference field="2" count="1" selected="0">
            <x v="11"/>
          </reference>
        </references>
      </pivotArea>
    </chartFormat>
    <chartFormat chart="16" format="62" series="1">
      <pivotArea type="data" outline="0" fieldPosition="0">
        <references count="1">
          <reference field="4294967294" count="1" selected="0">
            <x v="0"/>
          </reference>
        </references>
      </pivotArea>
    </chartFormat>
    <chartFormat chart="16" format="63">
      <pivotArea type="data" outline="0" fieldPosition="0">
        <references count="2">
          <reference field="4294967294" count="1" selected="0">
            <x v="0"/>
          </reference>
          <reference field="2" count="1" selected="0">
            <x v="0"/>
          </reference>
        </references>
      </pivotArea>
    </chartFormat>
    <chartFormat chart="16" format="64">
      <pivotArea type="data" outline="0" fieldPosition="0">
        <references count="2">
          <reference field="4294967294" count="1" selected="0">
            <x v="0"/>
          </reference>
          <reference field="2" count="1" selected="0">
            <x v="3"/>
          </reference>
        </references>
      </pivotArea>
    </chartFormat>
    <chartFormat chart="16" format="65">
      <pivotArea type="data" outline="0" fieldPosition="0">
        <references count="2">
          <reference field="4294967294" count="1" selected="0">
            <x v="0"/>
          </reference>
          <reference field="2" count="1" selected="0">
            <x v="4"/>
          </reference>
        </references>
      </pivotArea>
    </chartFormat>
    <chartFormat chart="16" format="66">
      <pivotArea type="data" outline="0" fieldPosition="0">
        <references count="2">
          <reference field="4294967294" count="1" selected="0">
            <x v="0"/>
          </reference>
          <reference field="2" count="1" selected="0">
            <x v="5"/>
          </reference>
        </references>
      </pivotArea>
    </chartFormat>
    <chartFormat chart="16" format="67">
      <pivotArea type="data" outline="0" fieldPosition="0">
        <references count="2">
          <reference field="4294967294" count="1" selected="0">
            <x v="0"/>
          </reference>
          <reference field="2" count="1" selected="0">
            <x v="6"/>
          </reference>
        </references>
      </pivotArea>
    </chartFormat>
    <chartFormat chart="16" format="68">
      <pivotArea type="data" outline="0" fieldPosition="0">
        <references count="2">
          <reference field="4294967294" count="1" selected="0">
            <x v="0"/>
          </reference>
          <reference field="2" count="1" selected="0">
            <x v="7"/>
          </reference>
        </references>
      </pivotArea>
    </chartFormat>
    <chartFormat chart="16" format="69">
      <pivotArea type="data" outline="0" fieldPosition="0">
        <references count="2">
          <reference field="4294967294" count="1" selected="0">
            <x v="0"/>
          </reference>
          <reference field="2" count="1" selected="0">
            <x v="8"/>
          </reference>
        </references>
      </pivotArea>
    </chartFormat>
    <chartFormat chart="16" format="70">
      <pivotArea type="data" outline="0" fieldPosition="0">
        <references count="2">
          <reference field="4294967294" count="1" selected="0">
            <x v="0"/>
          </reference>
          <reference field="2" count="1" selected="0">
            <x v="9"/>
          </reference>
        </references>
      </pivotArea>
    </chartFormat>
    <chartFormat chart="16" format="71">
      <pivotArea type="data" outline="0" fieldPosition="0">
        <references count="2">
          <reference field="4294967294" count="1" selected="0">
            <x v="0"/>
          </reference>
          <reference field="2" count="1" selected="0">
            <x v="11"/>
          </reference>
        </references>
      </pivotArea>
    </chartFormat>
    <chartFormat chart="17" format="72" series="1">
      <pivotArea type="data" outline="0" fieldPosition="0">
        <references count="1">
          <reference field="4294967294" count="1" selected="0">
            <x v="0"/>
          </reference>
        </references>
      </pivotArea>
    </chartFormat>
    <chartFormat chart="17" format="73">
      <pivotArea type="data" outline="0" fieldPosition="0">
        <references count="2">
          <reference field="4294967294" count="1" selected="0">
            <x v="0"/>
          </reference>
          <reference field="2" count="1" selected="0">
            <x v="0"/>
          </reference>
        </references>
      </pivotArea>
    </chartFormat>
    <chartFormat chart="17" format="74">
      <pivotArea type="data" outline="0" fieldPosition="0">
        <references count="2">
          <reference field="4294967294" count="1" selected="0">
            <x v="0"/>
          </reference>
          <reference field="2" count="1" selected="0">
            <x v="3"/>
          </reference>
        </references>
      </pivotArea>
    </chartFormat>
    <chartFormat chart="17" format="75">
      <pivotArea type="data" outline="0" fieldPosition="0">
        <references count="2">
          <reference field="4294967294" count="1" selected="0">
            <x v="0"/>
          </reference>
          <reference field="2" count="1" selected="0">
            <x v="4"/>
          </reference>
        </references>
      </pivotArea>
    </chartFormat>
    <chartFormat chart="17" format="76">
      <pivotArea type="data" outline="0" fieldPosition="0">
        <references count="2">
          <reference field="4294967294" count="1" selected="0">
            <x v="0"/>
          </reference>
          <reference field="2" count="1" selected="0">
            <x v="5"/>
          </reference>
        </references>
      </pivotArea>
    </chartFormat>
    <chartFormat chart="17" format="77">
      <pivotArea type="data" outline="0" fieldPosition="0">
        <references count="2">
          <reference field="4294967294" count="1" selected="0">
            <x v="0"/>
          </reference>
          <reference field="2" count="1" selected="0">
            <x v="6"/>
          </reference>
        </references>
      </pivotArea>
    </chartFormat>
    <chartFormat chart="17" format="78">
      <pivotArea type="data" outline="0" fieldPosition="0">
        <references count="2">
          <reference field="4294967294" count="1" selected="0">
            <x v="0"/>
          </reference>
          <reference field="2" count="1" selected="0">
            <x v="7"/>
          </reference>
        </references>
      </pivotArea>
    </chartFormat>
    <chartFormat chart="17" format="79">
      <pivotArea type="data" outline="0" fieldPosition="0">
        <references count="2">
          <reference field="4294967294" count="1" selected="0">
            <x v="0"/>
          </reference>
          <reference field="2" count="1" selected="0">
            <x v="8"/>
          </reference>
        </references>
      </pivotArea>
    </chartFormat>
    <chartFormat chart="17" format="80">
      <pivotArea type="data" outline="0" fieldPosition="0">
        <references count="2">
          <reference field="4294967294" count="1" selected="0">
            <x v="0"/>
          </reference>
          <reference field="2" count="1" selected="0">
            <x v="9"/>
          </reference>
        </references>
      </pivotArea>
    </chartFormat>
    <chartFormat chart="17" format="81">
      <pivotArea type="data" outline="0" fieldPosition="0">
        <references count="2">
          <reference field="4294967294" count="1" selected="0">
            <x v="0"/>
          </reference>
          <reference field="2" count="1" selected="0">
            <x v="11"/>
          </reference>
        </references>
      </pivotArea>
    </chartFormat>
    <chartFormat chart="18" format="82" series="1">
      <pivotArea type="data" outline="0" fieldPosition="0">
        <references count="1">
          <reference field="4294967294" count="1" selected="0">
            <x v="0"/>
          </reference>
        </references>
      </pivotArea>
    </chartFormat>
    <chartFormat chart="18" format="83">
      <pivotArea type="data" outline="0" fieldPosition="0">
        <references count="2">
          <reference field="4294967294" count="1" selected="0">
            <x v="0"/>
          </reference>
          <reference field="2" count="1" selected="0">
            <x v="0"/>
          </reference>
        </references>
      </pivotArea>
    </chartFormat>
    <chartFormat chart="18" format="84">
      <pivotArea type="data" outline="0" fieldPosition="0">
        <references count="2">
          <reference field="4294967294" count="1" selected="0">
            <x v="0"/>
          </reference>
          <reference field="2" count="1" selected="0">
            <x v="3"/>
          </reference>
        </references>
      </pivotArea>
    </chartFormat>
    <chartFormat chart="18" format="85">
      <pivotArea type="data" outline="0" fieldPosition="0">
        <references count="2">
          <reference field="4294967294" count="1" selected="0">
            <x v="0"/>
          </reference>
          <reference field="2" count="1" selected="0">
            <x v="4"/>
          </reference>
        </references>
      </pivotArea>
    </chartFormat>
    <chartFormat chart="18" format="86">
      <pivotArea type="data" outline="0" fieldPosition="0">
        <references count="2">
          <reference field="4294967294" count="1" selected="0">
            <x v="0"/>
          </reference>
          <reference field="2" count="1" selected="0">
            <x v="5"/>
          </reference>
        </references>
      </pivotArea>
    </chartFormat>
    <chartFormat chart="18" format="87">
      <pivotArea type="data" outline="0" fieldPosition="0">
        <references count="2">
          <reference field="4294967294" count="1" selected="0">
            <x v="0"/>
          </reference>
          <reference field="2" count="1" selected="0">
            <x v="6"/>
          </reference>
        </references>
      </pivotArea>
    </chartFormat>
    <chartFormat chart="18" format="88">
      <pivotArea type="data" outline="0" fieldPosition="0">
        <references count="2">
          <reference field="4294967294" count="1" selected="0">
            <x v="0"/>
          </reference>
          <reference field="2" count="1" selected="0">
            <x v="7"/>
          </reference>
        </references>
      </pivotArea>
    </chartFormat>
    <chartFormat chart="18" format="89">
      <pivotArea type="data" outline="0" fieldPosition="0">
        <references count="2">
          <reference field="4294967294" count="1" selected="0">
            <x v="0"/>
          </reference>
          <reference field="2" count="1" selected="0">
            <x v="8"/>
          </reference>
        </references>
      </pivotArea>
    </chartFormat>
    <chartFormat chart="18" format="90">
      <pivotArea type="data" outline="0" fieldPosition="0">
        <references count="2">
          <reference field="4294967294" count="1" selected="0">
            <x v="0"/>
          </reference>
          <reference field="2" count="1" selected="0">
            <x v="9"/>
          </reference>
        </references>
      </pivotArea>
    </chartFormat>
    <chartFormat chart="18" format="91">
      <pivotArea type="data" outline="0" fieldPosition="0">
        <references count="2">
          <reference field="4294967294" count="1" selected="0">
            <x v="0"/>
          </reference>
          <reference field="2" count="1" selected="0">
            <x v="11"/>
          </reference>
        </references>
      </pivotArea>
    </chartFormat>
    <chartFormat chart="19" format="35" series="1">
      <pivotArea type="data" outline="0" fieldPosition="0">
        <references count="1">
          <reference field="4294967294" count="1" selected="0">
            <x v="0"/>
          </reference>
        </references>
      </pivotArea>
    </chartFormat>
    <chartFormat chart="19" format="36">
      <pivotArea type="data" outline="0" fieldPosition="0">
        <references count="2">
          <reference field="4294967294" count="1" selected="0">
            <x v="0"/>
          </reference>
          <reference field="2" count="1" selected="0">
            <x v="0"/>
          </reference>
        </references>
      </pivotArea>
    </chartFormat>
    <chartFormat chart="19" format="37">
      <pivotArea type="data" outline="0" fieldPosition="0">
        <references count="2">
          <reference field="4294967294" count="1" selected="0">
            <x v="0"/>
          </reference>
          <reference field="2" count="1" selected="0">
            <x v="3"/>
          </reference>
        </references>
      </pivotArea>
    </chartFormat>
    <chartFormat chart="19" format="38">
      <pivotArea type="data" outline="0" fieldPosition="0">
        <references count="2">
          <reference field="4294967294" count="1" selected="0">
            <x v="0"/>
          </reference>
          <reference field="2" count="1" selected="0">
            <x v="4"/>
          </reference>
        </references>
      </pivotArea>
    </chartFormat>
    <chartFormat chart="19" format="39">
      <pivotArea type="data" outline="0" fieldPosition="0">
        <references count="2">
          <reference field="4294967294" count="1" selected="0">
            <x v="0"/>
          </reference>
          <reference field="2" count="1" selected="0">
            <x v="5"/>
          </reference>
        </references>
      </pivotArea>
    </chartFormat>
    <chartFormat chart="19" format="40">
      <pivotArea type="data" outline="0" fieldPosition="0">
        <references count="2">
          <reference field="4294967294" count="1" selected="0">
            <x v="0"/>
          </reference>
          <reference field="2" count="1" selected="0">
            <x v="6"/>
          </reference>
        </references>
      </pivotArea>
    </chartFormat>
    <chartFormat chart="19" format="41">
      <pivotArea type="data" outline="0" fieldPosition="0">
        <references count="2">
          <reference field="4294967294" count="1" selected="0">
            <x v="0"/>
          </reference>
          <reference field="2" count="1" selected="0">
            <x v="7"/>
          </reference>
        </references>
      </pivotArea>
    </chartFormat>
    <chartFormat chart="19" format="42">
      <pivotArea type="data" outline="0" fieldPosition="0">
        <references count="2">
          <reference field="4294967294" count="1" selected="0">
            <x v="0"/>
          </reference>
          <reference field="2" count="1" selected="0">
            <x v="8"/>
          </reference>
        </references>
      </pivotArea>
    </chartFormat>
    <chartFormat chart="19" format="43">
      <pivotArea type="data" outline="0" fieldPosition="0">
        <references count="2">
          <reference field="4294967294" count="1" selected="0">
            <x v="0"/>
          </reference>
          <reference field="2" count="1" selected="0">
            <x v="9"/>
          </reference>
        </references>
      </pivotArea>
    </chartFormat>
    <chartFormat chart="19" format="44">
      <pivotArea type="data" outline="0" fieldPosition="0">
        <references count="2">
          <reference field="4294967294" count="1" selected="0">
            <x v="0"/>
          </reference>
          <reference field="2" count="1" selected="0">
            <x v="11"/>
          </reference>
        </references>
      </pivotArea>
    </chartFormat>
    <chartFormat chart="20" format="45" series="1">
      <pivotArea type="data" outline="0" fieldPosition="0">
        <references count="1">
          <reference field="4294967294" count="1" selected="0">
            <x v="0"/>
          </reference>
        </references>
      </pivotArea>
    </chartFormat>
    <chartFormat chart="20" format="46">
      <pivotArea type="data" outline="0" fieldPosition="0">
        <references count="2">
          <reference field="4294967294" count="1" selected="0">
            <x v="0"/>
          </reference>
          <reference field="2" count="1" selected="0">
            <x v="0"/>
          </reference>
        </references>
      </pivotArea>
    </chartFormat>
    <chartFormat chart="20" format="47">
      <pivotArea type="data" outline="0" fieldPosition="0">
        <references count="2">
          <reference field="4294967294" count="1" selected="0">
            <x v="0"/>
          </reference>
          <reference field="2" count="1" selected="0">
            <x v="3"/>
          </reference>
        </references>
      </pivotArea>
    </chartFormat>
    <chartFormat chart="20" format="48">
      <pivotArea type="data" outline="0" fieldPosition="0">
        <references count="2">
          <reference field="4294967294" count="1" selected="0">
            <x v="0"/>
          </reference>
          <reference field="2" count="1" selected="0">
            <x v="4"/>
          </reference>
        </references>
      </pivotArea>
    </chartFormat>
    <chartFormat chart="20" format="49">
      <pivotArea type="data" outline="0" fieldPosition="0">
        <references count="2">
          <reference field="4294967294" count="1" selected="0">
            <x v="0"/>
          </reference>
          <reference field="2" count="1" selected="0">
            <x v="5"/>
          </reference>
        </references>
      </pivotArea>
    </chartFormat>
    <chartFormat chart="20" format="50">
      <pivotArea type="data" outline="0" fieldPosition="0">
        <references count="2">
          <reference field="4294967294" count="1" selected="0">
            <x v="0"/>
          </reference>
          <reference field="2" count="1" selected="0">
            <x v="6"/>
          </reference>
        </references>
      </pivotArea>
    </chartFormat>
    <chartFormat chart="20" format="51">
      <pivotArea type="data" outline="0" fieldPosition="0">
        <references count="2">
          <reference field="4294967294" count="1" selected="0">
            <x v="0"/>
          </reference>
          <reference field="2" count="1" selected="0">
            <x v="7"/>
          </reference>
        </references>
      </pivotArea>
    </chartFormat>
    <chartFormat chart="20" format="52">
      <pivotArea type="data" outline="0" fieldPosition="0">
        <references count="2">
          <reference field="4294967294" count="1" selected="0">
            <x v="0"/>
          </reference>
          <reference field="2" count="1" selected="0">
            <x v="8"/>
          </reference>
        </references>
      </pivotArea>
    </chartFormat>
    <chartFormat chart="20" format="53">
      <pivotArea type="data" outline="0" fieldPosition="0">
        <references count="2">
          <reference field="4294967294" count="1" selected="0">
            <x v="0"/>
          </reference>
          <reference field="2" count="1" selected="0">
            <x v="9"/>
          </reference>
        </references>
      </pivotArea>
    </chartFormat>
    <chartFormat chart="20" format="54">
      <pivotArea type="data" outline="0" fieldPosition="0">
        <references count="2">
          <reference field="4294967294" count="1" selected="0">
            <x v="0"/>
          </reference>
          <reference field="2" count="1" selected="0">
            <x v="11"/>
          </reference>
        </references>
      </pivotArea>
    </chartFormat>
    <chartFormat chart="21" format="55" series="1">
      <pivotArea type="data" outline="0" fieldPosition="0">
        <references count="1">
          <reference field="4294967294" count="1" selected="0">
            <x v="0"/>
          </reference>
        </references>
      </pivotArea>
    </chartFormat>
    <chartFormat chart="21" format="56">
      <pivotArea type="data" outline="0" fieldPosition="0">
        <references count="2">
          <reference field="4294967294" count="1" selected="0">
            <x v="0"/>
          </reference>
          <reference field="2" count="1" selected="0">
            <x v="0"/>
          </reference>
        </references>
      </pivotArea>
    </chartFormat>
    <chartFormat chart="21" format="57">
      <pivotArea type="data" outline="0" fieldPosition="0">
        <references count="2">
          <reference field="4294967294" count="1" selected="0">
            <x v="0"/>
          </reference>
          <reference field="2" count="1" selected="0">
            <x v="3"/>
          </reference>
        </references>
      </pivotArea>
    </chartFormat>
    <chartFormat chart="21" format="58">
      <pivotArea type="data" outline="0" fieldPosition="0">
        <references count="2">
          <reference field="4294967294" count="1" selected="0">
            <x v="0"/>
          </reference>
          <reference field="2" count="1" selected="0">
            <x v="4"/>
          </reference>
        </references>
      </pivotArea>
    </chartFormat>
    <chartFormat chart="21" format="59">
      <pivotArea type="data" outline="0" fieldPosition="0">
        <references count="2">
          <reference field="4294967294" count="1" selected="0">
            <x v="0"/>
          </reference>
          <reference field="2" count="1" selected="0">
            <x v="5"/>
          </reference>
        </references>
      </pivotArea>
    </chartFormat>
    <chartFormat chart="21" format="60">
      <pivotArea type="data" outline="0" fieldPosition="0">
        <references count="2">
          <reference field="4294967294" count="1" selected="0">
            <x v="0"/>
          </reference>
          <reference field="2" count="1" selected="0">
            <x v="6"/>
          </reference>
        </references>
      </pivotArea>
    </chartFormat>
    <chartFormat chart="21" format="61">
      <pivotArea type="data" outline="0" fieldPosition="0">
        <references count="2">
          <reference field="4294967294" count="1" selected="0">
            <x v="0"/>
          </reference>
          <reference field="2" count="1" selected="0">
            <x v="7"/>
          </reference>
        </references>
      </pivotArea>
    </chartFormat>
    <chartFormat chart="21" format="62">
      <pivotArea type="data" outline="0" fieldPosition="0">
        <references count="2">
          <reference field="4294967294" count="1" selected="0">
            <x v="0"/>
          </reference>
          <reference field="2" count="1" selected="0">
            <x v="8"/>
          </reference>
        </references>
      </pivotArea>
    </chartFormat>
    <chartFormat chart="21" format="63">
      <pivotArea type="data" outline="0" fieldPosition="0">
        <references count="2">
          <reference field="4294967294" count="1" selected="0">
            <x v="0"/>
          </reference>
          <reference field="2" count="1" selected="0">
            <x v="9"/>
          </reference>
        </references>
      </pivotArea>
    </chartFormat>
    <chartFormat chart="21" format="64">
      <pivotArea type="data" outline="0" fieldPosition="0">
        <references count="2">
          <reference field="4294967294" count="1" selected="0">
            <x v="0"/>
          </reference>
          <reference field="2" count="1" selected="0">
            <x v="11"/>
          </reference>
        </references>
      </pivotArea>
    </chartFormat>
    <chartFormat chart="22" format="65" series="1">
      <pivotArea type="data" outline="0" fieldPosition="0">
        <references count="1">
          <reference field="4294967294" count="1" selected="0">
            <x v="0"/>
          </reference>
        </references>
      </pivotArea>
    </chartFormat>
    <chartFormat chart="22" format="66">
      <pivotArea type="data" outline="0" fieldPosition="0">
        <references count="2">
          <reference field="4294967294" count="1" selected="0">
            <x v="0"/>
          </reference>
          <reference field="2" count="1" selected="0">
            <x v="0"/>
          </reference>
        </references>
      </pivotArea>
    </chartFormat>
    <chartFormat chart="22" format="67">
      <pivotArea type="data" outline="0" fieldPosition="0">
        <references count="2">
          <reference field="4294967294" count="1" selected="0">
            <x v="0"/>
          </reference>
          <reference field="2" count="1" selected="0">
            <x v="3"/>
          </reference>
        </references>
      </pivotArea>
    </chartFormat>
    <chartFormat chart="22" format="68">
      <pivotArea type="data" outline="0" fieldPosition="0">
        <references count="2">
          <reference field="4294967294" count="1" selected="0">
            <x v="0"/>
          </reference>
          <reference field="2" count="1" selected="0">
            <x v="4"/>
          </reference>
        </references>
      </pivotArea>
    </chartFormat>
    <chartFormat chart="22" format="69">
      <pivotArea type="data" outline="0" fieldPosition="0">
        <references count="2">
          <reference field="4294967294" count="1" selected="0">
            <x v="0"/>
          </reference>
          <reference field="2" count="1" selected="0">
            <x v="5"/>
          </reference>
        </references>
      </pivotArea>
    </chartFormat>
    <chartFormat chart="22" format="70">
      <pivotArea type="data" outline="0" fieldPosition="0">
        <references count="2">
          <reference field="4294967294" count="1" selected="0">
            <x v="0"/>
          </reference>
          <reference field="2" count="1" selected="0">
            <x v="6"/>
          </reference>
        </references>
      </pivotArea>
    </chartFormat>
    <chartFormat chart="22" format="71">
      <pivotArea type="data" outline="0" fieldPosition="0">
        <references count="2">
          <reference field="4294967294" count="1" selected="0">
            <x v="0"/>
          </reference>
          <reference field="2" count="1" selected="0">
            <x v="7"/>
          </reference>
        </references>
      </pivotArea>
    </chartFormat>
    <chartFormat chart="22" format="72">
      <pivotArea type="data" outline="0" fieldPosition="0">
        <references count="2">
          <reference field="4294967294" count="1" selected="0">
            <x v="0"/>
          </reference>
          <reference field="2" count="1" selected="0">
            <x v="8"/>
          </reference>
        </references>
      </pivotArea>
    </chartFormat>
    <chartFormat chart="22" format="73">
      <pivotArea type="data" outline="0" fieldPosition="0">
        <references count="2">
          <reference field="4294967294" count="1" selected="0">
            <x v="0"/>
          </reference>
          <reference field="2" count="1" selected="0">
            <x v="9"/>
          </reference>
        </references>
      </pivotArea>
    </chartFormat>
    <chartFormat chart="22" format="74">
      <pivotArea type="data" outline="0" fieldPosition="0">
        <references count="2">
          <reference field="4294967294" count="1" selected="0">
            <x v="0"/>
          </reference>
          <reference field="2" count="1" selected="0">
            <x v="11"/>
          </reference>
        </references>
      </pivotArea>
    </chartFormat>
    <chartFormat chart="2" format="35">
      <pivotArea type="data" outline="0" fieldPosition="0">
        <references count="2">
          <reference field="4294967294" count="1" selected="0">
            <x v="0"/>
          </reference>
          <reference field="2" count="1" selected="0">
            <x v="1"/>
          </reference>
        </references>
      </pivotArea>
    </chartFormat>
    <chartFormat chart="2" format="36">
      <pivotArea type="data" outline="0" fieldPosition="0">
        <references count="2">
          <reference field="4294967294" count="1" selected="0">
            <x v="0"/>
          </reference>
          <reference field="2" count="1" selected="0">
            <x v="2"/>
          </reference>
        </references>
      </pivotArea>
    </chartFormat>
    <chartFormat chart="14" format="52">
      <pivotArea type="data" outline="0" fieldPosition="0">
        <references count="2">
          <reference field="4294967294" count="1" selected="0">
            <x v="0"/>
          </reference>
          <reference field="2" count="1" selected="0">
            <x v="2"/>
          </reference>
        </references>
      </pivotArea>
    </chartFormat>
    <chartFormat chart="22" format="75">
      <pivotArea type="data" outline="0" fieldPosition="0">
        <references count="2">
          <reference field="4294967294" count="1" selected="0">
            <x v="0"/>
          </reference>
          <reference field="2" count="1" selected="0">
            <x v="2"/>
          </reference>
        </references>
      </pivotArea>
    </chartFormat>
    <chartFormat chart="18" format="92">
      <pivotArea type="data" outline="0" fieldPosition="0">
        <references count="2">
          <reference field="4294967294" count="1" selected="0">
            <x v="0"/>
          </reference>
          <reference field="2" count="1" selected="0">
            <x v="2"/>
          </reference>
        </references>
      </pivotArea>
    </chartFormat>
    <chartFormat chart="18" format="93">
      <pivotArea type="data" outline="0" fieldPosition="0">
        <references count="2">
          <reference field="4294967294" count="1" selected="0">
            <x v="0"/>
          </reference>
          <reference field="2" count="1" selected="0">
            <x v="1"/>
          </reference>
        </references>
      </pivotArea>
    </chartFormat>
    <chartFormat chart="22" format="7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B3CF5E2-D716-46E7-BB4E-83025E43FAD6}" name="PivotTable31" cacheId="132"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41">
  <location ref="V3:Z32" firstHeaderRow="1" firstDataRow="2" firstDataCol="2"/>
  <pivotFields count="41">
    <pivotField axis="axisRow" showAll="0">
      <items count="52">
        <item x="14"/>
        <item x="15"/>
        <item x="18"/>
        <item x="19"/>
        <item x="21"/>
        <item x="22"/>
        <item x="23"/>
        <item x="24"/>
        <item x="25"/>
        <item x="20"/>
        <item h="1" m="1" x="29"/>
        <item h="1" m="1" x="46"/>
        <item h="1" m="1" x="26"/>
        <item h="1" m="1" x="39"/>
        <item h="1" m="1" x="32"/>
        <item h="1" m="1" x="48"/>
        <item h="1" m="1" x="27"/>
        <item h="1" m="1" x="37"/>
        <item h="1" m="1" x="44"/>
        <item h="1" m="1" x="41"/>
        <item h="1" m="1" x="34"/>
        <item h="1" m="1" x="30"/>
        <item h="1" m="1" x="50"/>
        <item h="1" m="1" x="47"/>
        <item h="1" m="1" x="43"/>
        <item h="1" m="1" x="40"/>
        <item h="1" m="1" x="49"/>
        <item h="1" m="1" x="36"/>
        <item h="1" m="1" x="33"/>
        <item h="1" m="1" x="28"/>
        <item h="1" m="1" x="42"/>
        <item h="1" m="1" x="45"/>
        <item h="1" m="1" x="38"/>
        <item h="1" m="1" x="35"/>
        <item h="1" m="1" x="31"/>
        <item x="0"/>
        <item x="1"/>
        <item x="2"/>
        <item x="5"/>
        <item x="7"/>
        <item x="8"/>
        <item x="11"/>
        <item x="4"/>
        <item x="3"/>
        <item x="6"/>
        <item x="9"/>
        <item x="10"/>
        <item x="12"/>
        <item x="13"/>
        <item x="16"/>
        <item x="17"/>
        <item t="default"/>
      </items>
    </pivotField>
    <pivotField axis="axisRow" outline="0" showAll="0" defaultSubtotal="0">
      <items count="13">
        <item x="4"/>
        <item x="5"/>
        <item x="6"/>
        <item x="0"/>
        <item h="1" m="1" x="12"/>
        <item h="1" m="1" x="7"/>
        <item h="1" m="1" x="8"/>
        <item h="1" m="1" x="11"/>
        <item h="1" m="1" x="9"/>
        <item h="1" m="1" x="10"/>
        <item x="1"/>
        <item x="2"/>
        <item x="3"/>
      </items>
      <extLst>
        <ext xmlns:x14="http://schemas.microsoft.com/office/spreadsheetml/2009/9/main" uri="{2946ED86-A175-432a-8AC1-64E0C546D7DE}">
          <x14:pivotField fillDownLabels="1"/>
        </ext>
      </extLst>
    </pivotField>
    <pivotField showAll="0"/>
    <pivotField showAll="0"/>
    <pivotField showAll="0"/>
    <pivotField showAll="0"/>
    <pivotField showAll="0"/>
    <pivotField numFmtId="168" showAll="0"/>
    <pivotField numFmtId="168" showAll="0"/>
    <pivotField showAll="0"/>
    <pivotField axis="axisCol" dataField="1">
      <items count="4">
        <item x="0"/>
        <item x="1"/>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0"/>
  </rowFields>
  <rowItems count="28">
    <i>
      <x/>
      <x/>
    </i>
    <i r="1">
      <x v="1"/>
    </i>
    <i r="1">
      <x v="2"/>
    </i>
    <i r="1">
      <x v="3"/>
    </i>
    <i>
      <x v="1"/>
      <x v="4"/>
    </i>
    <i r="1">
      <x v="5"/>
    </i>
    <i r="1">
      <x v="6"/>
    </i>
    <i r="1">
      <x v="7"/>
    </i>
    <i r="1">
      <x v="9"/>
    </i>
    <i>
      <x v="2"/>
      <x v="7"/>
    </i>
    <i r="1">
      <x v="8"/>
    </i>
    <i>
      <x v="3"/>
      <x v="35"/>
    </i>
    <i r="1">
      <x v="36"/>
    </i>
    <i r="1">
      <x v="37"/>
    </i>
    <i r="1">
      <x v="43"/>
    </i>
    <i>
      <x v="10"/>
      <x v="38"/>
    </i>
    <i r="1">
      <x v="39"/>
    </i>
    <i r="1">
      <x v="42"/>
    </i>
    <i r="1">
      <x v="44"/>
    </i>
    <i>
      <x v="11"/>
      <x v="40"/>
    </i>
    <i r="1">
      <x v="41"/>
    </i>
    <i r="1">
      <x v="45"/>
    </i>
    <i r="1">
      <x v="46"/>
    </i>
    <i r="1">
      <x v="48"/>
    </i>
    <i>
      <x v="12"/>
      <x v="47"/>
    </i>
    <i r="1">
      <x v="48"/>
    </i>
    <i r="1">
      <x v="49"/>
    </i>
    <i r="1">
      <x v="50"/>
    </i>
  </rowItems>
  <colFields count="1">
    <field x="10"/>
  </colFields>
  <colItems count="3">
    <i>
      <x/>
    </i>
    <i>
      <x v="1"/>
    </i>
    <i>
      <x v="2"/>
    </i>
  </colItems>
  <dataFields count="1">
    <dataField name="Count of Status" fld="10" subtotal="count" baseField="0" baseItem="0"/>
  </dataFields>
  <chartFormats count="58">
    <chartFormat chart="2" format="4" series="1">
      <pivotArea type="data" outline="0" fieldPosition="0">
        <references count="2">
          <reference field="4294967294" count="1" selected="0">
            <x v="0"/>
          </reference>
          <reference field="10" count="1" selected="0">
            <x v="0"/>
          </reference>
        </references>
      </pivotArea>
    </chartFormat>
    <chartFormat chart="2" format="6" series="1">
      <pivotArea type="data" outline="0" fieldPosition="0">
        <references count="1">
          <reference field="4294967294" count="1" selected="0">
            <x v="0"/>
          </reference>
        </references>
      </pivotArea>
    </chartFormat>
    <chartFormat chart="3" format="7" series="1">
      <pivotArea type="data" outline="0" fieldPosition="0">
        <references count="2">
          <reference field="4294967294" count="1" selected="0">
            <x v="0"/>
          </reference>
          <reference field="10" count="1" selected="0">
            <x v="0"/>
          </reference>
        </references>
      </pivotArea>
    </chartFormat>
    <chartFormat chart="4" format="9" series="1">
      <pivotArea type="data" outline="0" fieldPosition="0">
        <references count="2">
          <reference field="4294967294" count="1" selected="0">
            <x v="0"/>
          </reference>
          <reference field="10" count="1" selected="0">
            <x v="0"/>
          </reference>
        </references>
      </pivotArea>
    </chartFormat>
    <chartFormat chart="5" format="7" series="1">
      <pivotArea type="data" outline="0" fieldPosition="0">
        <references count="2">
          <reference field="4294967294" count="1" selected="0">
            <x v="0"/>
          </reference>
          <reference field="10" count="1" selected="0">
            <x v="0"/>
          </reference>
        </references>
      </pivotArea>
    </chartFormat>
    <chartFormat chart="6" format="9" series="1">
      <pivotArea type="data" outline="0" fieldPosition="0">
        <references count="2">
          <reference field="4294967294" count="1" selected="0">
            <x v="0"/>
          </reference>
          <reference field="10" count="1" selected="0">
            <x v="0"/>
          </reference>
        </references>
      </pivotArea>
    </chartFormat>
    <chartFormat chart="7" format="7" series="1">
      <pivotArea type="data" outline="0" fieldPosition="0">
        <references count="2">
          <reference field="4294967294" count="1" selected="0">
            <x v="0"/>
          </reference>
          <reference field="10" count="1" selected="0">
            <x v="0"/>
          </reference>
        </references>
      </pivotArea>
    </chartFormat>
    <chartFormat chart="8" format="9" series="1">
      <pivotArea type="data" outline="0" fieldPosition="0">
        <references count="2">
          <reference field="4294967294" count="1" selected="0">
            <x v="0"/>
          </reference>
          <reference field="10" count="1" selected="0">
            <x v="0"/>
          </reference>
        </references>
      </pivotArea>
    </chartFormat>
    <chartFormat chart="11" format="7" series="1">
      <pivotArea type="data" outline="0" fieldPosition="0">
        <references count="2">
          <reference field="4294967294" count="1" selected="0">
            <x v="0"/>
          </reference>
          <reference field="10" count="1" selected="0">
            <x v="0"/>
          </reference>
        </references>
      </pivotArea>
    </chartFormat>
    <chartFormat chart="12" format="9" series="1">
      <pivotArea type="data" outline="0" fieldPosition="0">
        <references count="2">
          <reference field="4294967294" count="1" selected="0">
            <x v="0"/>
          </reference>
          <reference field="10" count="1" selected="0">
            <x v="0"/>
          </reference>
        </references>
      </pivotArea>
    </chartFormat>
    <chartFormat chart="13" format="7" series="1">
      <pivotArea type="data" outline="0" fieldPosition="0">
        <references count="2">
          <reference field="4294967294" count="1" selected="0">
            <x v="0"/>
          </reference>
          <reference field="10" count="1" selected="0">
            <x v="0"/>
          </reference>
        </references>
      </pivotArea>
    </chartFormat>
    <chartFormat chart="14" format="9" series="1">
      <pivotArea type="data" outline="0" fieldPosition="0">
        <references count="2">
          <reference field="4294967294" count="1" selected="0">
            <x v="0"/>
          </reference>
          <reference field="10" count="1" selected="0">
            <x v="0"/>
          </reference>
        </references>
      </pivotArea>
    </chartFormat>
    <chartFormat chart="15" format="7" series="1">
      <pivotArea type="data" outline="0" fieldPosition="0">
        <references count="2">
          <reference field="4294967294" count="1" selected="0">
            <x v="0"/>
          </reference>
          <reference field="10" count="1" selected="0">
            <x v="0"/>
          </reference>
        </references>
      </pivotArea>
    </chartFormat>
    <chartFormat chart="16" format="9" series="1">
      <pivotArea type="data" outline="0" fieldPosition="0">
        <references count="2">
          <reference field="4294967294" count="1" selected="0">
            <x v="0"/>
          </reference>
          <reference field="10" count="1" selected="0">
            <x v="0"/>
          </reference>
        </references>
      </pivotArea>
    </chartFormat>
    <chartFormat chart="17" format="7" series="1">
      <pivotArea type="data" outline="0" fieldPosition="0">
        <references count="2">
          <reference field="4294967294" count="1" selected="0">
            <x v="0"/>
          </reference>
          <reference field="10" count="1" selected="0">
            <x v="0"/>
          </reference>
        </references>
      </pivotArea>
    </chartFormat>
    <chartFormat chart="18" format="9" series="1">
      <pivotArea type="data" outline="0" fieldPosition="0">
        <references count="2">
          <reference field="4294967294" count="1" selected="0">
            <x v="0"/>
          </reference>
          <reference field="10" count="1" selected="0">
            <x v="0"/>
          </reference>
        </references>
      </pivotArea>
    </chartFormat>
    <chartFormat chart="19" format="7" series="1">
      <pivotArea type="data" outline="0" fieldPosition="0">
        <references count="2">
          <reference field="4294967294" count="1" selected="0">
            <x v="0"/>
          </reference>
          <reference field="10" count="1" selected="0">
            <x v="0"/>
          </reference>
        </references>
      </pivotArea>
    </chartFormat>
    <chartFormat chart="20" format="9" series="1">
      <pivotArea type="data" outline="0" fieldPosition="0">
        <references count="2">
          <reference field="4294967294" count="1" selected="0">
            <x v="0"/>
          </reference>
          <reference field="10" count="1" selected="0">
            <x v="0"/>
          </reference>
        </references>
      </pivotArea>
    </chartFormat>
    <chartFormat chart="2" format="7" series="1">
      <pivotArea type="data" outline="0" fieldPosition="0">
        <references count="2">
          <reference field="4294967294" count="1" selected="0">
            <x v="0"/>
          </reference>
          <reference field="10" count="1" selected="0">
            <x v="1"/>
          </reference>
        </references>
      </pivotArea>
    </chartFormat>
    <chartFormat chart="21" format="8" series="1">
      <pivotArea type="data" outline="0" fieldPosition="0">
        <references count="2">
          <reference field="4294967294" count="1" selected="0">
            <x v="0"/>
          </reference>
          <reference field="10" count="1" selected="0">
            <x v="0"/>
          </reference>
        </references>
      </pivotArea>
    </chartFormat>
    <chartFormat chart="21" format="9" series="1">
      <pivotArea type="data" outline="0" fieldPosition="0">
        <references count="2">
          <reference field="4294967294" count="1" selected="0">
            <x v="0"/>
          </reference>
          <reference field="10" count="1" selected="0">
            <x v="1"/>
          </reference>
        </references>
      </pivotArea>
    </chartFormat>
    <chartFormat chart="22" format="10" series="1">
      <pivotArea type="data" outline="0" fieldPosition="0">
        <references count="2">
          <reference field="4294967294" count="1" selected="0">
            <x v="0"/>
          </reference>
          <reference field="10" count="1" selected="0">
            <x v="0"/>
          </reference>
        </references>
      </pivotArea>
    </chartFormat>
    <chartFormat chart="22" format="11" series="1">
      <pivotArea type="data" outline="0" fieldPosition="0">
        <references count="2">
          <reference field="4294967294" count="1" selected="0">
            <x v="0"/>
          </reference>
          <reference field="10" count="1" selected="0">
            <x v="1"/>
          </reference>
        </references>
      </pivotArea>
    </chartFormat>
    <chartFormat chart="23" format="8" series="1">
      <pivotArea type="data" outline="0" fieldPosition="0">
        <references count="2">
          <reference field="4294967294" count="1" selected="0">
            <x v="0"/>
          </reference>
          <reference field="10" count="1" selected="0">
            <x v="0"/>
          </reference>
        </references>
      </pivotArea>
    </chartFormat>
    <chartFormat chart="23" format="9" series="1">
      <pivotArea type="data" outline="0" fieldPosition="0">
        <references count="2">
          <reference field="4294967294" count="1" selected="0">
            <x v="0"/>
          </reference>
          <reference field="10" count="1" selected="0">
            <x v="1"/>
          </reference>
        </references>
      </pivotArea>
    </chartFormat>
    <chartFormat chart="24" format="10" series="1">
      <pivotArea type="data" outline="0" fieldPosition="0">
        <references count="2">
          <reference field="4294967294" count="1" selected="0">
            <x v="0"/>
          </reference>
          <reference field="10" count="1" selected="0">
            <x v="0"/>
          </reference>
        </references>
      </pivotArea>
    </chartFormat>
    <chartFormat chart="24" format="11" series="1">
      <pivotArea type="data" outline="0" fieldPosition="0">
        <references count="2">
          <reference field="4294967294" count="1" selected="0">
            <x v="0"/>
          </reference>
          <reference field="10" count="1" selected="0">
            <x v="1"/>
          </reference>
        </references>
      </pivotArea>
    </chartFormat>
    <chartFormat chart="25" format="8" series="1">
      <pivotArea type="data" outline="0" fieldPosition="0">
        <references count="2">
          <reference field="4294967294" count="1" selected="0">
            <x v="0"/>
          </reference>
          <reference field="10" count="1" selected="0">
            <x v="0"/>
          </reference>
        </references>
      </pivotArea>
    </chartFormat>
    <chartFormat chart="25" format="9" series="1">
      <pivotArea type="data" outline="0" fieldPosition="0">
        <references count="2">
          <reference field="4294967294" count="1" selected="0">
            <x v="0"/>
          </reference>
          <reference field="10" count="1" selected="0">
            <x v="1"/>
          </reference>
        </references>
      </pivotArea>
    </chartFormat>
    <chartFormat chart="26" format="10" series="1">
      <pivotArea type="data" outline="0" fieldPosition="0">
        <references count="2">
          <reference field="4294967294" count="1" selected="0">
            <x v="0"/>
          </reference>
          <reference field="10" count="1" selected="0">
            <x v="0"/>
          </reference>
        </references>
      </pivotArea>
    </chartFormat>
    <chartFormat chart="26" format="11" series="1">
      <pivotArea type="data" outline="0" fieldPosition="0">
        <references count="2">
          <reference field="4294967294" count="1" selected="0">
            <x v="0"/>
          </reference>
          <reference field="10" count="1" selected="0">
            <x v="1"/>
          </reference>
        </references>
      </pivotArea>
    </chartFormat>
    <chartFormat chart="27" format="8" series="1">
      <pivotArea type="data" outline="0" fieldPosition="0">
        <references count="2">
          <reference field="4294967294" count="1" selected="0">
            <x v="0"/>
          </reference>
          <reference field="10" count="1" selected="0">
            <x v="0"/>
          </reference>
        </references>
      </pivotArea>
    </chartFormat>
    <chartFormat chart="27" format="9" series="1">
      <pivotArea type="data" outline="0" fieldPosition="0">
        <references count="2">
          <reference field="4294967294" count="1" selected="0">
            <x v="0"/>
          </reference>
          <reference field="10" count="1" selected="0">
            <x v="1"/>
          </reference>
        </references>
      </pivotArea>
    </chartFormat>
    <chartFormat chart="28" format="10" series="1">
      <pivotArea type="data" outline="0" fieldPosition="0">
        <references count="2">
          <reference field="4294967294" count="1" selected="0">
            <x v="0"/>
          </reference>
          <reference field="10" count="1" selected="0">
            <x v="0"/>
          </reference>
        </references>
      </pivotArea>
    </chartFormat>
    <chartFormat chart="28" format="11" series="1">
      <pivotArea type="data" outline="0" fieldPosition="0">
        <references count="2">
          <reference field="4294967294" count="1" selected="0">
            <x v="0"/>
          </reference>
          <reference field="10" count="1" selected="0">
            <x v="1"/>
          </reference>
        </references>
      </pivotArea>
    </chartFormat>
    <chartFormat chart="29" format="8" series="1">
      <pivotArea type="data" outline="0" fieldPosition="0">
        <references count="2">
          <reference field="4294967294" count="1" selected="0">
            <x v="0"/>
          </reference>
          <reference field="10" count="1" selected="0">
            <x v="0"/>
          </reference>
        </references>
      </pivotArea>
    </chartFormat>
    <chartFormat chart="29" format="9" series="1">
      <pivotArea type="data" outline="0" fieldPosition="0">
        <references count="2">
          <reference field="4294967294" count="1" selected="0">
            <x v="0"/>
          </reference>
          <reference field="10" count="1" selected="0">
            <x v="1"/>
          </reference>
        </references>
      </pivotArea>
    </chartFormat>
    <chartFormat chart="30" format="10" series="1">
      <pivotArea type="data" outline="0" fieldPosition="0">
        <references count="2">
          <reference field="4294967294" count="1" selected="0">
            <x v="0"/>
          </reference>
          <reference field="10" count="1" selected="0">
            <x v="0"/>
          </reference>
        </references>
      </pivotArea>
    </chartFormat>
    <chartFormat chart="30" format="11" series="1">
      <pivotArea type="data" outline="0" fieldPosition="0">
        <references count="2">
          <reference field="4294967294" count="1" selected="0">
            <x v="0"/>
          </reference>
          <reference field="10" count="1" selected="0">
            <x v="1"/>
          </reference>
        </references>
      </pivotArea>
    </chartFormat>
    <chartFormat chart="32" format="10" series="1">
      <pivotArea type="data" outline="0" fieldPosition="0">
        <references count="2">
          <reference field="4294967294" count="1" selected="0">
            <x v="0"/>
          </reference>
          <reference field="10" count="1" selected="0">
            <x v="0"/>
          </reference>
        </references>
      </pivotArea>
    </chartFormat>
    <chartFormat chart="32" format="11" series="1">
      <pivotArea type="data" outline="0" fieldPosition="0">
        <references count="2">
          <reference field="4294967294" count="1" selected="0">
            <x v="0"/>
          </reference>
          <reference field="10" count="1" selected="0">
            <x v="1"/>
          </reference>
        </references>
      </pivotArea>
    </chartFormat>
    <chartFormat chart="33" format="8" series="1">
      <pivotArea type="data" outline="0" fieldPosition="0">
        <references count="2">
          <reference field="4294967294" count="1" selected="0">
            <x v="0"/>
          </reference>
          <reference field="10" count="1" selected="0">
            <x v="0"/>
          </reference>
        </references>
      </pivotArea>
    </chartFormat>
    <chartFormat chart="33" format="9" series="1">
      <pivotArea type="data" outline="0" fieldPosition="0">
        <references count="2">
          <reference field="4294967294" count="1" selected="0">
            <x v="0"/>
          </reference>
          <reference field="10" count="1" selected="0">
            <x v="1"/>
          </reference>
        </references>
      </pivotArea>
    </chartFormat>
    <chartFormat chart="34" format="10" series="1">
      <pivotArea type="data" outline="0" fieldPosition="0">
        <references count="2">
          <reference field="4294967294" count="1" selected="0">
            <x v="0"/>
          </reference>
          <reference field="10" count="1" selected="0">
            <x v="0"/>
          </reference>
        </references>
      </pivotArea>
    </chartFormat>
    <chartFormat chart="34" format="11" series="1">
      <pivotArea type="data" outline="0" fieldPosition="0">
        <references count="2">
          <reference field="4294967294" count="1" selected="0">
            <x v="0"/>
          </reference>
          <reference field="10" count="1" selected="0">
            <x v="1"/>
          </reference>
        </references>
      </pivotArea>
    </chartFormat>
    <chartFormat chart="35" format="8" series="1">
      <pivotArea type="data" outline="0" fieldPosition="0">
        <references count="2">
          <reference field="4294967294" count="1" selected="0">
            <x v="0"/>
          </reference>
          <reference field="10" count="1" selected="0">
            <x v="0"/>
          </reference>
        </references>
      </pivotArea>
    </chartFormat>
    <chartFormat chart="35" format="9" series="1">
      <pivotArea type="data" outline="0" fieldPosition="0">
        <references count="2">
          <reference field="4294967294" count="1" selected="0">
            <x v="0"/>
          </reference>
          <reference field="10" count="1" selected="0">
            <x v="1"/>
          </reference>
        </references>
      </pivotArea>
    </chartFormat>
    <chartFormat chart="36" format="10" series="1">
      <pivotArea type="data" outline="0" fieldPosition="0">
        <references count="2">
          <reference field="4294967294" count="1" selected="0">
            <x v="0"/>
          </reference>
          <reference field="10" count="1" selected="0">
            <x v="0"/>
          </reference>
        </references>
      </pivotArea>
    </chartFormat>
    <chartFormat chart="36" format="11" series="1">
      <pivotArea type="data" outline="0" fieldPosition="0">
        <references count="2">
          <reference field="4294967294" count="1" selected="0">
            <x v="0"/>
          </reference>
          <reference field="10" count="1" selected="0">
            <x v="1"/>
          </reference>
        </references>
      </pivotArea>
    </chartFormat>
    <chartFormat chart="37" format="8" series="1">
      <pivotArea type="data" outline="0" fieldPosition="0">
        <references count="2">
          <reference field="4294967294" count="1" selected="0">
            <x v="0"/>
          </reference>
          <reference field="10" count="1" selected="0">
            <x v="0"/>
          </reference>
        </references>
      </pivotArea>
    </chartFormat>
    <chartFormat chart="37" format="9" series="1">
      <pivotArea type="data" outline="0" fieldPosition="0">
        <references count="2">
          <reference field="4294967294" count="1" selected="0">
            <x v="0"/>
          </reference>
          <reference field="10" count="1" selected="0">
            <x v="1"/>
          </reference>
        </references>
      </pivotArea>
    </chartFormat>
    <chartFormat chart="38" format="10" series="1">
      <pivotArea type="data" outline="0" fieldPosition="0">
        <references count="2">
          <reference field="4294967294" count="1" selected="0">
            <x v="0"/>
          </reference>
          <reference field="10" count="1" selected="0">
            <x v="0"/>
          </reference>
        </references>
      </pivotArea>
    </chartFormat>
    <chartFormat chart="38" format="11" series="1">
      <pivotArea type="data" outline="0" fieldPosition="0">
        <references count="2">
          <reference field="4294967294" count="1" selected="0">
            <x v="0"/>
          </reference>
          <reference field="10" count="1" selected="0">
            <x v="1"/>
          </reference>
        </references>
      </pivotArea>
    </chartFormat>
    <chartFormat chart="39" format="8" series="1">
      <pivotArea type="data" outline="0" fieldPosition="0">
        <references count="2">
          <reference field="4294967294" count="1" selected="0">
            <x v="0"/>
          </reference>
          <reference field="10" count="1" selected="0">
            <x v="0"/>
          </reference>
        </references>
      </pivotArea>
    </chartFormat>
    <chartFormat chart="39" format="9" series="1">
      <pivotArea type="data" outline="0" fieldPosition="0">
        <references count="2">
          <reference field="4294967294" count="1" selected="0">
            <x v="0"/>
          </reference>
          <reference field="10" count="1" selected="0">
            <x v="1"/>
          </reference>
        </references>
      </pivotArea>
    </chartFormat>
    <chartFormat chart="40" format="10" series="1">
      <pivotArea type="data" outline="0" fieldPosition="0">
        <references count="2">
          <reference field="4294967294" count="1" selected="0">
            <x v="0"/>
          </reference>
          <reference field="10" count="1" selected="0">
            <x v="0"/>
          </reference>
        </references>
      </pivotArea>
    </chartFormat>
    <chartFormat chart="40" format="11" series="1">
      <pivotArea type="data" outline="0" fieldPosition="0">
        <references count="2">
          <reference field="4294967294" count="1" selected="0">
            <x v="0"/>
          </reference>
          <reference field="10" count="1" selected="0">
            <x v="1"/>
          </reference>
        </references>
      </pivotArea>
    </chartFormat>
    <chartFormat chart="2"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W" xr10:uid="{323E59EF-258E-432E-B60F-494B0BE2B092}" sourceName="WW">
  <pivotTables>
    <pivotTable tabId="10" name="PivotTable27"/>
    <pivotTable tabId="10" name="PivotTable28"/>
    <pivotTable tabId="10" name="PivotTable29"/>
    <pivotTable tabId="10" name="PivotTable30"/>
    <pivotTable tabId="10" name="PivotTable31"/>
    <pivotTable tabId="10" name="PivotTable32"/>
    <pivotTable tabId="10" name="PivotTable5"/>
    <pivotTable tabId="10" name="PivotTable6"/>
    <pivotTable tabId="13" name="PivotTable28-2"/>
    <pivotTable tabId="13" name="PivotTable32-2"/>
    <pivotTable tabId="13" name="PivotTable27-2"/>
    <pivotTable tabId="13" name="PivotTable29-2"/>
    <pivotTable tabId="13" name="PivotTable30-2"/>
    <pivotTable tabId="13" name="PivotTable6-2"/>
    <pivotTable tabId="13" name="PivotTable31-2"/>
    <pivotTable tabId="13" name="PivotTable5-2"/>
  </pivotTables>
  <data>
    <tabular pivotCacheId="2014645516">
      <items count="51">
        <i x="0" s="1"/>
        <i x="1" s="1"/>
        <i x="2" s="1"/>
        <i x="3" s="1"/>
        <i x="4" s="1"/>
        <i x="5" s="1"/>
        <i x="7" s="1"/>
        <i x="6" s="1"/>
        <i x="8" s="1"/>
        <i x="9" s="1"/>
        <i x="10" s="1"/>
        <i x="11" s="1"/>
        <i x="13" s="1"/>
        <i x="16" s="1"/>
        <i x="12" s="1"/>
        <i x="17" s="1"/>
        <i x="14" s="1"/>
        <i x="15" s="1"/>
        <i x="18" s="1"/>
        <i x="19" s="1"/>
        <i x="20" s="1"/>
        <i x="21" s="1"/>
        <i x="22" s="1"/>
        <i x="23" s="1"/>
        <i x="24" s="1"/>
        <i x="25" s="1"/>
        <i x="26" nd="1"/>
        <i x="29" nd="1"/>
        <i x="46" nd="1"/>
        <i x="39" nd="1"/>
        <i x="32" nd="1"/>
        <i x="27" nd="1"/>
        <i x="48" nd="1"/>
        <i x="44" nd="1"/>
        <i x="41" nd="1"/>
        <i x="37" nd="1"/>
        <i x="34" nd="1"/>
        <i x="30" nd="1"/>
        <i x="50" nd="1"/>
        <i x="47" nd="1"/>
        <i x="43" nd="1"/>
        <i x="40" nd="1"/>
        <i x="36" nd="1"/>
        <i x="33" nd="1"/>
        <i x="28" nd="1"/>
        <i x="49" nd="1"/>
        <i x="45" nd="1"/>
        <i x="42" nd="1"/>
        <i x="38" nd="1"/>
        <i x="35" nd="1"/>
        <i x="3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9B2DF42-0487-4B9B-B83B-2A330B74CE25}" sourceName="Month">
  <pivotTables>
    <pivotTable tabId="10" name="PivotTable27"/>
    <pivotTable tabId="10" name="PivotTable28"/>
    <pivotTable tabId="10" name="PivotTable29"/>
    <pivotTable tabId="10" name="PivotTable30"/>
    <pivotTable tabId="10" name="PivotTable31"/>
    <pivotTable tabId="10" name="PivotTable32"/>
    <pivotTable tabId="10" name="PivotTable5"/>
    <pivotTable tabId="10" name="PivotTable6"/>
    <pivotTable tabId="13" name="PivotTable28-2"/>
    <pivotTable tabId="13" name="PivotTable32-2"/>
    <pivotTable tabId="13" name="PivotTable27-2"/>
    <pivotTable tabId="13" name="PivotTable29-2"/>
    <pivotTable tabId="13" name="PivotTable30-2"/>
    <pivotTable tabId="13" name="PivotTable6-2"/>
    <pivotTable tabId="13" name="PivotTable31-2"/>
    <pivotTable tabId="13" name="PivotTable5-2"/>
  </pivotTables>
  <data>
    <tabular pivotCacheId="2014645516">
      <items count="13">
        <i x="0" s="1"/>
        <i x="1" s="1"/>
        <i x="2" s="1"/>
        <i x="3" s="1"/>
        <i x="4" s="1"/>
        <i x="5" s="1"/>
        <i x="6" s="1"/>
        <i x="12" nd="1"/>
        <i x="8" nd="1"/>
        <i x="11" nd="1"/>
        <i x="9" nd="1"/>
        <i x="10" nd="1"/>
        <i x="7"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4E8DFB67-0918-4E44-80DF-0A8EA9CFD935}" sourceName="Type">
  <extLst>
    <x:ext xmlns:x15="http://schemas.microsoft.com/office/spreadsheetml/2010/11/main" uri="{2F2917AC-EB37-4324-AD4E-5DD8C200BD13}">
      <x15:tableSlicerCache tableId="6"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B9489A84-AA51-4D62-A3E7-DA634625520E}" sourceName="Status">
  <extLst>
    <x:ext xmlns:x15="http://schemas.microsoft.com/office/spreadsheetml/2010/11/main" uri="{2F2917AC-EB37-4324-AD4E-5DD8C200BD13}">
      <x15:tableSlicerCache tableId="6" column="6"/>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C" xr10:uid="{F058E7BB-BCE5-443C-AFB3-598E827A8AD4}" sourceName="PIC">
  <extLst>
    <x:ext xmlns:x15="http://schemas.microsoft.com/office/spreadsheetml/2010/11/main" uri="{2F2917AC-EB37-4324-AD4E-5DD8C200BD13}">
      <x15:tableSlicerCache tableId="6" column="5"/>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W2" xr10:uid="{080A9291-BCA0-4371-BD62-29E0E69077EA}" sourceName="WW">
  <extLst>
    <x:ext xmlns:x15="http://schemas.microsoft.com/office/spreadsheetml/2010/11/main" uri="{2F2917AC-EB37-4324-AD4E-5DD8C200BD13}">
      <x15:tableSlicerCache tableId="6" column="7"/>
    </x:ex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Due_Aleart" xr10:uid="{87442D8F-FBAB-4B98-889E-FB804EF7044F}" sourceName="OverDue Aleart">
  <extLst>
    <x:ext xmlns:x15="http://schemas.microsoft.com/office/spreadsheetml/2010/11/main" uri="{2F2917AC-EB37-4324-AD4E-5DD8C200BD13}">
      <x15:tableSlicerCache tableId="6" column="37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W 1" xr10:uid="{FDAE6448-CF4A-4CA1-BD69-8ADCAFDE4630}" cache="Slicer_WW" caption="WW" rowHeight="177800"/>
  <slicer name="Month 1" xr10:uid="{279F1DAB-7B6B-4667-A635-0DBBBF94AA9E}" cache="Slicer_Month" caption="Month" rowHeight="1778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W" xr10:uid="{EE977E50-9ADA-4D08-A726-CA9ED4FD6FD9}" cache="Slicer_WW" caption="WW" startItem="1" rowHeight="177800"/>
  <slicer name="Month" xr10:uid="{64B0C704-43E2-4630-B2D9-271E1DBC5FBC}" cache="Slicer_Month" caption="Month" rowHeight="1778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40117AF1-6325-4E57-86E7-A2AF548263F9}" cache="Slicer_Type" caption="Type" columnCount="2" style="SlicerStyleLight2" lockedPosition="1" rowHeight="180975"/>
  <slicer name="Status 1" xr10:uid="{29A428FF-BE1E-424B-B041-3F7367641510}" cache="Slicer_Status" caption="Column1" style="SlicerStyleLight4" lockedPosition="1" rowHeight="180975"/>
  <slicer name="PIC 1" xr10:uid="{D95BA566-2EFD-413F-8242-0CED513076E9}" cache="Slicer_PIC" caption="PIC" style="SlicerStyleLight5" lockedPosition="1" rowHeight="180975"/>
  <slicer name="WW 2" xr10:uid="{B458F3BD-78B8-44CC-B033-3CA0AA471AD5}" cache="Slicer_WW2" caption="WW" startItem="10" columnCount="5" style="SlicerStyleLight6" lockedPosition="1" rowHeight="177800"/>
  <slicer name="OverDue Aleart" xr10:uid="{D5147403-7BC5-4242-BCD9-266D8F213D4F}" cache="Slicer_OverDue_Aleart" caption="OverDue Aleart" style="SlicerStyleOther1" lockedPosition="1" rowHeight="1778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F45CE24-5953-4BF1-84B7-1183AAAC8F9B}" name="Table6" displayName="Table6" ref="A12:AO678" totalsRowShown="0" headerRowDxfId="102" dataDxfId="101" headerRowBorderDxfId="99" tableBorderDxfId="100">
  <autoFilter ref="A12:AO678" xr:uid="{0F45CE24-5953-4BF1-84B7-1183AAAC8F9B}">
    <filterColumn colId="0">
      <filters>
        <filter val="25"/>
        <filter val="26"/>
        <filter val="27"/>
        <filter val="28"/>
      </filters>
    </filterColumn>
  </autoFilter>
  <tableColumns count="41">
    <tableColumn id="7" xr3:uid="{F76C63B4-64EC-4280-BB42-D0466C8B4769}" name="WW" dataDxfId="97" totalsRowDxfId="98">
      <calculatedColumnFormula>WEEKNUM(Table6[[#This Row],[Start Date]])</calculatedColumnFormula>
    </tableColumn>
    <tableColumn id="370" xr3:uid="{15FDD729-3F10-428A-B134-757B5E13A3D0}" name="Month" dataDxfId="95" totalsRowDxfId="96">
      <calculatedColumnFormula>TEXT(Table6[[#This Row],[Start Date]],"mmm")</calculatedColumnFormula>
    </tableColumn>
    <tableColumn id="1" xr3:uid="{5AE7CDEE-47F4-46BA-99D5-33C6C8AAE24B}" name="Type" dataDxfId="93" totalsRowDxfId="94">
      <calculatedColumnFormula>_xlfn.IFNA(INDEX(Refer!$B$5:$B$103,MATCH(Table6[[#This Row],[TASK]],Refer!$C$5:$C$103,0)),"")</calculatedColumnFormula>
    </tableColumn>
    <tableColumn id="2" xr3:uid="{6F070146-8E18-47B1-9E43-0E5249DC7C65}" name="TASK" dataDxfId="91" totalsRowDxfId="92"/>
    <tableColumn id="3" xr3:uid="{7FBFF2D5-7246-4CDA-83E2-51F409DF6355}" name="PRODUCT/Description" dataDxfId="89" totalsRowDxfId="90"/>
    <tableColumn id="4" xr3:uid="{F9638F5F-00E8-4365-B55D-F2074B18008E}" name="CUSTOMER" dataDxfId="87" totalsRowDxfId="88"/>
    <tableColumn id="5" xr3:uid="{B05179FE-53BE-4623-9DFF-724A66BA706B}" name="PIC" dataDxfId="85" totalsRowDxfId="86"/>
    <tableColumn id="683" xr3:uid="{9139F922-61B1-4EFE-9CF8-8714CC5249BA}" name="Start Date" dataDxfId="83" totalsRowDxfId="84"/>
    <tableColumn id="686" xr3:uid="{81F0B513-B1B7-4F7B-BCA3-AAA23738634D}" name="Target Date" dataDxfId="81" totalsRowDxfId="82"/>
    <tableColumn id="684" xr3:uid="{588F1449-5F5B-49EA-BFD8-69CAB4E56D67}" name="Finish Date" dataDxfId="79" totalsRowDxfId="80"/>
    <tableColumn id="6" xr3:uid="{47B48F13-D785-4B3A-8744-287DE4EB0428}" name="Status" dataDxfId="77" totalsRowDxfId="78">
      <calculatedColumnFormula>IF(Table6[[#This Row],[Finish Date]]=0,"On process","Close")</calculatedColumnFormula>
    </tableColumn>
    <tableColumn id="371" xr3:uid="{00308391-84B0-4064-86CE-AB596235A1D0}" name="OverDue Aleart" dataDxfId="75" totalsRowDxfId="76">
      <calculatedColumnFormula>IF(Table6[[#This Row],[Status]]="On process",IF($H$2&gt;Table6[[#This Row],[Target Date]],"Overdue","On time"),"Closed")</calculatedColumnFormula>
    </tableColumn>
    <tableColumn id="685" xr3:uid="{D5F9331E-ADCE-44AA-B918-61FDFF9C043C}" name="Performace_x000a_status" dataDxfId="73" totalsRowDxfId="74">
      <calculatedColumnFormula array="1">_xlfn.IFS(Table6[[#This Row],[Finish Date]]=0,"",Table6[[#This Row],[Finish Date]]&gt;Table6[[#This Row],[Target Date]],"Delay",Table6[[#This Row],[Finish Date]]&lt;=Table6[[#This Row],[Target Date]],"On Time")</calculatedColumnFormula>
    </tableColumn>
    <tableColumn id="689" xr3:uid="{EE96428E-317A-4ECE-84EC-0D1EB76BB98E}" name="Column1" dataDxfId="71" totalsRowDxfId="72"/>
    <tableColumn id="690" xr3:uid="{DAEAADED-84B7-491F-A14A-9AB2C43F389D}" name="Column12" dataDxfId="69" totalsRowDxfId="70"/>
    <tableColumn id="696" xr3:uid="{7DC6467C-170B-4A9E-98F2-D84B3E219D1F}" name="Column13" dataDxfId="67" totalsRowDxfId="68"/>
    <tableColumn id="8" xr3:uid="{598D04B7-2C11-4060-ACE5-DF0F7B9A83D2}" name="Column14" dataDxfId="65" totalsRowDxfId="66"/>
    <tableColumn id="9" xr3:uid="{27654EF4-2035-4B57-928C-E2777C255371}" name="Column15" dataDxfId="63" totalsRowDxfId="64"/>
    <tableColumn id="10" xr3:uid="{E3B98F41-16B3-48C9-A75A-E7EF04FB6756}" name="Column16" dataDxfId="61" totalsRowDxfId="62"/>
    <tableColumn id="11" xr3:uid="{BECE7E56-AB72-4D54-8AFC-4713882FEFAF}" name="Column17" dataDxfId="59" totalsRowDxfId="60"/>
    <tableColumn id="12" xr3:uid="{6756C915-4250-4F0F-A32E-198FC099D7EA}" name="Column18" dataDxfId="57" totalsRowDxfId="58"/>
    <tableColumn id="13" xr3:uid="{ABDACCAE-7F6D-4073-B5CD-8AEEB6FC42A4}" name="Column19" dataDxfId="55" totalsRowDxfId="56"/>
    <tableColumn id="14" xr3:uid="{1A3436AE-10BC-463A-A545-B21B39A94A73}" name="Column110" dataDxfId="53" totalsRowDxfId="54"/>
    <tableColumn id="15" xr3:uid="{102BE40A-ED9D-4E84-9C2F-735E85A22719}" name="Column111" dataDxfId="51" totalsRowDxfId="52"/>
    <tableColumn id="16" xr3:uid="{F3612AE8-6AB7-4BEC-9C30-8648FC46A175}" name="Column112" dataDxfId="49" totalsRowDxfId="50"/>
    <tableColumn id="17" xr3:uid="{EA7CDF35-82DB-4002-ADBD-FB6559F50D2D}" name="Column113" dataDxfId="47" totalsRowDxfId="48"/>
    <tableColumn id="18" xr3:uid="{BEB50A9D-3058-4A50-B1D0-9B57E862555E}" name="Column114" dataDxfId="45" totalsRowDxfId="46"/>
    <tableColumn id="19" xr3:uid="{FB3DF6FC-7CAA-4F86-9903-8AD1F6FF4FA5}" name="Column115" dataDxfId="43" totalsRowDxfId="44"/>
    <tableColumn id="20" xr3:uid="{CB302EC7-046E-4CD2-B1FC-94B160102AC6}" name="Column116" dataDxfId="41" totalsRowDxfId="42"/>
    <tableColumn id="21" xr3:uid="{B075A1E3-D512-4419-BFA2-B2E95D480ADF}" name="Column117" dataDxfId="39" totalsRowDxfId="40"/>
    <tableColumn id="22" xr3:uid="{B816A51F-D7BE-4B80-897B-4EA729278897}" name="Column118" dataDxfId="37" totalsRowDxfId="38"/>
    <tableColumn id="23" xr3:uid="{9A595253-BBA6-487B-B87E-3FBAEE37B362}" name="Column119" dataDxfId="35" totalsRowDxfId="36"/>
    <tableColumn id="24" xr3:uid="{AD5B8F76-4F45-4AF2-893D-5F69A943C993}" name="Column120" dataDxfId="33" totalsRowDxfId="34"/>
    <tableColumn id="25" xr3:uid="{9336934B-6A6C-469C-BF51-EAD0395F80AA}" name="Column121" dataDxfId="31" totalsRowDxfId="32"/>
    <tableColumn id="26" xr3:uid="{21B871B8-7971-4E7D-9AB8-F3DD59CE6FAB}" name="Column122" dataDxfId="29" totalsRowDxfId="30"/>
    <tableColumn id="27" xr3:uid="{35E7E587-DBAC-41A8-9B3D-F3031FE1A868}" name="Column123" dataDxfId="27" totalsRowDxfId="28"/>
    <tableColumn id="28" xr3:uid="{64D9EC59-CE06-42B5-9AFB-ABB183A3272A}" name="Column124" dataDxfId="25" totalsRowDxfId="26"/>
    <tableColumn id="29" xr3:uid="{4437A2C8-6022-4085-9F4E-428488C18CDD}" name="Column125" dataDxfId="23" totalsRowDxfId="24"/>
    <tableColumn id="30" xr3:uid="{AF39785F-685A-466B-8247-01FA0F20316A}" name="Column126" dataDxfId="21" totalsRowDxfId="22"/>
    <tableColumn id="31" xr3:uid="{017D8993-A0BA-4E15-8F91-0FA8DBB7F670}" name="Column127" dataDxfId="19" totalsRowDxfId="20"/>
    <tableColumn id="32" xr3:uid="{ABDDBD05-A3AA-4CF6-AECF-3E368669DEAA}" name="Column128" dataDxfId="17" totalsRowDxfId="1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DDB9A8-42FD-420E-92BE-D97E67EA1B2C}" name="Table1" displayName="Table1" ref="E4:E10" totalsRowShown="0">
  <autoFilter ref="E4:E10" xr:uid="{48DDB9A8-42FD-420E-92BE-D97E67EA1B2C}"/>
  <tableColumns count="1">
    <tableColumn id="1" xr3:uid="{0AC44A46-C96A-46D3-ADED-AFCF17B378BA}" name="Name Lis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630622F-3026-46E5-9009-9C42D61FB3D4}" name="Table9" displayName="Table9" ref="A4:C47" totalsRowShown="0">
  <autoFilter ref="A4:C47" xr:uid="{4630622F-3026-46E5-9009-9C42D61FB3D4}"/>
  <sortState xmlns:xlrd2="http://schemas.microsoft.com/office/spreadsheetml/2017/richdata2" ref="A5:C45">
    <sortCondition ref="A4:A45"/>
  </sortState>
  <tableColumns count="3">
    <tableColumn id="1" xr3:uid="{6D06B74F-501F-4BA5-9F56-DF8E47B179C4}" name="Sort" dataDxfId="16">
      <calculatedColumnFormula>INDEX(Table11[Sort],MATCH(Table9[[#This Row],[Category]],Table11[Category],0))</calculatedColumnFormula>
    </tableColumn>
    <tableColumn id="2" xr3:uid="{4075E6E6-4B76-4E86-B8ED-6EAC729A41F0}" name="Category" dataDxfId="15"/>
    <tableColumn id="3" xr3:uid="{D3852DD5-8B41-4516-9EEC-16A2CCCC41E4}" name="Task name" dataDxfId="1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F72CA23-BAEC-410E-83F1-152AEFB9A908}" name="Table10" displayName="Table10" ref="G4:G12" totalsRowShown="0">
  <autoFilter ref="G4:G12" xr:uid="{3F72CA23-BAEC-410E-83F1-152AEFB9A908}"/>
  <tableColumns count="1">
    <tableColumn id="1" xr3:uid="{EFCC1CA2-37B8-47DD-9080-243D21BF8402}" name="Category"/>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0039938-E5EF-4F39-A290-542C0E7C8E3B}" name="Table11" displayName="Table11" ref="I4:J13" totalsRowShown="0">
  <autoFilter ref="I4:J13" xr:uid="{20039938-E5EF-4F39-A290-542C0E7C8E3B}"/>
  <tableColumns count="2">
    <tableColumn id="1" xr3:uid="{33284469-7714-4500-B01B-566A5A1BC790}" name="Sort"/>
    <tableColumn id="2" xr3:uid="{DB0CBFBF-8DAB-4067-AF10-F435E23BB9E3}" name="Catego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4.bin"/><Relationship Id="rId5" Type="http://schemas.openxmlformats.org/officeDocument/2006/relationships/table" Target="../tables/table5.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10" Type="http://schemas.openxmlformats.org/officeDocument/2006/relationships/printerSettings" Target="../printerSettings/printerSettings6.bin"/><Relationship Id="rId4" Type="http://schemas.openxmlformats.org/officeDocument/2006/relationships/pivotTable" Target="../pivotTables/pivotTable12.xml"/><Relationship Id="rId9"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8EF46-AA38-41DC-8D33-05B890B6EA07}">
  <sheetPr codeName="Sheet2">
    <tabColor rgb="FF92D050"/>
  </sheetPr>
  <dimension ref="E24:S73"/>
  <sheetViews>
    <sheetView showGridLines="0" zoomScale="70" zoomScaleNormal="70" workbookViewId="0">
      <selection activeCell="W28" sqref="W28"/>
    </sheetView>
  </sheetViews>
  <sheetFormatPr defaultRowHeight="10.5"/>
  <cols>
    <col min="1" max="1" width="11.33203125" customWidth="1"/>
    <col min="4" max="4" width="6.5" customWidth="1"/>
    <col min="5" max="5" width="34.1640625" customWidth="1"/>
    <col min="6" max="6" width="9.1640625" style="1" customWidth="1"/>
    <col min="11" max="11" width="43.33203125" customWidth="1"/>
    <col min="12" max="12" width="9.33203125" style="1"/>
    <col min="13" max="13" width="5.6640625" customWidth="1"/>
    <col min="15" max="15" width="7.83203125" style="1" customWidth="1"/>
    <col min="16" max="16" width="23.33203125" customWidth="1"/>
    <col min="17" max="17" width="37" bestFit="1" customWidth="1"/>
    <col min="18" max="18" width="42.5" style="19" customWidth="1"/>
    <col min="19" max="19" width="15.6640625" style="19" customWidth="1"/>
  </cols>
  <sheetData>
    <row r="24" ht="11.25" customHeight="1"/>
    <row r="25" ht="11.25" customHeight="1"/>
    <row r="37" spans="11:19" ht="11.25" customHeight="1"/>
    <row r="38" spans="11:19" ht="11.25" customHeight="1"/>
    <row r="44" spans="11:19" ht="11.25" customHeight="1">
      <c r="K44" s="121" t="s">
        <v>0</v>
      </c>
      <c r="L44" s="121"/>
      <c r="O44" s="121" t="s">
        <v>1</v>
      </c>
      <c r="P44" s="121"/>
      <c r="Q44" s="121"/>
      <c r="R44" s="121"/>
      <c r="S44" s="121"/>
    </row>
    <row r="45" spans="11:19" ht="11.25" customHeight="1">
      <c r="K45" s="121"/>
      <c r="L45" s="121"/>
      <c r="O45" s="122"/>
      <c r="P45" s="122"/>
      <c r="Q45" s="122"/>
      <c r="R45" s="122"/>
      <c r="S45" s="122"/>
    </row>
    <row r="46" spans="11:19" ht="11.25" customHeight="1">
      <c r="K46" s="10" t="s">
        <v>2</v>
      </c>
      <c r="L46" s="34" t="s">
        <v>3</v>
      </c>
      <c r="O46" s="10" t="s">
        <v>4</v>
      </c>
      <c r="P46" s="10" t="s">
        <v>5</v>
      </c>
      <c r="Q46" s="10" t="s">
        <v>2</v>
      </c>
      <c r="R46" s="10" t="s">
        <v>6</v>
      </c>
      <c r="S46" s="63" t="s">
        <v>7</v>
      </c>
    </row>
    <row r="47" spans="11:19">
      <c r="K47" t="str" cm="1">
        <f t="array" ref="K47:L61">IF(_xlfn._xlws.SORT(Pivot!$C$18:$D$32,2,-1)=0,"",(_xlfn._xlws.SORT(Pivot!$C$18:$D$32,2,-1)))</f>
        <v>Training</v>
      </c>
      <c r="L47" s="1">
        <v>20</v>
      </c>
      <c r="O47" s="1" t="str" cm="1">
        <f t="array" ref="O47:S73">IF(Pivot!$AK$5:$AO$31=0,"",Pivot!$AK$5:$AO$31)</f>
        <v/>
      </c>
      <c r="P47" t="str">
        <v/>
      </c>
      <c r="Q47" t="str">
        <v/>
      </c>
      <c r="R47" s="19" t="str">
        <v/>
      </c>
      <c r="S47" s="19" t="str">
        <v/>
      </c>
    </row>
    <row r="48" spans="11:19">
      <c r="K48" t="str">
        <v>Visit Exhibition</v>
      </c>
      <c r="L48" s="1">
        <v>5</v>
      </c>
      <c r="O48" s="1" t="str">
        <v/>
      </c>
      <c r="P48" t="str">
        <v/>
      </c>
      <c r="Q48" t="str">
        <v/>
      </c>
      <c r="R48" s="19" t="str">
        <v/>
      </c>
      <c r="S48" s="19" t="str">
        <v/>
      </c>
    </row>
    <row r="49" spans="5:19">
      <c r="K49" t="str">
        <v>Create standard document</v>
      </c>
      <c r="L49" s="1">
        <v>2</v>
      </c>
      <c r="O49" s="1" t="str">
        <v/>
      </c>
      <c r="P49" t="str">
        <v/>
      </c>
      <c r="Q49" t="str">
        <v/>
      </c>
      <c r="R49" s="19" t="str">
        <v/>
      </c>
      <c r="S49" s="19" t="str">
        <v/>
      </c>
    </row>
    <row r="50" spans="5:19">
      <c r="K50" t="str">
        <v>5S meeting</v>
      </c>
      <c r="L50" s="1">
        <v>2</v>
      </c>
      <c r="O50" s="1" t="str">
        <v/>
      </c>
      <c r="P50" t="str">
        <v/>
      </c>
      <c r="Q50" t="str">
        <v/>
      </c>
      <c r="R50" s="19" t="str">
        <v/>
      </c>
      <c r="S50" s="19" t="str">
        <v/>
      </c>
    </row>
    <row r="51" spans="5:19">
      <c r="K51" t="str">
        <v>Interview candidate new member</v>
      </c>
      <c r="L51" s="1">
        <v>1</v>
      </c>
      <c r="O51" s="1" t="str">
        <v/>
      </c>
      <c r="P51" t="str">
        <v/>
      </c>
      <c r="Q51" t="str">
        <v/>
      </c>
      <c r="R51" s="19" t="str">
        <v/>
      </c>
      <c r="S51" s="19" t="str">
        <v/>
      </c>
    </row>
    <row r="52" spans="5:19">
      <c r="K52" t="str">
        <v>Support register document</v>
      </c>
      <c r="L52" s="1">
        <v>1</v>
      </c>
      <c r="O52" s="1" t="str">
        <v/>
      </c>
      <c r="P52" t="str">
        <v/>
      </c>
      <c r="Q52" t="str">
        <v/>
      </c>
      <c r="R52" s="19" t="str">
        <v/>
      </c>
      <c r="S52" s="19" t="str">
        <v/>
      </c>
    </row>
    <row r="53" spans="5:19">
      <c r="K53" t="str">
        <v/>
      </c>
      <c r="L53" s="1" t="str">
        <v/>
      </c>
      <c r="O53" s="1" t="str">
        <v/>
      </c>
      <c r="P53" t="str">
        <v/>
      </c>
      <c r="Q53" t="str">
        <v/>
      </c>
      <c r="R53" s="19" t="str">
        <v/>
      </c>
      <c r="S53" s="19" t="str">
        <v/>
      </c>
    </row>
    <row r="54" spans="5:19">
      <c r="K54" t="str">
        <v/>
      </c>
      <c r="L54" s="1" t="str">
        <v/>
      </c>
      <c r="O54" s="1" t="str">
        <v/>
      </c>
      <c r="P54" t="str">
        <v/>
      </c>
      <c r="Q54" t="str">
        <v/>
      </c>
      <c r="R54" s="19" t="str">
        <v/>
      </c>
      <c r="S54" s="19" t="str">
        <v/>
      </c>
    </row>
    <row r="55" spans="5:19">
      <c r="K55" t="str">
        <v/>
      </c>
      <c r="L55" s="1" t="str">
        <v/>
      </c>
      <c r="O55" s="1" t="str">
        <v/>
      </c>
      <c r="P55" t="str">
        <v/>
      </c>
      <c r="Q55" t="str">
        <v/>
      </c>
      <c r="R55" s="19" t="str">
        <v/>
      </c>
      <c r="S55" s="19" t="str">
        <v/>
      </c>
    </row>
    <row r="56" spans="5:19">
      <c r="K56" t="str">
        <v/>
      </c>
      <c r="L56" s="1" t="str">
        <v/>
      </c>
      <c r="O56" s="1" t="str">
        <v/>
      </c>
      <c r="P56" t="str">
        <v/>
      </c>
      <c r="Q56" t="str">
        <v/>
      </c>
      <c r="R56" s="19" t="str">
        <v/>
      </c>
      <c r="S56" s="19" t="str">
        <v/>
      </c>
    </row>
    <row r="57" spans="5:19">
      <c r="K57" t="str">
        <v/>
      </c>
      <c r="L57" s="1" t="str">
        <v/>
      </c>
      <c r="O57" s="1" t="str">
        <v/>
      </c>
      <c r="P57" t="str">
        <v/>
      </c>
      <c r="Q57" t="str">
        <v/>
      </c>
      <c r="R57" s="19" t="str">
        <v/>
      </c>
      <c r="S57" s="19" t="str">
        <v/>
      </c>
    </row>
    <row r="58" spans="5:19" ht="21">
      <c r="F58" s="62"/>
      <c r="K58" t="str">
        <v/>
      </c>
      <c r="L58" s="1" t="str">
        <v/>
      </c>
      <c r="O58" s="1" t="str">
        <v/>
      </c>
      <c r="P58" t="str">
        <v/>
      </c>
      <c r="Q58" t="str">
        <v/>
      </c>
      <c r="R58" s="19" t="str">
        <v/>
      </c>
      <c r="S58" s="19" t="str">
        <v/>
      </c>
    </row>
    <row r="59" spans="5:19" ht="21">
      <c r="E59" s="62"/>
      <c r="F59" s="62"/>
      <c r="K59" t="str">
        <v/>
      </c>
      <c r="L59" s="1" t="str">
        <v/>
      </c>
      <c r="O59" s="1" t="str">
        <v/>
      </c>
      <c r="P59" t="str">
        <v/>
      </c>
      <c r="Q59" t="str">
        <v/>
      </c>
      <c r="R59" s="19" t="str">
        <v/>
      </c>
      <c r="S59" s="19" t="str">
        <v/>
      </c>
    </row>
    <row r="60" spans="5:19">
      <c r="K60" t="str">
        <v/>
      </c>
      <c r="L60" s="1" t="str">
        <v/>
      </c>
      <c r="O60" s="1" t="str">
        <v/>
      </c>
      <c r="P60" t="str">
        <v/>
      </c>
      <c r="Q60" t="str">
        <v/>
      </c>
      <c r="R60" s="19" t="str">
        <v/>
      </c>
      <c r="S60" s="19" t="str">
        <v/>
      </c>
    </row>
    <row r="61" spans="5:19">
      <c r="K61" t="str">
        <v/>
      </c>
      <c r="L61" s="1" t="str">
        <v/>
      </c>
      <c r="O61" s="1" t="str">
        <v/>
      </c>
      <c r="P61" t="str">
        <v/>
      </c>
      <c r="Q61" t="str">
        <v/>
      </c>
      <c r="R61" s="19" t="str">
        <v/>
      </c>
      <c r="S61" s="19" t="str">
        <v/>
      </c>
    </row>
    <row r="62" spans="5:19">
      <c r="O62" s="1" t="str">
        <v/>
      </c>
      <c r="P62" t="str">
        <v/>
      </c>
      <c r="Q62" t="str">
        <v/>
      </c>
      <c r="R62" s="19" t="str">
        <v/>
      </c>
      <c r="S62" s="19" t="str">
        <v/>
      </c>
    </row>
    <row r="63" spans="5:19">
      <c r="O63" s="1" t="str">
        <v/>
      </c>
      <c r="P63" t="str">
        <v/>
      </c>
      <c r="Q63" t="str">
        <v/>
      </c>
      <c r="R63" s="19" t="str">
        <v/>
      </c>
      <c r="S63" s="19" t="str">
        <v/>
      </c>
    </row>
    <row r="64" spans="5:19">
      <c r="O64" s="1" t="str">
        <v/>
      </c>
      <c r="P64" t="str">
        <v/>
      </c>
      <c r="Q64" t="str">
        <v/>
      </c>
      <c r="R64" s="19" t="str">
        <v/>
      </c>
      <c r="S64" s="19" t="str">
        <v/>
      </c>
    </row>
    <row r="65" spans="15:19">
      <c r="O65" s="1" t="str">
        <v/>
      </c>
      <c r="P65" t="str">
        <v/>
      </c>
      <c r="Q65" t="str">
        <v/>
      </c>
      <c r="R65" s="19" t="str">
        <v/>
      </c>
      <c r="S65" s="19" t="str">
        <v/>
      </c>
    </row>
    <row r="66" spans="15:19">
      <c r="O66" s="1" t="str">
        <v/>
      </c>
      <c r="P66" t="str">
        <v/>
      </c>
      <c r="Q66" t="str">
        <v/>
      </c>
      <c r="R66" s="19" t="str">
        <v/>
      </c>
      <c r="S66" s="19" t="str">
        <v/>
      </c>
    </row>
    <row r="67" spans="15:19">
      <c r="O67" s="1" t="str">
        <v/>
      </c>
      <c r="P67" t="str">
        <v/>
      </c>
      <c r="Q67" t="str">
        <v/>
      </c>
      <c r="R67" s="19" t="str">
        <v/>
      </c>
      <c r="S67" s="19" t="str">
        <v/>
      </c>
    </row>
    <row r="68" spans="15:19">
      <c r="O68" s="1" t="str">
        <v/>
      </c>
      <c r="P68" t="str">
        <v/>
      </c>
      <c r="Q68" t="str">
        <v/>
      </c>
      <c r="R68" s="19" t="str">
        <v/>
      </c>
      <c r="S68" s="19" t="str">
        <v/>
      </c>
    </row>
    <row r="69" spans="15:19">
      <c r="O69" s="1" t="str">
        <v/>
      </c>
      <c r="P69" t="str">
        <v/>
      </c>
      <c r="Q69" t="str">
        <v/>
      </c>
      <c r="R69" s="19" t="str">
        <v/>
      </c>
      <c r="S69" s="19" t="str">
        <v/>
      </c>
    </row>
    <row r="70" spans="15:19">
      <c r="O70" s="1" t="str">
        <v/>
      </c>
      <c r="P70" t="str">
        <v/>
      </c>
      <c r="Q70" t="str">
        <v/>
      </c>
      <c r="R70" s="19" t="str">
        <v/>
      </c>
      <c r="S70" s="19" t="str">
        <v/>
      </c>
    </row>
    <row r="71" spans="15:19">
      <c r="O71" s="1" t="str">
        <v/>
      </c>
      <c r="P71" t="str">
        <v/>
      </c>
      <c r="Q71" t="str">
        <v/>
      </c>
      <c r="R71" s="19" t="str">
        <v/>
      </c>
      <c r="S71" s="19" t="str">
        <v/>
      </c>
    </row>
    <row r="72" spans="15:19">
      <c r="O72" s="1" t="str">
        <v/>
      </c>
      <c r="P72" t="str">
        <v/>
      </c>
      <c r="Q72" t="str">
        <v/>
      </c>
      <c r="R72" s="19" t="str">
        <v/>
      </c>
      <c r="S72" s="19" t="str">
        <v/>
      </c>
    </row>
    <row r="73" spans="15:19">
      <c r="O73" s="1" t="str">
        <v/>
      </c>
      <c r="P73" t="str">
        <v/>
      </c>
      <c r="Q73" t="str">
        <v/>
      </c>
      <c r="R73" s="19" t="str">
        <v/>
      </c>
      <c r="S73" s="19" t="str">
        <v/>
      </c>
    </row>
  </sheetData>
  <mergeCells count="2">
    <mergeCell ref="K44:L45"/>
    <mergeCell ref="O44:S45"/>
  </mergeCells>
  <conditionalFormatting sqref="K46">
    <cfRule type="cellIs" dxfId="238" priority="2" operator="equal">
      <formula>0</formula>
    </cfRule>
  </conditionalFormatting>
  <conditionalFormatting sqref="O46:S46">
    <cfRule type="cellIs" dxfId="237" priority="1" operator="equal">
      <formula>0</formula>
    </cfRule>
  </conditionalFormatting>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1406B-640F-4020-8CE7-C9AEACB06EB4}">
  <sheetPr codeName="Sheet1">
    <tabColor rgb="FFFFC000"/>
  </sheetPr>
  <dimension ref="E2:Y73"/>
  <sheetViews>
    <sheetView showGridLines="0" zoomScaleNormal="100" workbookViewId="0">
      <selection activeCell="AA57" sqref="AA57"/>
    </sheetView>
  </sheetViews>
  <sheetFormatPr defaultRowHeight="10.5"/>
  <cols>
    <col min="1" max="1" width="11.33203125" customWidth="1"/>
    <col min="4" max="4" width="6.5" customWidth="1"/>
    <col min="5" max="5" width="34.1640625" customWidth="1"/>
    <col min="6" max="6" width="9.1640625" style="1" customWidth="1"/>
    <col min="11" max="11" width="43.33203125" customWidth="1"/>
    <col min="12" max="12" width="9.33203125" style="1"/>
    <col min="13" max="13" width="5.6640625" customWidth="1"/>
    <col min="15" max="15" width="7.83203125" style="1" customWidth="1"/>
    <col min="16" max="16" width="13.33203125" customWidth="1"/>
    <col min="17" max="17" width="25.83203125" customWidth="1"/>
    <col min="18" max="18" width="30.83203125" style="19" bestFit="1" customWidth="1"/>
    <col min="19" max="19" width="15.6640625" style="19" customWidth="1"/>
  </cols>
  <sheetData>
    <row r="2" spans="17:17">
      <c r="Q2" t="s">
        <v>8</v>
      </c>
    </row>
    <row r="24" spans="11:25" ht="11.25" customHeight="1"/>
    <row r="25" spans="11:25" ht="11.25" customHeight="1">
      <c r="K25" t="s">
        <v>9</v>
      </c>
    </row>
    <row r="27" spans="11:25">
      <c r="Y27" t="s">
        <v>10</v>
      </c>
    </row>
    <row r="37" spans="11:24" ht="11.25" customHeight="1"/>
    <row r="38" spans="11:24" ht="11.25" customHeight="1"/>
    <row r="44" spans="11:24" ht="11.25" customHeight="1">
      <c r="K44" s="121" t="s">
        <v>0</v>
      </c>
      <c r="L44" s="121"/>
      <c r="O44" s="121" t="s">
        <v>1</v>
      </c>
      <c r="P44" s="121"/>
      <c r="Q44" s="121"/>
      <c r="R44" s="121"/>
      <c r="S44" s="121"/>
      <c r="X44" t="s">
        <v>10</v>
      </c>
    </row>
    <row r="45" spans="11:24" ht="11.25" customHeight="1">
      <c r="K45" s="121"/>
      <c r="L45" s="121"/>
      <c r="O45" s="122"/>
      <c r="P45" s="122"/>
      <c r="Q45" s="122"/>
      <c r="R45" s="122"/>
      <c r="S45" s="122"/>
    </row>
    <row r="46" spans="11:24" ht="11.25" customHeight="1">
      <c r="K46" s="10" t="s">
        <v>2</v>
      </c>
      <c r="L46" s="34" t="s">
        <v>3</v>
      </c>
      <c r="O46" s="10" t="s">
        <v>4</v>
      </c>
      <c r="P46" s="10" t="s">
        <v>5</v>
      </c>
      <c r="Q46" s="10" t="s">
        <v>2</v>
      </c>
      <c r="R46" s="10" t="s">
        <v>6</v>
      </c>
      <c r="S46" s="63" t="s">
        <v>7</v>
      </c>
    </row>
    <row r="47" spans="11:24">
      <c r="K47" t="str" cm="1">
        <f t="array" ref="K47:L61">IF(_xlfn._xlws.SORT(Pivot!$C$18:$D$32,2,-1)=0,"",(_xlfn._xlws.SORT(Pivot!$C$18:$D$32,2,-1)))</f>
        <v>Training</v>
      </c>
      <c r="L47" s="1">
        <v>20</v>
      </c>
      <c r="O47" s="1" t="str" cm="1">
        <f t="array" ref="O47:S73">IF(Pivot!$AK$5:$AO$31=0,"",Pivot!$AK$5:$AO$31)</f>
        <v/>
      </c>
      <c r="P47" t="str">
        <v/>
      </c>
      <c r="Q47" t="str">
        <v/>
      </c>
      <c r="R47" s="19" t="str">
        <v/>
      </c>
      <c r="S47" s="19" t="str">
        <v/>
      </c>
    </row>
    <row r="48" spans="11:24">
      <c r="K48" t="str">
        <v>Visit Exhibition</v>
      </c>
      <c r="L48" s="1">
        <v>5</v>
      </c>
      <c r="O48" s="1" t="str">
        <v/>
      </c>
      <c r="P48" t="str">
        <v/>
      </c>
      <c r="Q48" t="str">
        <v/>
      </c>
      <c r="R48" s="19" t="str">
        <v/>
      </c>
      <c r="S48" s="19" t="str">
        <v/>
      </c>
    </row>
    <row r="49" spans="5:19">
      <c r="K49" t="str">
        <v>Create standard document</v>
      </c>
      <c r="L49" s="1">
        <v>2</v>
      </c>
      <c r="O49" s="1" t="str">
        <v/>
      </c>
      <c r="P49" t="str">
        <v/>
      </c>
      <c r="Q49" t="str">
        <v/>
      </c>
      <c r="R49" s="19" t="str">
        <v/>
      </c>
      <c r="S49" s="19" t="str">
        <v/>
      </c>
    </row>
    <row r="50" spans="5:19">
      <c r="K50" t="str">
        <v>5S meeting</v>
      </c>
      <c r="L50" s="1">
        <v>2</v>
      </c>
      <c r="O50" s="1" t="str">
        <v/>
      </c>
      <c r="P50" t="str">
        <v/>
      </c>
      <c r="Q50" t="str">
        <v/>
      </c>
      <c r="R50" s="19" t="str">
        <v/>
      </c>
      <c r="S50" s="19" t="str">
        <v/>
      </c>
    </row>
    <row r="51" spans="5:19">
      <c r="K51" t="str">
        <v>Interview candidate new member</v>
      </c>
      <c r="L51" s="1">
        <v>1</v>
      </c>
      <c r="O51" s="1" t="str">
        <v/>
      </c>
      <c r="P51" t="str">
        <v/>
      </c>
      <c r="Q51" t="str">
        <v/>
      </c>
      <c r="R51" s="19" t="str">
        <v/>
      </c>
      <c r="S51" s="19" t="str">
        <v/>
      </c>
    </row>
    <row r="52" spans="5:19">
      <c r="K52" t="str">
        <v>Support register document</v>
      </c>
      <c r="L52" s="1">
        <v>1</v>
      </c>
      <c r="O52" s="1" t="str">
        <v/>
      </c>
      <c r="P52" t="str">
        <v/>
      </c>
      <c r="Q52" t="str">
        <v/>
      </c>
      <c r="R52" s="19" t="str">
        <v/>
      </c>
      <c r="S52" s="19" t="str">
        <v/>
      </c>
    </row>
    <row r="53" spans="5:19">
      <c r="K53" t="str">
        <v/>
      </c>
      <c r="L53" s="1" t="str">
        <v/>
      </c>
      <c r="O53" s="1" t="str">
        <v/>
      </c>
      <c r="P53" t="str">
        <v/>
      </c>
      <c r="Q53" t="str">
        <v/>
      </c>
      <c r="R53" s="19" t="str">
        <v/>
      </c>
      <c r="S53" s="19" t="str">
        <v/>
      </c>
    </row>
    <row r="54" spans="5:19">
      <c r="K54" t="str">
        <v/>
      </c>
      <c r="L54" s="1" t="str">
        <v/>
      </c>
      <c r="O54" s="1" t="str">
        <v/>
      </c>
      <c r="P54" t="str">
        <v/>
      </c>
      <c r="Q54" t="str">
        <v/>
      </c>
      <c r="R54" s="19" t="str">
        <v/>
      </c>
      <c r="S54" s="19" t="str">
        <v/>
      </c>
    </row>
    <row r="55" spans="5:19">
      <c r="K55" t="str">
        <v/>
      </c>
      <c r="L55" s="1" t="str">
        <v/>
      </c>
      <c r="O55" s="1" t="str">
        <v/>
      </c>
      <c r="P55" t="str">
        <v/>
      </c>
      <c r="Q55" t="str">
        <v/>
      </c>
      <c r="R55" s="19" t="str">
        <v/>
      </c>
      <c r="S55" s="19" t="str">
        <v/>
      </c>
    </row>
    <row r="56" spans="5:19">
      <c r="K56" t="str">
        <v/>
      </c>
      <c r="L56" s="1" t="str">
        <v/>
      </c>
      <c r="O56" s="1" t="str">
        <v/>
      </c>
      <c r="P56" t="str">
        <v/>
      </c>
      <c r="Q56" t="str">
        <v/>
      </c>
      <c r="R56" s="19" t="str">
        <v/>
      </c>
      <c r="S56" s="19" t="str">
        <v/>
      </c>
    </row>
    <row r="57" spans="5:19">
      <c r="K57" t="str">
        <v/>
      </c>
      <c r="L57" s="1" t="str">
        <v/>
      </c>
      <c r="O57" s="1" t="str">
        <v/>
      </c>
      <c r="P57" t="str">
        <v/>
      </c>
      <c r="Q57" t="str">
        <v/>
      </c>
      <c r="R57" s="19" t="str">
        <v/>
      </c>
      <c r="S57" s="19" t="str">
        <v/>
      </c>
    </row>
    <row r="58" spans="5:19" ht="21">
      <c r="F58" s="62"/>
      <c r="K58" t="str">
        <v/>
      </c>
      <c r="L58" s="1" t="str">
        <v/>
      </c>
      <c r="O58" s="1" t="str">
        <v/>
      </c>
      <c r="P58" t="str">
        <v/>
      </c>
      <c r="Q58" t="str">
        <v/>
      </c>
      <c r="R58" s="19" t="str">
        <v/>
      </c>
      <c r="S58" s="19" t="str">
        <v/>
      </c>
    </row>
    <row r="59" spans="5:19" ht="21">
      <c r="E59" s="62"/>
      <c r="F59" s="62"/>
      <c r="K59" t="str">
        <v/>
      </c>
      <c r="L59" s="1" t="str">
        <v/>
      </c>
      <c r="O59" s="1" t="str">
        <v/>
      </c>
      <c r="P59" t="str">
        <v/>
      </c>
      <c r="Q59" t="str">
        <v/>
      </c>
      <c r="R59" s="19" t="str">
        <v/>
      </c>
      <c r="S59" s="19" t="str">
        <v/>
      </c>
    </row>
    <row r="60" spans="5:19">
      <c r="K60" t="str">
        <v/>
      </c>
      <c r="L60" s="1" t="str">
        <v/>
      </c>
      <c r="O60" s="1" t="str">
        <v/>
      </c>
      <c r="P60" t="str">
        <v/>
      </c>
      <c r="Q60" t="str">
        <v/>
      </c>
      <c r="R60" s="19" t="str">
        <v/>
      </c>
      <c r="S60" s="19" t="str">
        <v/>
      </c>
    </row>
    <row r="61" spans="5:19">
      <c r="K61" t="str">
        <v/>
      </c>
      <c r="L61" s="1" t="str">
        <v/>
      </c>
      <c r="O61" s="1" t="str">
        <v/>
      </c>
      <c r="P61" t="str">
        <v/>
      </c>
      <c r="Q61" t="str">
        <v/>
      </c>
      <c r="R61" s="19" t="str">
        <v/>
      </c>
      <c r="S61" s="19" t="str">
        <v/>
      </c>
    </row>
    <row r="62" spans="5:19">
      <c r="O62" s="1" t="str">
        <v/>
      </c>
      <c r="P62" t="str">
        <v/>
      </c>
      <c r="Q62" t="str">
        <v/>
      </c>
      <c r="R62" s="19" t="str">
        <v/>
      </c>
      <c r="S62" s="19" t="str">
        <v/>
      </c>
    </row>
    <row r="63" spans="5:19">
      <c r="O63" s="1" t="str">
        <v/>
      </c>
      <c r="P63" t="str">
        <v/>
      </c>
      <c r="Q63" t="str">
        <v/>
      </c>
      <c r="R63" s="19" t="str">
        <v/>
      </c>
      <c r="S63" s="19" t="str">
        <v/>
      </c>
    </row>
    <row r="64" spans="5:19">
      <c r="O64" s="1" t="str">
        <v/>
      </c>
      <c r="P64" t="str">
        <v/>
      </c>
      <c r="Q64" t="str">
        <v/>
      </c>
      <c r="R64" s="19" t="str">
        <v/>
      </c>
      <c r="S64" s="19" t="str">
        <v/>
      </c>
    </row>
    <row r="65" spans="15:19">
      <c r="O65" s="1" t="str">
        <v/>
      </c>
      <c r="P65" t="str">
        <v/>
      </c>
      <c r="Q65" t="str">
        <v/>
      </c>
      <c r="R65" s="19" t="str">
        <v/>
      </c>
      <c r="S65" s="19" t="str">
        <v/>
      </c>
    </row>
    <row r="66" spans="15:19">
      <c r="O66" s="1" t="str">
        <v/>
      </c>
      <c r="P66" t="str">
        <v/>
      </c>
      <c r="Q66" t="str">
        <v/>
      </c>
      <c r="R66" s="19" t="str">
        <v/>
      </c>
      <c r="S66" s="19" t="str">
        <v/>
      </c>
    </row>
    <row r="67" spans="15:19">
      <c r="O67" s="1" t="str">
        <v/>
      </c>
      <c r="P67" t="str">
        <v/>
      </c>
      <c r="Q67" t="str">
        <v/>
      </c>
      <c r="R67" s="19" t="str">
        <v/>
      </c>
      <c r="S67" s="19" t="str">
        <v/>
      </c>
    </row>
    <row r="68" spans="15:19">
      <c r="O68" s="1" t="str">
        <v/>
      </c>
      <c r="P68" t="str">
        <v/>
      </c>
      <c r="Q68" t="str">
        <v/>
      </c>
      <c r="R68" s="19" t="str">
        <v/>
      </c>
      <c r="S68" s="19" t="str">
        <v/>
      </c>
    </row>
    <row r="69" spans="15:19">
      <c r="O69" s="1" t="str">
        <v/>
      </c>
      <c r="P69" t="str">
        <v/>
      </c>
      <c r="Q69" t="str">
        <v/>
      </c>
      <c r="R69" s="19" t="str">
        <v/>
      </c>
      <c r="S69" s="19" t="str">
        <v/>
      </c>
    </row>
    <row r="70" spans="15:19">
      <c r="O70" s="1" t="str">
        <v/>
      </c>
      <c r="P70" t="str">
        <v/>
      </c>
      <c r="Q70" t="str">
        <v/>
      </c>
      <c r="R70" s="19" t="str">
        <v/>
      </c>
      <c r="S70" s="19" t="str">
        <v/>
      </c>
    </row>
    <row r="71" spans="15:19">
      <c r="O71" s="1" t="str">
        <v/>
      </c>
      <c r="P71" t="str">
        <v/>
      </c>
      <c r="Q71" t="str">
        <v/>
      </c>
      <c r="R71" s="19" t="str">
        <v/>
      </c>
      <c r="S71" s="19" t="str">
        <v/>
      </c>
    </row>
    <row r="72" spans="15:19">
      <c r="O72" s="1" t="str">
        <v/>
      </c>
      <c r="P72" t="str">
        <v/>
      </c>
      <c r="Q72" t="str">
        <v/>
      </c>
      <c r="R72" s="19" t="str">
        <v/>
      </c>
      <c r="S72" s="19" t="str">
        <v/>
      </c>
    </row>
    <row r="73" spans="15:19">
      <c r="O73" s="1" t="str">
        <v/>
      </c>
      <c r="P73" t="str">
        <v/>
      </c>
      <c r="Q73" t="str">
        <v/>
      </c>
      <c r="R73" s="19" t="str">
        <v/>
      </c>
      <c r="S73" s="19" t="str">
        <v/>
      </c>
    </row>
  </sheetData>
  <mergeCells count="2">
    <mergeCell ref="K44:L45"/>
    <mergeCell ref="O44:S45"/>
  </mergeCells>
  <conditionalFormatting sqref="K46">
    <cfRule type="cellIs" dxfId="236" priority="2" operator="equal">
      <formula>0</formula>
    </cfRule>
  </conditionalFormatting>
  <conditionalFormatting sqref="O46:S46">
    <cfRule type="cellIs" dxfId="235" priority="1" operator="equal">
      <formula>0</formula>
    </cfRule>
  </conditionalFormatting>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AC65D-D81A-4817-ADA6-ABF35041A313}">
  <sheetPr codeName="Sheet3"/>
  <dimension ref="A1:AO678"/>
  <sheetViews>
    <sheetView showGridLines="0" tabSelected="1" zoomScaleNormal="100" workbookViewId="0">
      <pane ySplit="12" topLeftCell="A662" activePane="bottomLeft" state="frozen"/>
      <selection pane="bottomLeft" activeCell="A673" sqref="A673:XFD673"/>
    </sheetView>
  </sheetViews>
  <sheetFormatPr defaultColWidth="9.33203125" defaultRowHeight="21" customHeight="1"/>
  <cols>
    <col min="1" max="2" width="6" customWidth="1"/>
    <col min="3" max="3" width="14.33203125" customWidth="1"/>
    <col min="4" max="4" width="21.33203125" customWidth="1"/>
    <col min="5" max="5" width="44.1640625" customWidth="1"/>
    <col min="6" max="6" width="12.5" customWidth="1"/>
    <col min="7" max="7" width="15.6640625" bestFit="1" customWidth="1"/>
    <col min="8" max="8" width="12.1640625" style="20" customWidth="1"/>
    <col min="9" max="9" width="13.5" style="20" customWidth="1"/>
    <col min="10" max="10" width="14.1640625" style="16" customWidth="1"/>
    <col min="11" max="11" width="13" style="15" customWidth="1"/>
    <col min="12" max="12" width="15.83203125" style="15" bestFit="1" customWidth="1"/>
    <col min="13" max="13" width="10.1640625" customWidth="1"/>
    <col min="14" max="15" width="4.6640625" style="19" customWidth="1"/>
    <col min="16" max="41" width="4.6640625" customWidth="1"/>
  </cols>
  <sheetData>
    <row r="1" spans="1:41" ht="6" customHeight="1">
      <c r="A1" s="2"/>
      <c r="B1" s="2"/>
      <c r="C1" s="4"/>
      <c r="D1" s="4"/>
      <c r="E1" s="5"/>
      <c r="F1" s="2"/>
      <c r="G1" s="2"/>
      <c r="H1" s="16"/>
      <c r="I1" s="16"/>
      <c r="K1" s="13"/>
      <c r="L1" s="13"/>
      <c r="M1" s="1"/>
    </row>
    <row r="2" spans="1:41" ht="31.5" customHeight="1">
      <c r="A2" s="105" t="s">
        <v>11</v>
      </c>
      <c r="B2" s="105"/>
      <c r="C2" s="105"/>
      <c r="D2" s="105"/>
      <c r="E2" s="105"/>
      <c r="H2" s="109">
        <f ca="1">TODAY()</f>
        <v>46213</v>
      </c>
      <c r="I2" s="109"/>
      <c r="J2" s="109"/>
      <c r="K2" s="111" t="str">
        <f ca="1">"Week "&amp;WEEKNUM(TODAY(),1)</f>
        <v>Week 28</v>
      </c>
      <c r="L2" s="111"/>
      <c r="M2" s="71"/>
      <c r="O2" s="106">
        <v>46023</v>
      </c>
      <c r="P2" s="106"/>
      <c r="Q2" s="106"/>
      <c r="R2" s="19"/>
      <c r="S2" s="19"/>
    </row>
    <row r="3" spans="1:41" ht="13.5" customHeight="1">
      <c r="A3" s="6"/>
      <c r="B3" s="6"/>
      <c r="C3" s="6"/>
      <c r="D3" s="6"/>
      <c r="F3" s="42" t="s">
        <v>12</v>
      </c>
      <c r="G3" s="42" t="s">
        <v>13</v>
      </c>
      <c r="H3" s="17"/>
      <c r="I3" s="17"/>
      <c r="J3" s="17"/>
      <c r="K3" s="28"/>
      <c r="L3" s="28"/>
      <c r="M3" s="6"/>
      <c r="O3" s="106">
        <f>O2+(U4*7)-10</f>
        <v>46202</v>
      </c>
      <c r="P3" s="106"/>
      <c r="Q3" s="106"/>
      <c r="R3" s="1"/>
    </row>
    <row r="4" spans="1:41" ht="13.5" customHeight="1">
      <c r="A4" s="6"/>
      <c r="B4" s="6"/>
      <c r="C4" s="6"/>
      <c r="D4" s="6"/>
      <c r="E4" s="39" t="s">
        <v>14</v>
      </c>
      <c r="F4" s="9">
        <f>COUNTIF(Table6[Type],E4)/COUNTA(Table6[Type])</f>
        <v>9.6096096096096095E-2</v>
      </c>
      <c r="G4" s="9">
        <f>COUNTIFS(Table6[Type],E4,Table6[Status],"Close")/COUNTIF(Table6[Type],E4)</f>
        <v>1</v>
      </c>
      <c r="H4" s="17"/>
      <c r="I4" s="17"/>
      <c r="J4" s="17"/>
      <c r="K4" s="28"/>
      <c r="L4" s="28"/>
      <c r="M4" s="6"/>
      <c r="O4" s="114" t="s">
        <v>15</v>
      </c>
      <c r="P4" s="115"/>
      <c r="Q4" s="115"/>
      <c r="R4" s="115"/>
      <c r="S4" s="115"/>
      <c r="T4" s="115"/>
      <c r="U4" s="112">
        <v>27</v>
      </c>
      <c r="V4" s="112"/>
    </row>
    <row r="5" spans="1:41" ht="13.5" customHeight="1">
      <c r="A5" s="6"/>
      <c r="B5" s="6"/>
      <c r="C5" s="6"/>
      <c r="D5" s="6"/>
      <c r="E5" s="39" t="s">
        <v>16</v>
      </c>
      <c r="F5" s="9">
        <f>COUNTIF(Table6[Type],E5)/COUNTA(Table6[Type])</f>
        <v>4.6546546546546545E-2</v>
      </c>
      <c r="G5" s="9">
        <f>COUNTIFS(Table6[Type],E5,Table6[Status],"Close")/COUNTIF(Table6[Type],E5)</f>
        <v>1</v>
      </c>
      <c r="H5" s="17"/>
      <c r="I5" s="17"/>
      <c r="J5" s="17"/>
      <c r="K5" s="28"/>
      <c r="L5" s="28"/>
      <c r="M5" s="6"/>
      <c r="N5" s="1"/>
      <c r="O5" s="116"/>
      <c r="P5" s="117"/>
      <c r="Q5" s="117"/>
      <c r="R5" s="117"/>
      <c r="S5" s="117"/>
      <c r="T5" s="117"/>
      <c r="U5" s="113"/>
      <c r="V5" s="113"/>
      <c r="Y5" s="69"/>
      <c r="Z5" s="69"/>
      <c r="AA5" s="69"/>
      <c r="AB5" s="69"/>
    </row>
    <row r="6" spans="1:41" ht="13.5" customHeight="1">
      <c r="A6" s="6"/>
      <c r="B6" s="6"/>
      <c r="C6" s="6"/>
      <c r="D6" s="6"/>
      <c r="E6" s="39" t="s">
        <v>17</v>
      </c>
      <c r="F6" s="9">
        <f>COUNTIF(Table6[Type],E6)/COUNTA(Table6[Type])</f>
        <v>0.28078078078078078</v>
      </c>
      <c r="G6" s="9">
        <f>COUNTIFS(Table6[Type],E6,Table6[Status],"Close")/COUNTIF(Table6[Type],E6)</f>
        <v>0.99465240641711228</v>
      </c>
      <c r="H6" s="17"/>
      <c r="I6" s="17"/>
      <c r="J6" s="17"/>
      <c r="K6" s="14"/>
      <c r="L6" s="14"/>
      <c r="M6" s="6"/>
      <c r="O6" s="110" t="s">
        <v>18</v>
      </c>
      <c r="P6" s="110"/>
      <c r="Q6" s="110"/>
      <c r="R6" s="110"/>
      <c r="S6" s="110"/>
      <c r="T6" s="110"/>
      <c r="U6" s="110"/>
      <c r="V6" s="110"/>
    </row>
    <row r="7" spans="1:41" ht="13.5" customHeight="1">
      <c r="A7" s="6"/>
      <c r="B7" s="6"/>
      <c r="C7" s="6"/>
      <c r="D7" s="6"/>
      <c r="E7" s="39" t="s">
        <v>19</v>
      </c>
      <c r="F7" s="9">
        <f>COUNTIF(Table6[Type],E7)/COUNTA(Table6[Type])</f>
        <v>2.2522522522522521E-2</v>
      </c>
      <c r="G7" s="9">
        <f>COUNTIFS(Table6[Type],E7,Table6[Status],"Close")/COUNTIF(Table6[Type],E7)</f>
        <v>1</v>
      </c>
      <c r="H7" s="17"/>
      <c r="I7" s="17"/>
      <c r="J7" s="17"/>
      <c r="K7" s="14"/>
      <c r="L7" s="14"/>
      <c r="M7" s="6"/>
      <c r="N7"/>
      <c r="O7"/>
    </row>
    <row r="8" spans="1:41" s="2" customFormat="1" ht="13.5" customHeight="1">
      <c r="C8" s="5"/>
      <c r="D8" s="5"/>
      <c r="E8" s="39" t="s">
        <v>20</v>
      </c>
      <c r="F8" s="9">
        <f>COUNTIF(Table6[Type],E8)/COUNTA(Table6[Type])</f>
        <v>0.11261261261261261</v>
      </c>
      <c r="G8" s="9">
        <f>COUNTIFS(Table6[Type],E8,Table6[Status],"Close")/COUNTIF(Table6[Type],E8)</f>
        <v>1</v>
      </c>
      <c r="H8" s="17"/>
      <c r="I8" s="17"/>
      <c r="J8" s="17"/>
      <c r="K8" s="14"/>
      <c r="L8" s="14"/>
      <c r="N8" s="107" t="str">
        <f>TEXT(P10,"MMMM")</f>
        <v>July</v>
      </c>
      <c r="O8" s="108"/>
      <c r="P8" s="108"/>
      <c r="Q8" s="108"/>
      <c r="R8" s="108"/>
      <c r="S8" s="108"/>
      <c r="T8" s="108"/>
      <c r="U8" s="107" t="str">
        <f>TEXT(W10,"MMMM")</f>
        <v>July</v>
      </c>
      <c r="V8" s="108"/>
      <c r="W8" s="108"/>
      <c r="X8" s="108"/>
      <c r="Y8" s="108"/>
      <c r="Z8" s="108"/>
      <c r="AA8" s="108"/>
      <c r="AB8" s="107" t="str">
        <f>TEXT(AD10,"MMMM")</f>
        <v>July</v>
      </c>
      <c r="AC8" s="108"/>
      <c r="AD8" s="108"/>
      <c r="AE8" s="108"/>
      <c r="AF8" s="108"/>
      <c r="AG8" s="108"/>
      <c r="AH8" s="108"/>
      <c r="AI8" s="107" t="str">
        <f>TEXT(AK10,"MMMM")</f>
        <v>July</v>
      </c>
      <c r="AJ8" s="108"/>
      <c r="AK8" s="108"/>
      <c r="AL8" s="108"/>
      <c r="AM8" s="108"/>
      <c r="AN8" s="108"/>
      <c r="AO8" s="108"/>
    </row>
    <row r="9" spans="1:41" s="29" customFormat="1" ht="13.5" customHeight="1">
      <c r="C9" s="28"/>
      <c r="D9" s="28"/>
      <c r="E9" s="39" t="s">
        <v>21</v>
      </c>
      <c r="F9" s="9">
        <f>COUNTIF(Table6[Type],E9)/COUNTA(Table6[Type])</f>
        <v>0.1006006006006006</v>
      </c>
      <c r="G9" s="9">
        <f>COUNTIFS(Table6[Type],E9,Table6[Status],"Close")/COUNTIF(Table6[Type],E9)</f>
        <v>0.97014925373134331</v>
      </c>
      <c r="H9" s="17"/>
      <c r="I9" s="17"/>
      <c r="J9" s="17"/>
      <c r="K9" s="14"/>
      <c r="L9" s="14"/>
      <c r="N9" s="118" t="str">
        <f>"WW "&amp;WEEKNUM(N10)</f>
        <v>WW 27</v>
      </c>
      <c r="O9" s="119"/>
      <c r="P9" s="119"/>
      <c r="Q9" s="119"/>
      <c r="R9" s="119"/>
      <c r="S9" s="119"/>
      <c r="T9" s="120"/>
      <c r="U9" s="118" t="str">
        <f t="shared" ref="U9" si="0">"WW "&amp;WEEKNUM(U10)</f>
        <v>WW 28</v>
      </c>
      <c r="V9" s="119"/>
      <c r="W9" s="119"/>
      <c r="X9" s="119"/>
      <c r="Y9" s="119"/>
      <c r="Z9" s="119"/>
      <c r="AA9" s="120"/>
      <c r="AB9" s="118" t="str">
        <f t="shared" ref="AB9" si="1">"WW "&amp;WEEKNUM(AB10)</f>
        <v>WW 29</v>
      </c>
      <c r="AC9" s="119"/>
      <c r="AD9" s="119"/>
      <c r="AE9" s="119"/>
      <c r="AF9" s="119"/>
      <c r="AG9" s="119"/>
      <c r="AH9" s="120"/>
      <c r="AI9" s="118" t="str">
        <f t="shared" ref="AI9" si="2">"WW "&amp;WEEKNUM(AI10)</f>
        <v>WW 30</v>
      </c>
      <c r="AJ9" s="119"/>
      <c r="AK9" s="119"/>
      <c r="AL9" s="119"/>
      <c r="AM9" s="119"/>
      <c r="AN9" s="119"/>
      <c r="AO9" s="120"/>
    </row>
    <row r="10" spans="1:41" s="37" customFormat="1" ht="13.5" customHeight="1">
      <c r="C10" s="38"/>
      <c r="D10" s="38"/>
      <c r="E10" s="40" t="s">
        <v>22</v>
      </c>
      <c r="F10" s="9">
        <f>COUNTIF(Table6[Type],E10)/COUNTA(Table6[Type])</f>
        <v>1.0510510510510511E-2</v>
      </c>
      <c r="G10" s="9">
        <f>COUNTIFS(Table6[Type],E10,Table6[Status],"Close")/COUNTIF(Table6[Type],E10)</f>
        <v>0.8571428571428571</v>
      </c>
      <c r="H10" s="17"/>
      <c r="I10" s="17"/>
      <c r="J10" s="21"/>
      <c r="K10" s="21"/>
      <c r="L10" s="21"/>
      <c r="N10" s="70">
        <f>O3</f>
        <v>46202</v>
      </c>
      <c r="O10" s="70">
        <f t="shared" ref="O10:AO10" si="3">N10+1</f>
        <v>46203</v>
      </c>
      <c r="P10" s="70">
        <f t="shared" si="3"/>
        <v>46204</v>
      </c>
      <c r="Q10" s="70">
        <f t="shared" si="3"/>
        <v>46205</v>
      </c>
      <c r="R10" s="70">
        <f t="shared" si="3"/>
        <v>46206</v>
      </c>
      <c r="S10" s="70">
        <f t="shared" si="3"/>
        <v>46207</v>
      </c>
      <c r="T10" s="70">
        <f t="shared" si="3"/>
        <v>46208</v>
      </c>
      <c r="U10" s="70">
        <f t="shared" si="3"/>
        <v>46209</v>
      </c>
      <c r="V10" s="70">
        <f t="shared" si="3"/>
        <v>46210</v>
      </c>
      <c r="W10" s="70">
        <f t="shared" si="3"/>
        <v>46211</v>
      </c>
      <c r="X10" s="70">
        <f t="shared" si="3"/>
        <v>46212</v>
      </c>
      <c r="Y10" s="70">
        <f t="shared" si="3"/>
        <v>46213</v>
      </c>
      <c r="Z10" s="70">
        <f t="shared" si="3"/>
        <v>46214</v>
      </c>
      <c r="AA10" s="70">
        <f t="shared" si="3"/>
        <v>46215</v>
      </c>
      <c r="AB10" s="70">
        <f t="shared" si="3"/>
        <v>46216</v>
      </c>
      <c r="AC10" s="70">
        <f t="shared" si="3"/>
        <v>46217</v>
      </c>
      <c r="AD10" s="70">
        <f t="shared" si="3"/>
        <v>46218</v>
      </c>
      <c r="AE10" s="70">
        <f t="shared" si="3"/>
        <v>46219</v>
      </c>
      <c r="AF10" s="70">
        <f t="shared" si="3"/>
        <v>46220</v>
      </c>
      <c r="AG10" s="70">
        <f t="shared" si="3"/>
        <v>46221</v>
      </c>
      <c r="AH10" s="70">
        <f t="shared" si="3"/>
        <v>46222</v>
      </c>
      <c r="AI10" s="70">
        <f t="shared" si="3"/>
        <v>46223</v>
      </c>
      <c r="AJ10" s="70">
        <f t="shared" si="3"/>
        <v>46224</v>
      </c>
      <c r="AK10" s="70">
        <f t="shared" si="3"/>
        <v>46225</v>
      </c>
      <c r="AL10" s="70">
        <f t="shared" si="3"/>
        <v>46226</v>
      </c>
      <c r="AM10" s="70">
        <f t="shared" si="3"/>
        <v>46227</v>
      </c>
      <c r="AN10" s="70">
        <f t="shared" si="3"/>
        <v>46228</v>
      </c>
      <c r="AO10" s="70">
        <f t="shared" si="3"/>
        <v>46229</v>
      </c>
    </row>
    <row r="11" spans="1:41" s="24" customFormat="1" ht="13.5" customHeight="1">
      <c r="C11" s="35"/>
      <c r="D11" s="35"/>
      <c r="E11" s="40" t="s">
        <v>23</v>
      </c>
      <c r="F11" s="9">
        <f>COUNTIF(Table6[Type],E11)/COUNTA(Table6[Type])</f>
        <v>0.29879879879879878</v>
      </c>
      <c r="G11" s="36"/>
      <c r="H11" s="36"/>
      <c r="I11" s="23"/>
      <c r="J11" s="25"/>
      <c r="K11" s="25"/>
      <c r="L11" s="25"/>
      <c r="N11" s="26" t="str">
        <f>TEXT(N10,"ddd")</f>
        <v>Mon</v>
      </c>
      <c r="O11" s="26" t="str">
        <f t="shared" ref="O11:AO11" si="4">TEXT(O10,"ddd")</f>
        <v>Tue</v>
      </c>
      <c r="P11" s="26" t="str">
        <f t="shared" si="4"/>
        <v>Wed</v>
      </c>
      <c r="Q11" s="26" t="str">
        <f t="shared" si="4"/>
        <v>Thu</v>
      </c>
      <c r="R11" s="26" t="str">
        <f t="shared" si="4"/>
        <v>Fri</v>
      </c>
      <c r="S11" s="26" t="str">
        <f t="shared" si="4"/>
        <v>Sat</v>
      </c>
      <c r="T11" s="26" t="str">
        <f t="shared" si="4"/>
        <v>Sun</v>
      </c>
      <c r="U11" s="26" t="str">
        <f t="shared" si="4"/>
        <v>Mon</v>
      </c>
      <c r="V11" s="26" t="str">
        <f t="shared" si="4"/>
        <v>Tue</v>
      </c>
      <c r="W11" s="26" t="str">
        <f t="shared" si="4"/>
        <v>Wed</v>
      </c>
      <c r="X11" s="26" t="str">
        <f t="shared" si="4"/>
        <v>Thu</v>
      </c>
      <c r="Y11" s="26" t="str">
        <f t="shared" si="4"/>
        <v>Fri</v>
      </c>
      <c r="Z11" s="26" t="str">
        <f t="shared" si="4"/>
        <v>Sat</v>
      </c>
      <c r="AA11" s="26" t="str">
        <f t="shared" si="4"/>
        <v>Sun</v>
      </c>
      <c r="AB11" s="26" t="str">
        <f t="shared" si="4"/>
        <v>Mon</v>
      </c>
      <c r="AC11" s="26" t="str">
        <f t="shared" si="4"/>
        <v>Tue</v>
      </c>
      <c r="AD11" s="26" t="str">
        <f t="shared" si="4"/>
        <v>Wed</v>
      </c>
      <c r="AE11" s="26" t="str">
        <f t="shared" si="4"/>
        <v>Thu</v>
      </c>
      <c r="AF11" s="26" t="str">
        <f t="shared" si="4"/>
        <v>Fri</v>
      </c>
      <c r="AG11" s="26" t="str">
        <f t="shared" si="4"/>
        <v>Sat</v>
      </c>
      <c r="AH11" s="26" t="str">
        <f t="shared" si="4"/>
        <v>Sun</v>
      </c>
      <c r="AI11" s="26" t="str">
        <f t="shared" si="4"/>
        <v>Mon</v>
      </c>
      <c r="AJ11" s="26" t="str">
        <f t="shared" si="4"/>
        <v>Tue</v>
      </c>
      <c r="AK11" s="26" t="str">
        <f t="shared" si="4"/>
        <v>Wed</v>
      </c>
      <c r="AL11" s="26" t="str">
        <f t="shared" si="4"/>
        <v>Thu</v>
      </c>
      <c r="AM11" s="26" t="str">
        <f t="shared" si="4"/>
        <v>Fri</v>
      </c>
      <c r="AN11" s="26" t="str">
        <f t="shared" si="4"/>
        <v>Sat</v>
      </c>
      <c r="AO11" s="26" t="str">
        <f t="shared" si="4"/>
        <v>Sun</v>
      </c>
    </row>
    <row r="12" spans="1:41" s="2" customFormat="1" ht="27.75" customHeight="1">
      <c r="A12" s="11" t="s">
        <v>4</v>
      </c>
      <c r="B12" s="12" t="s">
        <v>24</v>
      </c>
      <c r="C12" s="12" t="s">
        <v>5</v>
      </c>
      <c r="D12" s="11" t="s">
        <v>2</v>
      </c>
      <c r="E12" s="11" t="s">
        <v>25</v>
      </c>
      <c r="F12" s="11" t="s">
        <v>26</v>
      </c>
      <c r="G12" s="11" t="s">
        <v>27</v>
      </c>
      <c r="H12" s="18" t="s">
        <v>28</v>
      </c>
      <c r="I12" s="18" t="s">
        <v>7</v>
      </c>
      <c r="J12" s="18" t="s">
        <v>29</v>
      </c>
      <c r="K12" s="11" t="s">
        <v>30</v>
      </c>
      <c r="L12" s="33" t="s">
        <v>31</v>
      </c>
      <c r="M12" s="30" t="s">
        <v>32</v>
      </c>
      <c r="N12" s="31" t="s">
        <v>33</v>
      </c>
      <c r="O12" s="32" t="s">
        <v>34</v>
      </c>
      <c r="P12" s="32" t="s">
        <v>35</v>
      </c>
      <c r="Q12" s="32" t="s">
        <v>36</v>
      </c>
      <c r="R12" s="32" t="s">
        <v>37</v>
      </c>
      <c r="S12" s="32" t="s">
        <v>38</v>
      </c>
      <c r="T12" s="32" t="s">
        <v>39</v>
      </c>
      <c r="U12" s="32" t="s">
        <v>40</v>
      </c>
      <c r="V12" s="32" t="s">
        <v>41</v>
      </c>
      <c r="W12" s="32" t="s">
        <v>42</v>
      </c>
      <c r="X12" s="32" t="s">
        <v>43</v>
      </c>
      <c r="Y12" s="32" t="s">
        <v>44</v>
      </c>
      <c r="Z12" s="32" t="s">
        <v>45</v>
      </c>
      <c r="AA12" s="32" t="s">
        <v>46</v>
      </c>
      <c r="AB12" s="32" t="s">
        <v>47</v>
      </c>
      <c r="AC12" s="32" t="s">
        <v>48</v>
      </c>
      <c r="AD12" s="32" t="s">
        <v>49</v>
      </c>
      <c r="AE12" s="32" t="s">
        <v>50</v>
      </c>
      <c r="AF12" s="32" t="s">
        <v>51</v>
      </c>
      <c r="AG12" s="32" t="s">
        <v>52</v>
      </c>
      <c r="AH12" s="32" t="s">
        <v>53</v>
      </c>
      <c r="AI12" s="32" t="s">
        <v>54</v>
      </c>
      <c r="AJ12" s="32" t="s">
        <v>55</v>
      </c>
      <c r="AK12" s="32" t="s">
        <v>56</v>
      </c>
      <c r="AL12" s="32" t="s">
        <v>57</v>
      </c>
      <c r="AM12" s="32" t="s">
        <v>58</v>
      </c>
      <c r="AN12" s="32" t="s">
        <v>59</v>
      </c>
      <c r="AO12" s="32" t="s">
        <v>60</v>
      </c>
    </row>
    <row r="13" spans="1:41" ht="21" hidden="1" customHeight="1">
      <c r="A13" s="27">
        <f>WEEKNUM(Table6[[#This Row],[Start Date]])</f>
        <v>2</v>
      </c>
      <c r="B13" s="27" t="str">
        <f>TEXT(Table6[[#This Row],[Start Date]],"mmm")</f>
        <v>Jan</v>
      </c>
      <c r="C13" s="27" t="str">
        <f>_xlfn.IFNA(INDEX(Refer!$B$5:$B$103,MATCH(Table6[[#This Row],[TASK]],Refer!$C$5:$C$103,0)),"")</f>
        <v>NPI</v>
      </c>
      <c r="D13" s="79" t="s">
        <v>61</v>
      </c>
      <c r="E13" s="79" t="s">
        <v>62</v>
      </c>
      <c r="F13" s="82" t="s">
        <v>63</v>
      </c>
      <c r="G13" s="27" t="s">
        <v>64</v>
      </c>
      <c r="H13" s="41">
        <v>46027</v>
      </c>
      <c r="I13" s="41">
        <v>46027</v>
      </c>
      <c r="J13" s="41">
        <v>46027</v>
      </c>
      <c r="K13" s="27" t="str">
        <f>IF(Table6[[#This Row],[Finish Date]]=0,"On process","Close")</f>
        <v>Close</v>
      </c>
      <c r="L13" s="27" t="str">
        <f>IF(Table6[[#This Row],[Status]]="On process",IF($H$2&gt;Table6[[#This Row],[Target Date]],"Overdue","On time"),"Closed")</f>
        <v>Closed</v>
      </c>
      <c r="M13" s="27" t="str" cm="1">
        <f t="array" ref="M13">_xlfn.IFS(Table6[[#This Row],[Finish Date]]=0,"",Table6[[#This Row],[Finish Date]]&gt;Table6[[#This Row],[Target Date]],"Delay",Table6[[#This Row],[Finish Date]]&lt;=Table6[[#This Row],[Target Date]],"On Time")</f>
        <v>On Time</v>
      </c>
      <c r="N13" s="78"/>
      <c r="O13" s="78"/>
      <c r="P13" s="83"/>
      <c r="Q13" s="83"/>
      <c r="R13" s="83"/>
      <c r="S13" s="83"/>
      <c r="T13" s="83"/>
      <c r="U13" s="83"/>
      <c r="V13" s="83"/>
      <c r="W13" s="83"/>
      <c r="X13" s="83"/>
      <c r="Y13" s="83"/>
      <c r="Z13" s="83"/>
      <c r="AA13" s="83"/>
      <c r="AB13" s="83"/>
      <c r="AC13" s="83"/>
      <c r="AD13" s="83"/>
      <c r="AE13" s="83"/>
      <c r="AF13" s="83"/>
      <c r="AG13" s="83"/>
      <c r="AH13" s="83"/>
      <c r="AI13" s="83"/>
      <c r="AJ13" s="83"/>
      <c r="AK13" s="83"/>
      <c r="AL13" s="83"/>
      <c r="AM13" s="83"/>
      <c r="AN13" s="83"/>
      <c r="AO13" s="83"/>
    </row>
    <row r="14" spans="1:41" ht="21" hidden="1" customHeight="1">
      <c r="A14" s="27">
        <f>WEEKNUM(Table6[[#This Row],[Start Date]])</f>
        <v>2</v>
      </c>
      <c r="B14" s="27" t="str">
        <f>TEXT(Table6[[#This Row],[Start Date]],"mmm")</f>
        <v>Jan</v>
      </c>
      <c r="C14" s="27" t="str">
        <f>_xlfn.IFNA(INDEX(Refer!$B$5:$B$103,MATCH(Table6[[#This Row],[TASK]],Refer!$C$5:$C$103,0)),"")</f>
        <v>NPI</v>
      </c>
      <c r="D14" s="79" t="s">
        <v>61</v>
      </c>
      <c r="E14" s="79" t="s">
        <v>65</v>
      </c>
      <c r="F14" s="82" t="s">
        <v>66</v>
      </c>
      <c r="G14" s="27" t="s">
        <v>67</v>
      </c>
      <c r="H14" s="41">
        <v>46028</v>
      </c>
      <c r="I14" s="41">
        <v>46028</v>
      </c>
      <c r="J14" s="41">
        <v>46028</v>
      </c>
      <c r="K14" s="27" t="str">
        <f>IF(Table6[[#This Row],[Finish Date]]=0,"On process","Close")</f>
        <v>Close</v>
      </c>
      <c r="L14" s="27" t="str">
        <f>IF(Table6[[#This Row],[Status]]="On process",IF($H$2&gt;Table6[[#This Row],[Target Date]],"Overdue","On time"),"Closed")</f>
        <v>Closed</v>
      </c>
      <c r="M14" s="27" t="str" cm="1">
        <f t="array" ref="M14">_xlfn.IFS(Table6[[#This Row],[Finish Date]]=0,"",Table6[[#This Row],[Finish Date]]&gt;Table6[[#This Row],[Target Date]],"Delay",Table6[[#This Row],[Finish Date]]&lt;=Table6[[#This Row],[Target Date]],"On Time")</f>
        <v>On Time</v>
      </c>
      <c r="N14" s="78"/>
      <c r="O14" s="78"/>
      <c r="P14" s="83"/>
      <c r="Q14" s="83"/>
      <c r="R14" s="83"/>
      <c r="S14" s="83"/>
      <c r="T14" s="83"/>
      <c r="U14" s="83"/>
      <c r="V14" s="83"/>
      <c r="W14" s="83"/>
      <c r="X14" s="83"/>
      <c r="Y14" s="83"/>
      <c r="Z14" s="83"/>
      <c r="AA14" s="83"/>
      <c r="AB14" s="83"/>
      <c r="AC14" s="83"/>
      <c r="AD14" s="83"/>
      <c r="AE14" s="83"/>
      <c r="AF14" s="83"/>
      <c r="AG14" s="83"/>
      <c r="AH14" s="83"/>
      <c r="AI14" s="83"/>
      <c r="AJ14" s="83"/>
      <c r="AK14" s="83"/>
      <c r="AL14" s="83"/>
      <c r="AM14" s="83"/>
      <c r="AN14" s="83"/>
      <c r="AO14" s="83"/>
    </row>
    <row r="15" spans="1:41" ht="21" hidden="1" customHeight="1">
      <c r="A15" s="27">
        <f>WEEKNUM(Table6[[#This Row],[Start Date]])</f>
        <v>2</v>
      </c>
      <c r="B15" s="27" t="str">
        <f>TEXT(Table6[[#This Row],[Start Date]],"mmm")</f>
        <v>Jan</v>
      </c>
      <c r="C15" s="27" t="str">
        <f>_xlfn.IFNA(INDEX(Refer!$B$5:$B$103,MATCH(Table6[[#This Row],[TASK]],Refer!$C$5:$C$103,0)),"")</f>
        <v>NPI</v>
      </c>
      <c r="D15" s="79" t="s">
        <v>61</v>
      </c>
      <c r="E15" s="79" t="s">
        <v>68</v>
      </c>
      <c r="F15" s="82" t="s">
        <v>63</v>
      </c>
      <c r="G15" s="27" t="s">
        <v>64</v>
      </c>
      <c r="H15" s="41">
        <v>46028</v>
      </c>
      <c r="I15" s="41">
        <v>46029</v>
      </c>
      <c r="J15" s="41">
        <v>46029</v>
      </c>
      <c r="K15" s="27" t="str">
        <f>IF(Table6[[#This Row],[Finish Date]]=0,"On process","Close")</f>
        <v>Close</v>
      </c>
      <c r="L15" s="27" t="str">
        <f>IF(Table6[[#This Row],[Status]]="On process",IF($H$2&gt;Table6[[#This Row],[Target Date]],"Overdue","On time"),"Closed")</f>
        <v>Closed</v>
      </c>
      <c r="M15" s="27" t="str" cm="1">
        <f t="array" ref="M15">_xlfn.IFS(Table6[[#This Row],[Finish Date]]=0,"",Table6[[#This Row],[Finish Date]]&gt;Table6[[#This Row],[Target Date]],"Delay",Table6[[#This Row],[Finish Date]]&lt;=Table6[[#This Row],[Target Date]],"On Time")</f>
        <v>On Time</v>
      </c>
      <c r="N15" s="78"/>
      <c r="O15" s="78"/>
      <c r="P15" s="83"/>
      <c r="Q15" s="83"/>
      <c r="R15" s="83"/>
      <c r="S15" s="83"/>
      <c r="T15" s="83"/>
      <c r="U15" s="83"/>
      <c r="V15" s="83"/>
      <c r="W15" s="83"/>
      <c r="X15" s="83"/>
      <c r="Y15" s="83"/>
      <c r="Z15" s="83"/>
      <c r="AA15" s="83"/>
      <c r="AB15" s="83"/>
      <c r="AC15" s="83"/>
      <c r="AD15" s="83"/>
      <c r="AE15" s="83"/>
      <c r="AF15" s="83"/>
      <c r="AG15" s="83"/>
      <c r="AH15" s="83"/>
      <c r="AI15" s="83"/>
      <c r="AJ15" s="83"/>
      <c r="AK15" s="83"/>
      <c r="AL15" s="83"/>
      <c r="AM15" s="83"/>
      <c r="AN15" s="83"/>
      <c r="AO15" s="83"/>
    </row>
    <row r="16" spans="1:41" ht="21" hidden="1" customHeight="1">
      <c r="A16" s="27">
        <f>WEEKNUM(Table6[[#This Row],[Start Date]])</f>
        <v>2</v>
      </c>
      <c r="B16" s="27" t="str">
        <f>TEXT(Table6[[#This Row],[Start Date]],"mmm")</f>
        <v>Jan</v>
      </c>
      <c r="C16" s="27" t="str">
        <f>_xlfn.IFNA(INDEX(Refer!$B$5:$B$103,MATCH(Table6[[#This Row],[TASK]],Refer!$C$5:$C$103,0)),"")</f>
        <v>NPI</v>
      </c>
      <c r="D16" s="79" t="s">
        <v>61</v>
      </c>
      <c r="E16" s="79" t="s">
        <v>69</v>
      </c>
      <c r="F16" s="82" t="s">
        <v>63</v>
      </c>
      <c r="G16" s="27" t="s">
        <v>64</v>
      </c>
      <c r="H16" s="41">
        <v>46029</v>
      </c>
      <c r="I16" s="41">
        <v>46030</v>
      </c>
      <c r="J16" s="41">
        <v>46030</v>
      </c>
      <c r="K16" s="27" t="str">
        <f>IF(Table6[[#This Row],[Finish Date]]=0,"On process","Close")</f>
        <v>Close</v>
      </c>
      <c r="L16" s="27" t="str">
        <f>IF(Table6[[#This Row],[Status]]="On process",IF($H$2&gt;Table6[[#This Row],[Target Date]],"Overdue","On time"),"Closed")</f>
        <v>Closed</v>
      </c>
      <c r="M16" s="27" t="str" cm="1">
        <f t="array" ref="M16">_xlfn.IFS(Table6[[#This Row],[Finish Date]]=0,"",Table6[[#This Row],[Finish Date]]&gt;Table6[[#This Row],[Target Date]],"Delay",Table6[[#This Row],[Finish Date]]&lt;=Table6[[#This Row],[Target Date]],"On Time")</f>
        <v>On Time</v>
      </c>
      <c r="N16" s="78"/>
      <c r="O16" s="78"/>
      <c r="P16" s="83"/>
      <c r="Q16" s="83"/>
      <c r="R16" s="83"/>
      <c r="S16" s="83"/>
      <c r="T16" s="83"/>
      <c r="U16" s="83"/>
      <c r="V16" s="83"/>
      <c r="W16" s="83"/>
      <c r="X16" s="83"/>
      <c r="Y16" s="83"/>
      <c r="Z16" s="83"/>
      <c r="AA16" s="83"/>
      <c r="AB16" s="83"/>
      <c r="AC16" s="83"/>
      <c r="AD16" s="83"/>
      <c r="AE16" s="83"/>
      <c r="AF16" s="83"/>
      <c r="AG16" s="83"/>
      <c r="AH16" s="83"/>
      <c r="AI16" s="83"/>
      <c r="AJ16" s="83"/>
      <c r="AK16" s="83"/>
      <c r="AL16" s="83"/>
      <c r="AM16" s="83"/>
      <c r="AN16" s="83"/>
      <c r="AO16" s="83"/>
    </row>
    <row r="17" spans="1:41" ht="21" hidden="1" customHeight="1">
      <c r="A17" s="27">
        <f>WEEKNUM(Table6[[#This Row],[Start Date]])</f>
        <v>2</v>
      </c>
      <c r="B17" s="27" t="str">
        <f>TEXT(Table6[[#This Row],[Start Date]],"mmm")</f>
        <v>Jan</v>
      </c>
      <c r="C17" s="27" t="str">
        <f>_xlfn.IFNA(INDEX(Refer!$B$5:$B$103,MATCH(Table6[[#This Row],[TASK]],Refer!$C$5:$C$103,0)),"")</f>
        <v>NPI</v>
      </c>
      <c r="D17" s="79" t="s">
        <v>70</v>
      </c>
      <c r="E17" s="79" t="s">
        <v>71</v>
      </c>
      <c r="F17" s="82" t="s">
        <v>63</v>
      </c>
      <c r="G17" s="27" t="s">
        <v>64</v>
      </c>
      <c r="H17" s="41">
        <v>46029</v>
      </c>
      <c r="I17" s="41">
        <v>46029</v>
      </c>
      <c r="J17" s="41">
        <v>46029</v>
      </c>
      <c r="K17" s="27" t="str">
        <f>IF(Table6[[#This Row],[Finish Date]]=0,"On process","Close")</f>
        <v>Close</v>
      </c>
      <c r="L17" s="27" t="str">
        <f>IF(Table6[[#This Row],[Status]]="On process",IF($H$2&gt;Table6[[#This Row],[Target Date]],"Overdue","On time"),"Closed")</f>
        <v>Closed</v>
      </c>
      <c r="M17" s="27" t="str" cm="1">
        <f t="array" ref="M17">_xlfn.IFS(Table6[[#This Row],[Finish Date]]=0,"",Table6[[#This Row],[Finish Date]]&gt;Table6[[#This Row],[Target Date]],"Delay",Table6[[#This Row],[Finish Date]]&lt;=Table6[[#This Row],[Target Date]],"On Time")</f>
        <v>On Time</v>
      </c>
      <c r="N17" s="78"/>
      <c r="O17" s="78"/>
      <c r="P17" s="83"/>
      <c r="Q17" s="83"/>
      <c r="R17" s="83"/>
      <c r="S17" s="83"/>
      <c r="T17" s="83"/>
      <c r="U17" s="83"/>
      <c r="V17" s="83"/>
      <c r="W17" s="83"/>
      <c r="X17" s="83"/>
      <c r="Y17" s="83"/>
      <c r="Z17" s="83"/>
      <c r="AA17" s="83"/>
      <c r="AB17" s="83"/>
      <c r="AC17" s="83"/>
      <c r="AD17" s="83"/>
      <c r="AE17" s="83"/>
      <c r="AF17" s="83"/>
      <c r="AG17" s="83"/>
      <c r="AH17" s="83"/>
      <c r="AI17" s="83"/>
      <c r="AJ17" s="83"/>
      <c r="AK17" s="83"/>
      <c r="AL17" s="83"/>
      <c r="AM17" s="83"/>
      <c r="AN17" s="83"/>
      <c r="AO17" s="83"/>
    </row>
    <row r="18" spans="1:41" ht="21" hidden="1" customHeight="1">
      <c r="A18" s="27">
        <f>WEEKNUM(Table6[[#This Row],[Start Date]])</f>
        <v>2</v>
      </c>
      <c r="B18" s="27" t="str">
        <f>TEXT(Table6[[#This Row],[Start Date]],"mmm")</f>
        <v>Jan</v>
      </c>
      <c r="C18" s="27" t="str">
        <f>_xlfn.IFNA(INDEX(Refer!$B$5:$B$103,MATCH(Table6[[#This Row],[TASK]],Refer!$C$5:$C$103,0)),"")</f>
        <v>MEETING</v>
      </c>
      <c r="D18" s="79" t="s">
        <v>72</v>
      </c>
      <c r="E18" s="79" t="s">
        <v>73</v>
      </c>
      <c r="F18" s="82" t="s">
        <v>63</v>
      </c>
      <c r="G18" s="27" t="s">
        <v>64</v>
      </c>
      <c r="H18" s="41">
        <v>46030</v>
      </c>
      <c r="I18" s="41">
        <v>46030</v>
      </c>
      <c r="J18" s="41">
        <v>46030</v>
      </c>
      <c r="K18" s="27" t="str">
        <f>IF(Table6[[#This Row],[Finish Date]]=0,"On process","Close")</f>
        <v>Close</v>
      </c>
      <c r="L18" s="27" t="str">
        <f>IF(Table6[[#This Row],[Status]]="On process",IF($H$2&gt;Table6[[#This Row],[Target Date]],"Overdue","On time"),"Closed")</f>
        <v>Closed</v>
      </c>
      <c r="M18" s="27" t="str" cm="1">
        <f t="array" ref="M18">_xlfn.IFS(Table6[[#This Row],[Finish Date]]=0,"",Table6[[#This Row],[Finish Date]]&gt;Table6[[#This Row],[Target Date]],"Delay",Table6[[#This Row],[Finish Date]]&lt;=Table6[[#This Row],[Target Date]],"On Time")</f>
        <v>On Time</v>
      </c>
      <c r="N18" s="78"/>
      <c r="O18" s="78"/>
      <c r="P18" s="83"/>
      <c r="Q18" s="83"/>
      <c r="R18" s="83"/>
      <c r="S18" s="83"/>
      <c r="T18" s="83"/>
      <c r="U18" s="83"/>
      <c r="V18" s="83"/>
      <c r="W18" s="83"/>
      <c r="X18" s="83"/>
      <c r="Y18" s="83"/>
      <c r="Z18" s="83"/>
      <c r="AA18" s="83"/>
      <c r="AB18" s="83"/>
      <c r="AC18" s="83"/>
      <c r="AD18" s="83"/>
      <c r="AE18" s="83"/>
      <c r="AF18" s="83"/>
      <c r="AG18" s="83"/>
      <c r="AH18" s="83"/>
      <c r="AI18" s="83"/>
      <c r="AJ18" s="83"/>
      <c r="AK18" s="83"/>
      <c r="AL18" s="83"/>
      <c r="AM18" s="83"/>
      <c r="AN18" s="83"/>
      <c r="AO18" s="83"/>
    </row>
    <row r="19" spans="1:41" s="2" customFormat="1" ht="21" hidden="1" customHeight="1">
      <c r="A19" s="27">
        <f>WEEKNUM(Table6[[#This Row],[Start Date]])</f>
        <v>3</v>
      </c>
      <c r="B19" s="81" t="str">
        <f>TEXT(Table6[[#This Row],[Start Date]],"mmm")</f>
        <v>Jan</v>
      </c>
      <c r="C19" s="81" t="str">
        <f>_xlfn.IFNA(INDEX(Refer!$B$5:$B$103,MATCH(Table6[[#This Row],[TASK]],Refer!$C$5:$C$103,0)),"")</f>
        <v>NPI</v>
      </c>
      <c r="D19" s="79" t="s">
        <v>61</v>
      </c>
      <c r="E19" s="81" t="s">
        <v>74</v>
      </c>
      <c r="F19" s="81" t="s">
        <v>66</v>
      </c>
      <c r="G19" s="27" t="s">
        <v>64</v>
      </c>
      <c r="H19" s="41">
        <v>46034</v>
      </c>
      <c r="I19" s="41">
        <v>46034</v>
      </c>
      <c r="J19" s="81">
        <v>46034</v>
      </c>
      <c r="K19" s="81" t="str">
        <f>IF(Table6[[#This Row],[Finish Date]]=0,"On process","Close")</f>
        <v>Close</v>
      </c>
      <c r="L19" s="81" t="str">
        <f>IF(Table6[[#This Row],[Status]]="On process",IF($H$2&gt;Table6[[#This Row],[Target Date]],"Overdue","On time"),"Closed")</f>
        <v>Closed</v>
      </c>
      <c r="M19" s="81" t="str" cm="1">
        <f t="array" ref="M19">_xlfn.IFS(Table6[[#This Row],[Finish Date]]=0,"",Table6[[#This Row],[Finish Date]]&gt;Table6[[#This Row],[Target Date]],"Delay",Table6[[#This Row],[Finish Date]]&lt;=Table6[[#This Row],[Target Date]],"On Time")</f>
        <v>On Time</v>
      </c>
      <c r="N19" s="81"/>
      <c r="O19" s="81"/>
      <c r="P19" s="81"/>
      <c r="Q19" s="81"/>
      <c r="R19" s="81"/>
      <c r="S19" s="81"/>
      <c r="T19" s="81"/>
      <c r="U19" s="81"/>
      <c r="V19" s="81"/>
      <c r="W19" s="81"/>
      <c r="X19" s="81"/>
      <c r="Y19" s="81"/>
      <c r="Z19" s="81"/>
      <c r="AA19" s="81"/>
      <c r="AB19" s="81"/>
      <c r="AC19" s="81"/>
      <c r="AD19" s="81"/>
      <c r="AE19" s="81"/>
      <c r="AF19" s="81"/>
      <c r="AG19" s="81"/>
      <c r="AH19" s="81"/>
      <c r="AI19" s="81"/>
      <c r="AJ19" s="81"/>
      <c r="AK19" s="81"/>
      <c r="AL19" s="81"/>
      <c r="AM19" s="81"/>
      <c r="AN19" s="81"/>
      <c r="AO19" s="81"/>
    </row>
    <row r="20" spans="1:41" ht="21" hidden="1" customHeight="1">
      <c r="A20" s="27">
        <f>WEEKNUM(Table6[[#This Row],[Start Date]])</f>
        <v>3</v>
      </c>
      <c r="B20" s="27" t="str">
        <f>TEXT(Table6[[#This Row],[Start Date]],"mmm")</f>
        <v>Jan</v>
      </c>
      <c r="C20" s="27" t="str">
        <f>_xlfn.IFNA(INDEX(Refer!$B$5:$B$103,MATCH(Table6[[#This Row],[TASK]],Refer!$C$5:$C$103,0)),"")</f>
        <v>NPI</v>
      </c>
      <c r="D20" s="79" t="s">
        <v>61</v>
      </c>
      <c r="E20" s="79" t="s">
        <v>75</v>
      </c>
      <c r="F20" s="82" t="s">
        <v>66</v>
      </c>
      <c r="G20" s="27" t="s">
        <v>64</v>
      </c>
      <c r="H20" s="41">
        <v>46034</v>
      </c>
      <c r="I20" s="41">
        <v>46034</v>
      </c>
      <c r="J20" s="41">
        <v>46034</v>
      </c>
      <c r="K20" s="27" t="str">
        <f>IF(Table6[[#This Row],[Finish Date]]=0,"On process","Close")</f>
        <v>Close</v>
      </c>
      <c r="L20" s="27" t="str">
        <f>IF(Table6[[#This Row],[Status]]="On process",IF($H$2&gt;Table6[[#This Row],[Target Date]],"Overdue","On time"),"Closed")</f>
        <v>Closed</v>
      </c>
      <c r="M20" s="27" t="str" cm="1">
        <f t="array" ref="M20">_xlfn.IFS(Table6[[#This Row],[Finish Date]]=0,"",Table6[[#This Row],[Finish Date]]&gt;Table6[[#This Row],[Target Date]],"Delay",Table6[[#This Row],[Finish Date]]&lt;=Table6[[#This Row],[Target Date]],"On Time")</f>
        <v>On Time</v>
      </c>
      <c r="N20" s="78"/>
      <c r="O20" s="78"/>
      <c r="P20" s="83"/>
      <c r="Q20" s="83"/>
      <c r="R20" s="83"/>
      <c r="S20" s="83"/>
      <c r="T20" s="83"/>
      <c r="U20" s="83"/>
      <c r="V20" s="83"/>
      <c r="W20" s="83"/>
      <c r="X20" s="83"/>
      <c r="Y20" s="83"/>
      <c r="Z20" s="83"/>
      <c r="AA20" s="83"/>
      <c r="AB20" s="83"/>
      <c r="AC20" s="83"/>
      <c r="AD20" s="83"/>
      <c r="AE20" s="83"/>
      <c r="AF20" s="83"/>
      <c r="AG20" s="83"/>
      <c r="AH20" s="83"/>
      <c r="AI20" s="83"/>
      <c r="AJ20" s="83"/>
      <c r="AK20" s="83"/>
      <c r="AL20" s="83"/>
      <c r="AM20" s="83"/>
      <c r="AN20" s="83"/>
      <c r="AO20" s="83"/>
    </row>
    <row r="21" spans="1:41" ht="21" hidden="1" customHeight="1">
      <c r="A21" s="27">
        <f>WEEKNUM(Table6[[#This Row],[Start Date]])</f>
        <v>3</v>
      </c>
      <c r="B21" s="27" t="str">
        <f>TEXT(Table6[[#This Row],[Start Date]],"mmm")</f>
        <v>Jan</v>
      </c>
      <c r="C21" s="27" t="str">
        <f>_xlfn.IFNA(INDEX(Refer!$B$5:$B$103,MATCH(Table6[[#This Row],[TASK]],Refer!$C$5:$C$103,0)),"")</f>
        <v>NPI</v>
      </c>
      <c r="D21" s="79" t="s">
        <v>61</v>
      </c>
      <c r="E21" s="79" t="s">
        <v>76</v>
      </c>
      <c r="F21" s="82"/>
      <c r="G21" s="27" t="s">
        <v>64</v>
      </c>
      <c r="H21" s="41">
        <v>46035</v>
      </c>
      <c r="I21" s="41">
        <v>46035</v>
      </c>
      <c r="J21" s="41">
        <v>46035</v>
      </c>
      <c r="K21" s="27" t="str">
        <f>IF(Table6[[#This Row],[Finish Date]]=0,"On process","Close")</f>
        <v>Close</v>
      </c>
      <c r="L21" s="27" t="str">
        <f>IF(Table6[[#This Row],[Status]]="On process",IF($H$2&gt;Table6[[#This Row],[Target Date]],"Overdue","On time"),"Closed")</f>
        <v>Closed</v>
      </c>
      <c r="M21" s="27" t="str" cm="1">
        <f t="array" ref="M21">_xlfn.IFS(Table6[[#This Row],[Finish Date]]=0,"",Table6[[#This Row],[Finish Date]]&gt;Table6[[#This Row],[Target Date]],"Delay",Table6[[#This Row],[Finish Date]]&lt;=Table6[[#This Row],[Target Date]],"On Time")</f>
        <v>On Time</v>
      </c>
      <c r="N21" s="78"/>
      <c r="O21" s="78"/>
      <c r="P21" s="83"/>
      <c r="Q21" s="83"/>
      <c r="R21" s="83"/>
      <c r="S21" s="83"/>
      <c r="T21" s="83"/>
      <c r="U21" s="83"/>
      <c r="V21" s="83"/>
      <c r="W21" s="83"/>
      <c r="X21" s="83"/>
      <c r="Y21" s="83"/>
      <c r="Z21" s="83"/>
      <c r="AA21" s="83"/>
      <c r="AB21" s="83"/>
      <c r="AC21" s="83"/>
      <c r="AD21" s="83"/>
      <c r="AE21" s="83"/>
      <c r="AF21" s="83"/>
      <c r="AG21" s="83"/>
      <c r="AH21" s="83"/>
      <c r="AI21" s="83"/>
      <c r="AJ21" s="83"/>
      <c r="AK21" s="83"/>
      <c r="AL21" s="83"/>
      <c r="AM21" s="83"/>
      <c r="AN21" s="83"/>
      <c r="AO21" s="83"/>
    </row>
    <row r="22" spans="1:41" ht="21" hidden="1" customHeight="1">
      <c r="A22" s="27">
        <f>WEEKNUM(Table6[[#This Row],[Start Date]])</f>
        <v>3</v>
      </c>
      <c r="B22" s="27" t="str">
        <f>TEXT(Table6[[#This Row],[Start Date]],"mmm")</f>
        <v>Jan</v>
      </c>
      <c r="C22" s="27" t="str">
        <f>_xlfn.IFNA(INDEX(Refer!$B$5:$B$103,MATCH(Table6[[#This Row],[TASK]],Refer!$C$5:$C$103,0)),"")</f>
        <v>NPI</v>
      </c>
      <c r="D22" s="79" t="s">
        <v>61</v>
      </c>
      <c r="E22" s="79" t="s">
        <v>77</v>
      </c>
      <c r="F22" s="82" t="s">
        <v>66</v>
      </c>
      <c r="G22" s="27" t="s">
        <v>64</v>
      </c>
      <c r="H22" s="41">
        <v>46036</v>
      </c>
      <c r="I22" s="41">
        <v>46036</v>
      </c>
      <c r="J22" s="41">
        <v>46036</v>
      </c>
      <c r="K22" s="27" t="str">
        <f>IF(Table6[[#This Row],[Finish Date]]=0,"On process","Close")</f>
        <v>Close</v>
      </c>
      <c r="L22" s="27" t="str">
        <f>IF(Table6[[#This Row],[Status]]="On process",IF($H$2&gt;Table6[[#This Row],[Target Date]],"Overdue","On time"),"Closed")</f>
        <v>Closed</v>
      </c>
      <c r="M22" s="27" t="str" cm="1">
        <f t="array" ref="M22">_xlfn.IFS(Table6[[#This Row],[Finish Date]]=0,"",Table6[[#This Row],[Finish Date]]&gt;Table6[[#This Row],[Target Date]],"Delay",Table6[[#This Row],[Finish Date]]&lt;=Table6[[#This Row],[Target Date]],"On Time")</f>
        <v>On Time</v>
      </c>
      <c r="N22" s="78"/>
      <c r="O22" s="78"/>
      <c r="P22" s="83"/>
      <c r="Q22" s="83"/>
      <c r="R22" s="83"/>
      <c r="S22" s="83"/>
      <c r="T22" s="83"/>
      <c r="U22" s="83"/>
      <c r="V22" s="83"/>
      <c r="W22" s="83"/>
      <c r="X22" s="83"/>
      <c r="Y22" s="83"/>
      <c r="Z22" s="83"/>
      <c r="AA22" s="83"/>
      <c r="AB22" s="83"/>
      <c r="AC22" s="83"/>
      <c r="AD22" s="83"/>
      <c r="AE22" s="83"/>
      <c r="AF22" s="83"/>
      <c r="AG22" s="83"/>
      <c r="AH22" s="83"/>
      <c r="AI22" s="83"/>
      <c r="AJ22" s="83"/>
      <c r="AK22" s="83"/>
      <c r="AL22" s="83"/>
      <c r="AM22" s="83"/>
      <c r="AN22" s="83"/>
      <c r="AO22" s="83"/>
    </row>
    <row r="23" spans="1:41" ht="21" hidden="1" customHeight="1">
      <c r="A23" s="84">
        <f>WEEKNUM(Table6[[#This Row],[Start Date]])</f>
        <v>3</v>
      </c>
      <c r="B23" s="84" t="str">
        <f>TEXT(Table6[[#This Row],[Start Date]],"mmm")</f>
        <v>Jan</v>
      </c>
      <c r="C23" s="84" t="str">
        <f>_xlfn.IFNA(INDEX(Refer!$B$5:$B$103,MATCH(Table6[[#This Row],[TASK]],Refer!$C$5:$C$103,0)),"")</f>
        <v>NPI</v>
      </c>
      <c r="D23" s="92" t="s">
        <v>61</v>
      </c>
      <c r="E23" s="85" t="s">
        <v>78</v>
      </c>
      <c r="F23" s="86" t="s">
        <v>63</v>
      </c>
      <c r="G23" s="84" t="s">
        <v>64</v>
      </c>
      <c r="H23" s="87">
        <v>46036</v>
      </c>
      <c r="I23" s="87">
        <v>46037</v>
      </c>
      <c r="J23" s="87">
        <v>46037</v>
      </c>
      <c r="K23" s="84" t="str">
        <f>IF(Table6[[#This Row],[Finish Date]]=0,"On process","Close")</f>
        <v>Close</v>
      </c>
      <c r="L23" s="84" t="str">
        <f>IF(Table6[[#This Row],[Status]]="On process",IF($H$2&gt;Table6[[#This Row],[Target Date]],"Overdue","On time"),"Closed")</f>
        <v>Closed</v>
      </c>
      <c r="M23" s="84" t="str" cm="1">
        <f t="array" ref="M23">_xlfn.IFS(Table6[[#This Row],[Finish Date]]=0,"",Table6[[#This Row],[Finish Date]]&gt;Table6[[#This Row],[Target Date]],"Delay",Table6[[#This Row],[Finish Date]]&lt;=Table6[[#This Row],[Target Date]],"On Time")</f>
        <v>On Time</v>
      </c>
      <c r="N23" s="88"/>
      <c r="O23" s="88"/>
      <c r="P23" s="89"/>
      <c r="Q23" s="89"/>
      <c r="R23" s="89"/>
      <c r="S23" s="89"/>
      <c r="T23" s="89"/>
      <c r="U23" s="89"/>
      <c r="V23" s="89"/>
      <c r="W23" s="89"/>
      <c r="X23" s="89"/>
      <c r="Y23" s="89"/>
      <c r="Z23" s="89"/>
      <c r="AA23" s="89"/>
      <c r="AB23" s="89"/>
      <c r="AC23" s="89"/>
      <c r="AD23" s="89"/>
      <c r="AE23" s="89"/>
      <c r="AF23" s="89"/>
      <c r="AG23" s="89"/>
      <c r="AH23" s="89"/>
      <c r="AI23" s="89"/>
      <c r="AJ23" s="89"/>
      <c r="AK23" s="89"/>
      <c r="AL23" s="89"/>
      <c r="AM23" s="89"/>
      <c r="AN23" s="89"/>
      <c r="AO23" s="89"/>
    </row>
    <row r="24" spans="1:41" ht="21" hidden="1" customHeight="1">
      <c r="A24" s="27">
        <f>WEEKNUM(Table6[[#This Row],[Start Date]])</f>
        <v>3</v>
      </c>
      <c r="B24" s="27" t="str">
        <f>TEXT(Table6[[#This Row],[Start Date]],"mmm")</f>
        <v>Jan</v>
      </c>
      <c r="C24" s="27" t="str">
        <f>_xlfn.IFNA(INDEX(Refer!$B$5:$B$103,MATCH(Table6[[#This Row],[TASK]],Refer!$C$5:$C$103,0)),"")</f>
        <v>MEETING</v>
      </c>
      <c r="D24" s="79" t="s">
        <v>72</v>
      </c>
      <c r="E24" s="79" t="s">
        <v>79</v>
      </c>
      <c r="F24" s="82" t="s">
        <v>66</v>
      </c>
      <c r="G24" s="27" t="s">
        <v>64</v>
      </c>
      <c r="H24" s="41">
        <v>46036</v>
      </c>
      <c r="I24" s="41">
        <v>46036</v>
      </c>
      <c r="J24" s="41">
        <v>46036</v>
      </c>
      <c r="K24" s="27" t="str">
        <f>IF(Table6[[#This Row],[Finish Date]]=0,"On process","Close")</f>
        <v>Close</v>
      </c>
      <c r="L24" s="27" t="str">
        <f>IF(Table6[[#This Row],[Status]]="On process",IF($H$2&gt;Table6[[#This Row],[Target Date]],"Overdue","On time"),"Closed")</f>
        <v>Closed</v>
      </c>
      <c r="M24" s="27" t="str" cm="1">
        <f t="array" ref="M24">_xlfn.IFS(Table6[[#This Row],[Finish Date]]=0,"",Table6[[#This Row],[Finish Date]]&gt;Table6[[#This Row],[Target Date]],"Delay",Table6[[#This Row],[Finish Date]]&lt;=Table6[[#This Row],[Target Date]],"On Time")</f>
        <v>On Time</v>
      </c>
      <c r="N24" s="78"/>
      <c r="O24" s="78"/>
      <c r="P24" s="83"/>
      <c r="Q24" s="83"/>
      <c r="R24" s="83"/>
      <c r="S24" s="83"/>
      <c r="T24" s="83"/>
      <c r="U24" s="83"/>
      <c r="V24" s="83"/>
      <c r="W24" s="83"/>
      <c r="X24" s="83"/>
      <c r="Y24" s="83"/>
      <c r="Z24" s="83"/>
      <c r="AA24" s="83"/>
      <c r="AB24" s="83"/>
      <c r="AC24" s="83"/>
      <c r="AD24" s="83"/>
      <c r="AE24" s="83"/>
      <c r="AF24" s="83"/>
      <c r="AG24" s="83"/>
      <c r="AH24" s="83"/>
      <c r="AI24" s="83"/>
      <c r="AJ24" s="83"/>
      <c r="AK24" s="83"/>
      <c r="AL24" s="83"/>
      <c r="AM24" s="83"/>
      <c r="AN24" s="83"/>
      <c r="AO24" s="83"/>
    </row>
    <row r="25" spans="1:41" ht="21" hidden="1" customHeight="1">
      <c r="A25" s="27">
        <f>WEEKNUM(Table6[[#This Row],[Start Date]])</f>
        <v>3</v>
      </c>
      <c r="B25" s="27" t="str">
        <f>TEXT(Table6[[#This Row],[Start Date]],"mmm")</f>
        <v>Jan</v>
      </c>
      <c r="C25" s="27" t="str">
        <f>_xlfn.IFNA(INDEX(Refer!$B$5:$B$103,MATCH(Table6[[#This Row],[TASK]],Refer!$C$5:$C$103,0)),"")</f>
        <v>NPI</v>
      </c>
      <c r="D25" s="79" t="s">
        <v>61</v>
      </c>
      <c r="E25" s="79" t="s">
        <v>80</v>
      </c>
      <c r="F25" s="82" t="s">
        <v>66</v>
      </c>
      <c r="G25" s="27" t="s">
        <v>64</v>
      </c>
      <c r="H25" s="41">
        <v>46038</v>
      </c>
      <c r="I25" s="41">
        <v>46038</v>
      </c>
      <c r="J25" s="41">
        <v>46038</v>
      </c>
      <c r="K25" s="27" t="str">
        <f>IF(Table6[[#This Row],[Finish Date]]=0,"On process","Close")</f>
        <v>Close</v>
      </c>
      <c r="L25" s="27" t="str">
        <f>IF(Table6[[#This Row],[Status]]="On process",IF($H$2&gt;Table6[[#This Row],[Target Date]],"Overdue","On time"),"Closed")</f>
        <v>Closed</v>
      </c>
      <c r="M25" s="27" t="str" cm="1">
        <f t="array" ref="M25">_xlfn.IFS(Table6[[#This Row],[Finish Date]]=0,"",Table6[[#This Row],[Finish Date]]&gt;Table6[[#This Row],[Target Date]],"Delay",Table6[[#This Row],[Finish Date]]&lt;=Table6[[#This Row],[Target Date]],"On Time")</f>
        <v>On Time</v>
      </c>
      <c r="N25" s="78"/>
      <c r="O25" s="78"/>
      <c r="P25" s="83"/>
      <c r="Q25" s="83"/>
      <c r="R25" s="83"/>
      <c r="S25" s="83"/>
      <c r="T25" s="83"/>
      <c r="U25" s="83"/>
      <c r="V25" s="83"/>
      <c r="W25" s="83"/>
      <c r="X25" s="83"/>
      <c r="Y25" s="83"/>
      <c r="Z25" s="83"/>
      <c r="AA25" s="83"/>
      <c r="AB25" s="83"/>
      <c r="AC25" s="83"/>
      <c r="AD25" s="83"/>
      <c r="AE25" s="83"/>
      <c r="AF25" s="83"/>
      <c r="AG25" s="83"/>
      <c r="AH25" s="83"/>
      <c r="AI25" s="83"/>
      <c r="AJ25" s="83"/>
      <c r="AK25" s="83"/>
      <c r="AL25" s="83"/>
      <c r="AM25" s="83"/>
      <c r="AN25" s="83"/>
      <c r="AO25" s="83"/>
    </row>
    <row r="26" spans="1:41" ht="21" hidden="1" customHeight="1">
      <c r="A26" s="27">
        <f>WEEKNUM(Table6[[#This Row],[Start Date]])</f>
        <v>4</v>
      </c>
      <c r="B26" s="27" t="str">
        <f>TEXT(Table6[[#This Row],[Start Date]],"mmm")</f>
        <v>Jan</v>
      </c>
      <c r="C26" s="27" t="str">
        <f>_xlfn.IFNA(INDEX(Refer!$B$5:$B$103,MATCH(Table6[[#This Row],[TASK]],Refer!$C$5:$C$103,0)),"")</f>
        <v>Part DFM</v>
      </c>
      <c r="D26" s="79" t="s">
        <v>81</v>
      </c>
      <c r="E26" s="79" t="s">
        <v>82</v>
      </c>
      <c r="F26" s="82" t="s">
        <v>66</v>
      </c>
      <c r="G26" s="27" t="s">
        <v>64</v>
      </c>
      <c r="H26" s="41">
        <v>46041</v>
      </c>
      <c r="I26" s="41">
        <v>46042</v>
      </c>
      <c r="J26" s="41">
        <v>46042</v>
      </c>
      <c r="K26" s="27" t="str">
        <f>IF(Table6[[#This Row],[Finish Date]]=0,"On process","Close")</f>
        <v>Close</v>
      </c>
      <c r="L26" s="27" t="str">
        <f>IF(Table6[[#This Row],[Status]]="On process",IF($H$2&gt;Table6[[#This Row],[Target Date]],"Overdue","On time"),"Closed")</f>
        <v>Closed</v>
      </c>
      <c r="M26" s="27" t="str" cm="1">
        <f t="array" ref="M26">_xlfn.IFS(Table6[[#This Row],[Finish Date]]=0,"",Table6[[#This Row],[Finish Date]]&gt;Table6[[#This Row],[Target Date]],"Delay",Table6[[#This Row],[Finish Date]]&lt;=Table6[[#This Row],[Target Date]],"On Time")</f>
        <v>On Time</v>
      </c>
      <c r="N26" s="78"/>
      <c r="O26" s="78"/>
      <c r="P26" s="83"/>
      <c r="Q26" s="83"/>
      <c r="R26" s="83"/>
      <c r="S26" s="83"/>
      <c r="T26" s="83"/>
      <c r="U26" s="83"/>
      <c r="V26" s="83"/>
      <c r="W26" s="83"/>
      <c r="X26" s="83"/>
      <c r="Y26" s="83"/>
      <c r="Z26" s="83"/>
      <c r="AA26" s="83"/>
      <c r="AB26" s="83"/>
      <c r="AC26" s="83"/>
      <c r="AD26" s="83"/>
      <c r="AE26" s="83"/>
      <c r="AF26" s="83"/>
      <c r="AG26" s="83"/>
      <c r="AH26" s="83"/>
      <c r="AI26" s="83"/>
      <c r="AJ26" s="83"/>
      <c r="AK26" s="83"/>
      <c r="AL26" s="83"/>
      <c r="AM26" s="83"/>
      <c r="AN26" s="83"/>
      <c r="AO26" s="83"/>
    </row>
    <row r="27" spans="1:41" ht="21" hidden="1" customHeight="1">
      <c r="A27" s="27">
        <f>WEEKNUM(Table6[[#This Row],[Start Date]])</f>
        <v>4</v>
      </c>
      <c r="B27" s="27" t="str">
        <f>TEXT(Table6[[#This Row],[Start Date]],"mmm")</f>
        <v>Jan</v>
      </c>
      <c r="C27" s="27" t="str">
        <f>_xlfn.IFNA(INDEX(Refer!$B$5:$B$103,MATCH(Table6[[#This Row],[TASK]],Refer!$C$5:$C$103,0)),"")</f>
        <v>Part DFM</v>
      </c>
      <c r="D27" s="79" t="s">
        <v>81</v>
      </c>
      <c r="E27" s="79" t="s">
        <v>83</v>
      </c>
      <c r="F27" s="82" t="s">
        <v>66</v>
      </c>
      <c r="G27" s="27" t="s">
        <v>64</v>
      </c>
      <c r="H27" s="41">
        <v>46041</v>
      </c>
      <c r="I27" s="41">
        <v>46042</v>
      </c>
      <c r="J27" s="41">
        <v>46042</v>
      </c>
      <c r="K27" s="27" t="str">
        <f>IF(Table6[[#This Row],[Finish Date]]=0,"On process","Close")</f>
        <v>Close</v>
      </c>
      <c r="L27" s="27" t="str">
        <f>IF(Table6[[#This Row],[Status]]="On process",IF($H$2&gt;Table6[[#This Row],[Target Date]],"Overdue","On time"),"Closed")</f>
        <v>Closed</v>
      </c>
      <c r="M27" s="27" t="str" cm="1">
        <f t="array" ref="M27">_xlfn.IFS(Table6[[#This Row],[Finish Date]]=0,"",Table6[[#This Row],[Finish Date]]&gt;Table6[[#This Row],[Target Date]],"Delay",Table6[[#This Row],[Finish Date]]&lt;=Table6[[#This Row],[Target Date]],"On Time")</f>
        <v>On Time</v>
      </c>
      <c r="N27" s="78"/>
      <c r="O27" s="78"/>
      <c r="P27" s="83"/>
      <c r="Q27" s="83"/>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row>
    <row r="28" spans="1:41" ht="21" hidden="1" customHeight="1">
      <c r="A28" s="27">
        <f>WEEKNUM(Table6[[#This Row],[Start Date]])</f>
        <v>4</v>
      </c>
      <c r="B28" s="27" t="str">
        <f>TEXT(Table6[[#This Row],[Start Date]],"mmm")</f>
        <v>Jan</v>
      </c>
      <c r="C28" s="27" t="str">
        <f>_xlfn.IFNA(INDEX(Refer!$B$5:$B$103,MATCH(Table6[[#This Row],[TASK]],Refer!$C$5:$C$103,0)),"")</f>
        <v>Part DFM</v>
      </c>
      <c r="D28" s="79" t="s">
        <v>81</v>
      </c>
      <c r="E28" s="79" t="s">
        <v>84</v>
      </c>
      <c r="F28" s="82" t="s">
        <v>66</v>
      </c>
      <c r="G28" s="27" t="s">
        <v>64</v>
      </c>
      <c r="H28" s="41">
        <v>46042</v>
      </c>
      <c r="I28" s="41">
        <v>46043</v>
      </c>
      <c r="J28" s="41">
        <v>46042</v>
      </c>
      <c r="K28" s="27" t="str">
        <f>IF(Table6[[#This Row],[Finish Date]]=0,"On process","Close")</f>
        <v>Close</v>
      </c>
      <c r="L28" s="27" t="str">
        <f>IF(Table6[[#This Row],[Status]]="On process",IF($H$2&gt;Table6[[#This Row],[Target Date]],"Overdue","On time"),"Closed")</f>
        <v>Closed</v>
      </c>
      <c r="M28" s="27" t="str" cm="1">
        <f t="array" ref="M28">_xlfn.IFS(Table6[[#This Row],[Finish Date]]=0,"",Table6[[#This Row],[Finish Date]]&gt;Table6[[#This Row],[Target Date]],"Delay",Table6[[#This Row],[Finish Date]]&lt;=Table6[[#This Row],[Target Date]],"On Time")</f>
        <v>On Time</v>
      </c>
      <c r="N28" s="78"/>
      <c r="O28" s="78"/>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row>
    <row r="29" spans="1:41" ht="21" hidden="1" customHeight="1">
      <c r="A29" s="27">
        <f>WEEKNUM(Table6[[#This Row],[Start Date]])</f>
        <v>4</v>
      </c>
      <c r="B29" s="27" t="str">
        <f>TEXT(Table6[[#This Row],[Start Date]],"mmm")</f>
        <v>Jan</v>
      </c>
      <c r="C29" s="27" t="str">
        <f>_xlfn.IFNA(INDEX(Refer!$B$5:$B$103,MATCH(Table6[[#This Row],[TASK]],Refer!$C$5:$C$103,0)),"")</f>
        <v>Part DFM</v>
      </c>
      <c r="D29" s="79" t="s">
        <v>81</v>
      </c>
      <c r="E29" s="79" t="s">
        <v>85</v>
      </c>
      <c r="F29" s="82" t="s">
        <v>66</v>
      </c>
      <c r="G29" s="27" t="s">
        <v>64</v>
      </c>
      <c r="H29" s="41">
        <v>46042</v>
      </c>
      <c r="I29" s="41">
        <v>46043</v>
      </c>
      <c r="J29" s="41">
        <v>46042</v>
      </c>
      <c r="K29" s="27" t="str">
        <f>IF(Table6[[#This Row],[Finish Date]]=0,"On process","Close")</f>
        <v>Close</v>
      </c>
      <c r="L29" s="27" t="str">
        <f>IF(Table6[[#This Row],[Status]]="On process",IF($H$2&gt;Table6[[#This Row],[Target Date]],"Overdue","On time"),"Closed")</f>
        <v>Closed</v>
      </c>
      <c r="M29" s="27" t="str" cm="1">
        <f t="array" ref="M29">_xlfn.IFS(Table6[[#This Row],[Finish Date]]=0,"",Table6[[#This Row],[Finish Date]]&gt;Table6[[#This Row],[Target Date]],"Delay",Table6[[#This Row],[Finish Date]]&lt;=Table6[[#This Row],[Target Date]],"On Time")</f>
        <v>On Time</v>
      </c>
      <c r="N29" s="78"/>
      <c r="O29" s="78"/>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row>
    <row r="30" spans="1:41" ht="21" hidden="1" customHeight="1">
      <c r="A30" s="27">
        <f>WEEKNUM(Table6[[#This Row],[Start Date]])</f>
        <v>4</v>
      </c>
      <c r="B30" s="27" t="str">
        <f>TEXT(Table6[[#This Row],[Start Date]],"mmm")</f>
        <v>Jan</v>
      </c>
      <c r="C30" s="27" t="str">
        <f>_xlfn.IFNA(INDEX(Refer!$B$5:$B$103,MATCH(Table6[[#This Row],[TASK]],Refer!$C$5:$C$103,0)),"")</f>
        <v>NPI</v>
      </c>
      <c r="D30" s="79" t="s">
        <v>86</v>
      </c>
      <c r="E30" s="79" t="s">
        <v>87</v>
      </c>
      <c r="F30" s="82" t="s">
        <v>63</v>
      </c>
      <c r="G30" s="27" t="s">
        <v>64</v>
      </c>
      <c r="H30" s="41">
        <v>46045</v>
      </c>
      <c r="I30" s="41">
        <v>46045</v>
      </c>
      <c r="J30" s="41">
        <v>46045</v>
      </c>
      <c r="K30" s="27" t="str">
        <f>IF(Table6[[#This Row],[Finish Date]]=0,"On process","Close")</f>
        <v>Close</v>
      </c>
      <c r="L30" s="27" t="str">
        <f>IF(Table6[[#This Row],[Status]]="On process",IF($H$2&gt;Table6[[#This Row],[Target Date]],"Overdue","On time"),"Closed")</f>
        <v>Closed</v>
      </c>
      <c r="M30" s="27" t="str" cm="1">
        <f t="array" ref="M30">_xlfn.IFS(Table6[[#This Row],[Finish Date]]=0,"",Table6[[#This Row],[Finish Date]]&gt;Table6[[#This Row],[Target Date]],"Delay",Table6[[#This Row],[Finish Date]]&lt;=Table6[[#This Row],[Target Date]],"On Time")</f>
        <v>On Time</v>
      </c>
      <c r="N30" s="78"/>
      <c r="O30" s="78"/>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row>
    <row r="31" spans="1:41" ht="21" hidden="1" customHeight="1">
      <c r="A31" s="27">
        <f>WEEKNUM(Table6[[#This Row],[Start Date]])</f>
        <v>4</v>
      </c>
      <c r="B31" s="27" t="str">
        <f>TEXT(Table6[[#This Row],[Start Date]],"mmm")</f>
        <v>Jan</v>
      </c>
      <c r="C31" s="27" t="str">
        <f>_xlfn.IFNA(INDEX(Refer!$B$5:$B$103,MATCH(Table6[[#This Row],[TASK]],Refer!$C$5:$C$103,0)),"")</f>
        <v>NPI</v>
      </c>
      <c r="D31" s="79" t="s">
        <v>61</v>
      </c>
      <c r="E31" s="79" t="s">
        <v>88</v>
      </c>
      <c r="F31" s="82" t="s">
        <v>66</v>
      </c>
      <c r="G31" s="27" t="s">
        <v>64</v>
      </c>
      <c r="H31" s="41">
        <v>46045</v>
      </c>
      <c r="I31" s="41">
        <v>46045</v>
      </c>
      <c r="J31" s="41">
        <v>46045</v>
      </c>
      <c r="K31" s="27" t="str">
        <f>IF(Table6[[#This Row],[Finish Date]]=0,"On process","Close")</f>
        <v>Close</v>
      </c>
      <c r="L31" s="27" t="str">
        <f>IF(Table6[[#This Row],[Status]]="On process",IF($H$2&gt;Table6[[#This Row],[Target Date]],"Overdue","On time"),"Closed")</f>
        <v>Closed</v>
      </c>
      <c r="M31" s="27" t="str" cm="1">
        <f t="array" ref="M31">_xlfn.IFS(Table6[[#This Row],[Finish Date]]=0,"",Table6[[#This Row],[Finish Date]]&gt;Table6[[#This Row],[Target Date]],"Delay",Table6[[#This Row],[Finish Date]]&lt;=Table6[[#This Row],[Target Date]],"On Time")</f>
        <v>On Time</v>
      </c>
      <c r="N31" s="78"/>
      <c r="O31" s="78"/>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row>
    <row r="32" spans="1:41" ht="21" hidden="1" customHeight="1">
      <c r="A32" s="27">
        <f>WEEKNUM(Table6[[#This Row],[Start Date]])</f>
        <v>5</v>
      </c>
      <c r="B32" s="27" t="str">
        <f>TEXT(Table6[[#This Row],[Start Date]],"mmm")</f>
        <v>Jan</v>
      </c>
      <c r="C32" s="27" t="str">
        <f>_xlfn.IFNA(INDEX(Refer!$B$5:$B$103,MATCH(Table6[[#This Row],[TASK]],Refer!$C$5:$C$103,0)),"")</f>
        <v>MEETING</v>
      </c>
      <c r="D32" s="79" t="s">
        <v>72</v>
      </c>
      <c r="E32" s="79" t="s">
        <v>89</v>
      </c>
      <c r="F32" s="82" t="s">
        <v>66</v>
      </c>
      <c r="G32" s="27" t="s">
        <v>64</v>
      </c>
      <c r="H32" s="41">
        <v>46048</v>
      </c>
      <c r="I32" s="41">
        <v>46048</v>
      </c>
      <c r="J32" s="41">
        <v>46048</v>
      </c>
      <c r="K32" s="27" t="str">
        <f>IF(Table6[[#This Row],[Finish Date]]=0,"On process","Close")</f>
        <v>Close</v>
      </c>
      <c r="L32" s="27" t="str">
        <f>IF(Table6[[#This Row],[Status]]="On process",IF($H$2&gt;Table6[[#This Row],[Target Date]],"Overdue","On time"),"Closed")</f>
        <v>Closed</v>
      </c>
      <c r="M32" s="27" t="str" cm="1">
        <f t="array" ref="M32">_xlfn.IFS(Table6[[#This Row],[Finish Date]]=0,"",Table6[[#This Row],[Finish Date]]&gt;Table6[[#This Row],[Target Date]],"Delay",Table6[[#This Row],[Finish Date]]&lt;=Table6[[#This Row],[Target Date]],"On Time")</f>
        <v>On Time</v>
      </c>
      <c r="N32" s="78"/>
      <c r="O32" s="78"/>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row>
    <row r="33" spans="1:41" ht="21" hidden="1" customHeight="1">
      <c r="A33" s="27">
        <f>WEEKNUM(Table6[[#This Row],[Start Date]])</f>
        <v>5</v>
      </c>
      <c r="B33" s="27" t="str">
        <f>TEXT(Table6[[#This Row],[Start Date]],"mmm")</f>
        <v>Jan</v>
      </c>
      <c r="C33" s="27" t="str">
        <f>_xlfn.IFNA(INDEX(Refer!$B$5:$B$103,MATCH(Table6[[#This Row],[TASK]],Refer!$C$5:$C$103,0)),"")</f>
        <v>NPI</v>
      </c>
      <c r="D33" s="79" t="s">
        <v>61</v>
      </c>
      <c r="E33" s="79" t="s">
        <v>90</v>
      </c>
      <c r="F33" s="82" t="s">
        <v>66</v>
      </c>
      <c r="G33" s="27" t="s">
        <v>64</v>
      </c>
      <c r="H33" s="41">
        <v>46048</v>
      </c>
      <c r="I33" s="41">
        <v>46049</v>
      </c>
      <c r="J33" s="41">
        <v>46049</v>
      </c>
      <c r="K33" s="27" t="str">
        <f>IF(Table6[[#This Row],[Finish Date]]=0,"On process","Close")</f>
        <v>Close</v>
      </c>
      <c r="L33" s="27" t="str">
        <f>IF(Table6[[#This Row],[Status]]="On process",IF($H$2&gt;Table6[[#This Row],[Target Date]],"Overdue","On time"),"Closed")</f>
        <v>Closed</v>
      </c>
      <c r="M33" s="27" t="str" cm="1">
        <f t="array" ref="M33">_xlfn.IFS(Table6[[#This Row],[Finish Date]]=0,"",Table6[[#This Row],[Finish Date]]&gt;Table6[[#This Row],[Target Date]],"Delay",Table6[[#This Row],[Finish Date]]&lt;=Table6[[#This Row],[Target Date]],"On Time")</f>
        <v>On Time</v>
      </c>
      <c r="N33" s="78"/>
      <c r="O33" s="78"/>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row>
    <row r="34" spans="1:41" ht="21" hidden="1" customHeight="1">
      <c r="A34" s="27">
        <f>WEEKNUM(Table6[[#This Row],[Start Date]])</f>
        <v>5</v>
      </c>
      <c r="B34" s="27" t="str">
        <f>TEXT(Table6[[#This Row],[Start Date]],"mmm")</f>
        <v>Jan</v>
      </c>
      <c r="C34" s="27" t="str">
        <f>_xlfn.IFNA(INDEX(Refer!$B$5:$B$103,MATCH(Table6[[#This Row],[TASK]],Refer!$C$5:$C$103,0)),"")</f>
        <v>DFM Mold</v>
      </c>
      <c r="D34" s="93" t="s">
        <v>91</v>
      </c>
      <c r="E34" s="79" t="s">
        <v>92</v>
      </c>
      <c r="F34" s="86" t="s">
        <v>93</v>
      </c>
      <c r="G34" s="27" t="s">
        <v>64</v>
      </c>
      <c r="H34" s="41">
        <v>46049</v>
      </c>
      <c r="I34" s="41">
        <v>46050</v>
      </c>
      <c r="J34" s="41">
        <v>46050</v>
      </c>
      <c r="K34" s="27" t="str">
        <f>IF(Table6[[#This Row],[Finish Date]]=0,"On process","Close")</f>
        <v>Close</v>
      </c>
      <c r="L34" s="27" t="str">
        <f>IF(Table6[[#This Row],[Status]]="On process",IF($H$2&gt;Table6[[#This Row],[Target Date]],"Overdue","On time"),"Closed")</f>
        <v>Closed</v>
      </c>
      <c r="M34" s="27" t="str" cm="1">
        <f t="array" ref="M34">_xlfn.IFS(Table6[[#This Row],[Finish Date]]=0,"",Table6[[#This Row],[Finish Date]]&gt;Table6[[#This Row],[Target Date]],"Delay",Table6[[#This Row],[Finish Date]]&lt;=Table6[[#This Row],[Target Date]],"On Time")</f>
        <v>On Time</v>
      </c>
      <c r="N34" s="78"/>
      <c r="O34" s="78"/>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row>
    <row r="35" spans="1:41" ht="32.25" hidden="1" customHeight="1">
      <c r="A35" s="27">
        <f>WEEKNUM(Table6[[#This Row],[Start Date]])</f>
        <v>5</v>
      </c>
      <c r="B35" s="27" t="str">
        <f>TEXT(Table6[[#This Row],[Start Date]],"mmm")</f>
        <v>Jan</v>
      </c>
      <c r="C35" s="27" t="str">
        <f>_xlfn.IFNA(INDEX(Refer!$B$5:$B$103,MATCH(Table6[[#This Row],[TASK]],Refer!$C$5:$C$103,0)),"")</f>
        <v>NPI</v>
      </c>
      <c r="D35" s="79" t="s">
        <v>61</v>
      </c>
      <c r="E35" s="79" t="s">
        <v>94</v>
      </c>
      <c r="F35" s="82" t="s">
        <v>95</v>
      </c>
      <c r="G35" s="27" t="s">
        <v>64</v>
      </c>
      <c r="H35" s="41">
        <v>46049</v>
      </c>
      <c r="I35" s="41">
        <v>46051</v>
      </c>
      <c r="J35" s="41">
        <v>46051</v>
      </c>
      <c r="K35" s="27" t="str">
        <f>IF(Table6[[#This Row],[Finish Date]]=0,"On process","Close")</f>
        <v>Close</v>
      </c>
      <c r="L35" s="27" t="str">
        <f>IF(Table6[[#This Row],[Status]]="On process",IF($H$2&gt;Table6[[#This Row],[Target Date]],"Overdue","On time"),"Closed")</f>
        <v>Closed</v>
      </c>
      <c r="M35" s="27" t="str" cm="1">
        <f t="array" ref="M35">_xlfn.IFS(Table6[[#This Row],[Finish Date]]=0,"",Table6[[#This Row],[Finish Date]]&gt;Table6[[#This Row],[Target Date]],"Delay",Table6[[#This Row],[Finish Date]]&lt;=Table6[[#This Row],[Target Date]],"On Time")</f>
        <v>On Time</v>
      </c>
      <c r="N35" s="78"/>
      <c r="O35" s="78"/>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row>
    <row r="36" spans="1:41" ht="21" hidden="1" customHeight="1">
      <c r="A36" s="27">
        <f>WEEKNUM(Table6[[#This Row],[Start Date]])</f>
        <v>5</v>
      </c>
      <c r="B36" s="27" t="str">
        <f>TEXT(Table6[[#This Row],[Start Date]],"mmm")</f>
        <v>Jan</v>
      </c>
      <c r="C36" s="27" t="str">
        <f>_xlfn.IFNA(INDEX(Refer!$B$5:$B$103,MATCH(Table6[[#This Row],[TASK]],Refer!$C$5:$C$103,0)),"")</f>
        <v>NPI</v>
      </c>
      <c r="D36" s="79" t="s">
        <v>61</v>
      </c>
      <c r="E36" s="79" t="s">
        <v>96</v>
      </c>
      <c r="F36" s="82" t="s">
        <v>95</v>
      </c>
      <c r="G36" s="27" t="s">
        <v>64</v>
      </c>
      <c r="H36" s="41">
        <v>46050</v>
      </c>
      <c r="I36" s="41">
        <v>46050</v>
      </c>
      <c r="J36" s="41">
        <v>46050</v>
      </c>
      <c r="K36" s="27" t="str">
        <f>IF(Table6[[#This Row],[Finish Date]]=0,"On process","Close")</f>
        <v>Close</v>
      </c>
      <c r="L36" s="27" t="str">
        <f>IF(Table6[[#This Row],[Status]]="On process",IF($H$2&gt;Table6[[#This Row],[Target Date]],"Overdue","On time"),"Closed")</f>
        <v>Closed</v>
      </c>
      <c r="M36" s="27" t="str" cm="1">
        <f t="array" ref="M36">_xlfn.IFS(Table6[[#This Row],[Finish Date]]=0,"",Table6[[#This Row],[Finish Date]]&gt;Table6[[#This Row],[Target Date]],"Delay",Table6[[#This Row],[Finish Date]]&lt;=Table6[[#This Row],[Target Date]],"On Time")</f>
        <v>On Time</v>
      </c>
      <c r="N36" s="78"/>
      <c r="O36" s="78"/>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row>
    <row r="37" spans="1:41" ht="21" hidden="1" customHeight="1">
      <c r="A37" s="27">
        <f>WEEKNUM(Table6[[#This Row],[Start Date]])</f>
        <v>5</v>
      </c>
      <c r="B37" s="27" t="str">
        <f>TEXT(Table6[[#This Row],[Start Date]],"mmm")</f>
        <v>Jan</v>
      </c>
      <c r="C37" s="27" t="str">
        <f>_xlfn.IFNA(INDEX(Refer!$B$5:$B$103,MATCH(Table6[[#This Row],[TASK]],Refer!$C$5:$C$103,0)),"")</f>
        <v>NPI</v>
      </c>
      <c r="D37" s="79" t="s">
        <v>61</v>
      </c>
      <c r="E37" s="79" t="s">
        <v>97</v>
      </c>
      <c r="F37" s="82"/>
      <c r="G37" s="27" t="s">
        <v>64</v>
      </c>
      <c r="H37" s="41">
        <v>46051</v>
      </c>
      <c r="I37" s="41">
        <v>46051</v>
      </c>
      <c r="J37" s="41">
        <v>46051</v>
      </c>
      <c r="K37" s="27" t="str">
        <f>IF(Table6[[#This Row],[Finish Date]]=0,"On process","Close")</f>
        <v>Close</v>
      </c>
      <c r="L37" s="27" t="str">
        <f>IF(Table6[[#This Row],[Status]]="On process",IF($H$2&gt;Table6[[#This Row],[Target Date]],"Overdue","On time"),"Closed")</f>
        <v>Closed</v>
      </c>
      <c r="M37" s="27" t="str" cm="1">
        <f t="array" ref="M37">_xlfn.IFS(Table6[[#This Row],[Finish Date]]=0,"",Table6[[#This Row],[Finish Date]]&gt;Table6[[#This Row],[Target Date]],"Delay",Table6[[#This Row],[Finish Date]]&lt;=Table6[[#This Row],[Target Date]],"On Time")</f>
        <v>On Time</v>
      </c>
      <c r="N37" s="78"/>
      <c r="O37" s="78"/>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row>
    <row r="38" spans="1:41" ht="21" hidden="1" customHeight="1">
      <c r="A38" s="27">
        <f>WEEKNUM(Table6[[#This Row],[Start Date]])</f>
        <v>5</v>
      </c>
      <c r="B38" s="27" t="str">
        <f>TEXT(Table6[[#This Row],[Start Date]],"mmm")</f>
        <v>Jan</v>
      </c>
      <c r="C38" s="27" t="str">
        <f>_xlfn.IFNA(INDEX(Refer!$B$5:$B$103,MATCH(Table6[[#This Row],[TASK]],Refer!$C$5:$C$103,0)),"")</f>
        <v>MEETING</v>
      </c>
      <c r="D38" s="79" t="s">
        <v>72</v>
      </c>
      <c r="E38" s="79" t="s">
        <v>98</v>
      </c>
      <c r="F38" s="82" t="s">
        <v>63</v>
      </c>
      <c r="G38" s="27" t="s">
        <v>64</v>
      </c>
      <c r="H38" s="41">
        <v>46051</v>
      </c>
      <c r="I38" s="41">
        <v>46051</v>
      </c>
      <c r="J38" s="41">
        <v>46051</v>
      </c>
      <c r="K38" s="27" t="str">
        <f>IF(Table6[[#This Row],[Finish Date]]=0,"On process","Close")</f>
        <v>Close</v>
      </c>
      <c r="L38" s="27" t="str">
        <f>IF(Table6[[#This Row],[Status]]="On process",IF($H$2&gt;Table6[[#This Row],[Target Date]],"Overdue","On time"),"Closed")</f>
        <v>Closed</v>
      </c>
      <c r="M38" s="27" t="str" cm="1">
        <f t="array" ref="M38">_xlfn.IFS(Table6[[#This Row],[Finish Date]]=0,"",Table6[[#This Row],[Finish Date]]&gt;Table6[[#This Row],[Target Date]],"Delay",Table6[[#This Row],[Finish Date]]&lt;=Table6[[#This Row],[Target Date]],"On Time")</f>
        <v>On Time</v>
      </c>
      <c r="N38" s="78"/>
      <c r="O38" s="78"/>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row>
    <row r="39" spans="1:41" ht="21" hidden="1" customHeight="1">
      <c r="A39" s="27">
        <f>WEEKNUM(Table6[[#This Row],[Start Date]])</f>
        <v>5</v>
      </c>
      <c r="B39" s="27" t="str">
        <f>TEXT(Table6[[#This Row],[Start Date]],"mmm")</f>
        <v>Jan</v>
      </c>
      <c r="C39" s="27" t="str">
        <f>_xlfn.IFNA(INDEX(Refer!$B$5:$B$103,MATCH(Table6[[#This Row],[TASK]],Refer!$C$5:$C$103,0)),"")</f>
        <v>DFM Mold</v>
      </c>
      <c r="D39" s="93" t="s">
        <v>99</v>
      </c>
      <c r="E39" s="79" t="s">
        <v>100</v>
      </c>
      <c r="F39" s="86" t="s">
        <v>93</v>
      </c>
      <c r="G39" s="27" t="s">
        <v>64</v>
      </c>
      <c r="H39" s="41">
        <v>46051</v>
      </c>
      <c r="I39" s="41">
        <v>46051</v>
      </c>
      <c r="J39" s="41">
        <v>46051</v>
      </c>
      <c r="K39" s="27" t="str">
        <f>IF(Table6[[#This Row],[Finish Date]]=0,"On process","Close")</f>
        <v>Close</v>
      </c>
      <c r="L39" s="27" t="str">
        <f>IF(Table6[[#This Row],[Status]]="On process",IF($H$2&gt;Table6[[#This Row],[Target Date]],"Overdue","On time"),"Closed")</f>
        <v>Closed</v>
      </c>
      <c r="M39" s="27" t="str" cm="1">
        <f t="array" ref="M39">_xlfn.IFS(Table6[[#This Row],[Finish Date]]=0,"",Table6[[#This Row],[Finish Date]]&gt;Table6[[#This Row],[Target Date]],"Delay",Table6[[#This Row],[Finish Date]]&lt;=Table6[[#This Row],[Target Date]],"On Time")</f>
        <v>On Time</v>
      </c>
      <c r="N39" s="78"/>
      <c r="O39" s="78"/>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row>
    <row r="40" spans="1:41" ht="21" hidden="1" customHeight="1">
      <c r="A40" s="27">
        <f>WEEKNUM(Table6[[#This Row],[Start Date]])</f>
        <v>5</v>
      </c>
      <c r="B40" s="27" t="str">
        <f>TEXT(Table6[[#This Row],[Start Date]],"mmm")</f>
        <v>Jan</v>
      </c>
      <c r="C40" s="27" t="str">
        <f>_xlfn.IFNA(INDEX(Refer!$B$5:$B$103,MATCH(Table6[[#This Row],[TASK]],Refer!$C$5:$C$103,0)),"")</f>
        <v>NPI</v>
      </c>
      <c r="D40" s="79" t="s">
        <v>61</v>
      </c>
      <c r="E40" s="79" t="s">
        <v>101</v>
      </c>
      <c r="F40" s="82" t="s">
        <v>66</v>
      </c>
      <c r="G40" s="27" t="s">
        <v>64</v>
      </c>
      <c r="H40" s="41">
        <v>46052</v>
      </c>
      <c r="I40" s="41">
        <v>46052</v>
      </c>
      <c r="J40" s="41">
        <v>46052</v>
      </c>
      <c r="K40" s="27" t="str">
        <f>IF(Table6[[#This Row],[Finish Date]]=0,"On process","Close")</f>
        <v>Close</v>
      </c>
      <c r="L40" s="27" t="str">
        <f>IF(Table6[[#This Row],[Status]]="On process",IF($H$2&gt;Table6[[#This Row],[Target Date]],"Overdue","On time"),"Closed")</f>
        <v>Closed</v>
      </c>
      <c r="M40" s="27" t="str" cm="1">
        <f t="array" ref="M40">_xlfn.IFS(Table6[[#This Row],[Finish Date]]=0,"",Table6[[#This Row],[Finish Date]]&gt;Table6[[#This Row],[Target Date]],"Delay",Table6[[#This Row],[Finish Date]]&lt;=Table6[[#This Row],[Target Date]],"On Time")</f>
        <v>On Time</v>
      </c>
      <c r="N40" s="78"/>
      <c r="O40" s="78"/>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row>
    <row r="41" spans="1:41" ht="21" hidden="1" customHeight="1">
      <c r="A41" s="27">
        <f>WEEKNUM(Table6[[#This Row],[Start Date]])</f>
        <v>6</v>
      </c>
      <c r="B41" s="27" t="str">
        <f>TEXT(Table6[[#This Row],[Start Date]],"mmm")</f>
        <v>Feb</v>
      </c>
      <c r="C41" s="27" t="str">
        <f>_xlfn.IFNA(INDEX(Refer!$B$5:$B$103,MATCH(Table6[[#This Row],[TASK]],Refer!$C$5:$C$103,0)),"")</f>
        <v>NPI</v>
      </c>
      <c r="D41" s="79" t="s">
        <v>61</v>
      </c>
      <c r="E41" s="79" t="s">
        <v>102</v>
      </c>
      <c r="F41" s="82" t="s">
        <v>63</v>
      </c>
      <c r="G41" s="27" t="s">
        <v>64</v>
      </c>
      <c r="H41" s="41">
        <v>46055</v>
      </c>
      <c r="I41" s="41">
        <v>46055</v>
      </c>
      <c r="J41" s="41">
        <v>46055</v>
      </c>
      <c r="K41" s="27" t="str">
        <f>IF(Table6[[#This Row],[Finish Date]]=0,"On process","Close")</f>
        <v>Close</v>
      </c>
      <c r="L41" s="27" t="str">
        <f>IF(Table6[[#This Row],[Status]]="On process",IF($H$2&gt;Table6[[#This Row],[Target Date]],"Overdue","On time"),"Closed")</f>
        <v>Closed</v>
      </c>
      <c r="M41" s="27" t="str" cm="1">
        <f t="array" ref="M41">_xlfn.IFS(Table6[[#This Row],[Finish Date]]=0,"",Table6[[#This Row],[Finish Date]]&gt;Table6[[#This Row],[Target Date]],"Delay",Table6[[#This Row],[Finish Date]]&lt;=Table6[[#This Row],[Target Date]],"On Time")</f>
        <v>On Time</v>
      </c>
      <c r="N41" s="78"/>
      <c r="O41" s="78"/>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row>
    <row r="42" spans="1:41" ht="21" hidden="1" customHeight="1">
      <c r="A42" s="27">
        <f>WEEKNUM(Table6[[#This Row],[Start Date]])</f>
        <v>6</v>
      </c>
      <c r="B42" s="27" t="str">
        <f>TEXT(Table6[[#This Row],[Start Date]],"mmm")</f>
        <v>Feb</v>
      </c>
      <c r="C42" s="27" t="str">
        <f>_xlfn.IFNA(INDEX(Refer!$B$5:$B$103,MATCH(Table6[[#This Row],[TASK]],Refer!$C$5:$C$103,0)),"")</f>
        <v>NPI</v>
      </c>
      <c r="D42" s="79" t="s">
        <v>61</v>
      </c>
      <c r="E42" s="79" t="s">
        <v>103</v>
      </c>
      <c r="F42" s="82" t="s">
        <v>66</v>
      </c>
      <c r="G42" s="27" t="s">
        <v>64</v>
      </c>
      <c r="H42" s="41">
        <v>46056</v>
      </c>
      <c r="I42" s="41">
        <v>46056</v>
      </c>
      <c r="J42" s="41">
        <v>46056</v>
      </c>
      <c r="K42" s="27" t="str">
        <f>IF(Table6[[#This Row],[Finish Date]]=0,"On process","Close")</f>
        <v>Close</v>
      </c>
      <c r="L42" s="27" t="str">
        <f>IF(Table6[[#This Row],[Status]]="On process",IF($H$2&gt;Table6[[#This Row],[Target Date]],"Overdue","On time"),"Closed")</f>
        <v>Closed</v>
      </c>
      <c r="M42" s="27" t="str" cm="1">
        <f t="array" ref="M42">_xlfn.IFS(Table6[[#This Row],[Finish Date]]=0,"",Table6[[#This Row],[Finish Date]]&gt;Table6[[#This Row],[Target Date]],"Delay",Table6[[#This Row],[Finish Date]]&lt;=Table6[[#This Row],[Target Date]],"On Time")</f>
        <v>On Time</v>
      </c>
      <c r="N42" s="78"/>
      <c r="O42" s="78"/>
      <c r="P42" s="83"/>
      <c r="Q42" s="83"/>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row>
    <row r="43" spans="1:41" ht="21" hidden="1" customHeight="1">
      <c r="A43" s="27">
        <f>WEEKNUM(Table6[[#This Row],[Start Date]])</f>
        <v>6</v>
      </c>
      <c r="B43" s="27" t="str">
        <f>TEXT(Table6[[#This Row],[Start Date]],"mmm")</f>
        <v>Feb</v>
      </c>
      <c r="C43" s="27" t="str">
        <f>_xlfn.IFNA(INDEX(Refer!$B$5:$B$103,MATCH(Table6[[#This Row],[TASK]],Refer!$C$5:$C$103,0)),"")</f>
        <v>OTHER</v>
      </c>
      <c r="D43" s="79" t="s">
        <v>104</v>
      </c>
      <c r="E43" s="79" t="s">
        <v>105</v>
      </c>
      <c r="F43" s="82" t="s">
        <v>95</v>
      </c>
      <c r="G43" s="27" t="s">
        <v>64</v>
      </c>
      <c r="H43" s="41">
        <v>46057</v>
      </c>
      <c r="I43" s="41">
        <v>46057</v>
      </c>
      <c r="J43" s="41">
        <v>46057</v>
      </c>
      <c r="K43" s="27" t="str">
        <f>IF(Table6[[#This Row],[Finish Date]]=0,"On process","Close")</f>
        <v>Close</v>
      </c>
      <c r="L43" s="27" t="str">
        <f>IF(Table6[[#This Row],[Status]]="On process",IF($H$2&gt;Table6[[#This Row],[Target Date]],"Overdue","On time"),"Closed")</f>
        <v>Closed</v>
      </c>
      <c r="M43" s="27" t="str" cm="1">
        <f t="array" ref="M43">_xlfn.IFS(Table6[[#This Row],[Finish Date]]=0,"",Table6[[#This Row],[Finish Date]]&gt;Table6[[#This Row],[Target Date]],"Delay",Table6[[#This Row],[Finish Date]]&lt;=Table6[[#This Row],[Target Date]],"On Time")</f>
        <v>On Time</v>
      </c>
      <c r="N43" s="78"/>
      <c r="O43" s="78"/>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row>
    <row r="44" spans="1:41" ht="21" hidden="1" customHeight="1">
      <c r="A44" s="27">
        <f>WEEKNUM(Table6[[#This Row],[Start Date]])</f>
        <v>6</v>
      </c>
      <c r="B44" s="27" t="str">
        <f>TEXT(Table6[[#This Row],[Start Date]],"mmm")</f>
        <v>Feb</v>
      </c>
      <c r="C44" s="27" t="str">
        <f>_xlfn.IFNA(INDEX(Refer!$B$5:$B$103,MATCH(Table6[[#This Row],[TASK]],Refer!$C$5:$C$103,0)),"")</f>
        <v>MEETING</v>
      </c>
      <c r="D44" s="79" t="s">
        <v>72</v>
      </c>
      <c r="E44" s="79" t="s">
        <v>106</v>
      </c>
      <c r="F44" s="80" t="s">
        <v>63</v>
      </c>
      <c r="G44" s="27" t="s">
        <v>64</v>
      </c>
      <c r="H44" s="41">
        <v>46057</v>
      </c>
      <c r="I44" s="41">
        <v>46057</v>
      </c>
      <c r="J44" s="41">
        <v>46057</v>
      </c>
      <c r="K44" s="27" t="str">
        <f>IF(Table6[[#This Row],[Finish Date]]=0,"On process","Close")</f>
        <v>Close</v>
      </c>
      <c r="L44" s="27" t="str">
        <f>IF(Table6[[#This Row],[Status]]="On process",IF($H$2&gt;Table6[[#This Row],[Target Date]],"Overdue","On time"),"Closed")</f>
        <v>Closed</v>
      </c>
      <c r="M44" s="27" t="str" cm="1">
        <f t="array" ref="M44">_xlfn.IFS(Table6[[#This Row],[Finish Date]]=0,"",Table6[[#This Row],[Finish Date]]&gt;Table6[[#This Row],[Target Date]],"Delay",Table6[[#This Row],[Finish Date]]&lt;=Table6[[#This Row],[Target Date]],"On Time")</f>
        <v>On Time</v>
      </c>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row>
    <row r="45" spans="1:41" ht="21" hidden="1" customHeight="1">
      <c r="A45" s="27">
        <f>WEEKNUM(Table6[[#This Row],[Start Date]])</f>
        <v>6</v>
      </c>
      <c r="B45" s="27" t="str">
        <f>TEXT(Table6[[#This Row],[Start Date]],"mmm")</f>
        <v>Feb</v>
      </c>
      <c r="C45" s="27" t="str">
        <f>_xlfn.IFNA(INDEX(Refer!$B$5:$B$103,MATCH(Table6[[#This Row],[TASK]],Refer!$C$5:$C$103,0)),"")</f>
        <v>NPI</v>
      </c>
      <c r="D45" s="79" t="s">
        <v>61</v>
      </c>
      <c r="E45" s="79" t="s">
        <v>107</v>
      </c>
      <c r="F45" s="80" t="s">
        <v>66</v>
      </c>
      <c r="G45" s="27" t="s">
        <v>64</v>
      </c>
      <c r="H45" s="41">
        <v>46059</v>
      </c>
      <c r="I45" s="41">
        <v>46059</v>
      </c>
      <c r="J45" s="41">
        <v>46059</v>
      </c>
      <c r="K45" s="27" t="str">
        <f>IF(Table6[[#This Row],[Finish Date]]=0,"On process","Close")</f>
        <v>Close</v>
      </c>
      <c r="L45" s="27" t="str">
        <f>IF(Table6[[#This Row],[Status]]="On process",IF($H$2&gt;Table6[[#This Row],[Target Date]],"Overdue","On time"),"Closed")</f>
        <v>Closed</v>
      </c>
      <c r="M45" s="27" t="str" cm="1">
        <f t="array" ref="M45">_xlfn.IFS(Table6[[#This Row],[Finish Date]]=0,"",Table6[[#This Row],[Finish Date]]&gt;Table6[[#This Row],[Target Date]],"Delay",Table6[[#This Row],[Finish Date]]&lt;=Table6[[#This Row],[Target Date]],"On Time")</f>
        <v>On Time</v>
      </c>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row>
    <row r="46" spans="1:41" ht="21" hidden="1" customHeight="1">
      <c r="A46" s="27">
        <f>WEEKNUM(Table6[[#This Row],[Start Date]])</f>
        <v>7</v>
      </c>
      <c r="B46" s="27" t="str">
        <f>TEXT(Table6[[#This Row],[Start Date]],"mmm")</f>
        <v>Feb</v>
      </c>
      <c r="C46" s="27" t="str">
        <f>_xlfn.IFNA(INDEX(Refer!$B$5:$B$103,MATCH(Table6[[#This Row],[TASK]],Refer!$C$5:$C$103,0)),"")</f>
        <v>OTHER</v>
      </c>
      <c r="D46" s="79" t="s">
        <v>108</v>
      </c>
      <c r="E46" s="79" t="s">
        <v>109</v>
      </c>
      <c r="F46" s="80"/>
      <c r="G46" s="27" t="s">
        <v>64</v>
      </c>
      <c r="H46" s="41">
        <v>46062</v>
      </c>
      <c r="I46" s="41">
        <v>46064</v>
      </c>
      <c r="J46" s="41">
        <v>46064</v>
      </c>
      <c r="K46" s="27" t="str">
        <f>IF(Table6[[#This Row],[Finish Date]]=0,"On process","Close")</f>
        <v>Close</v>
      </c>
      <c r="L46" s="27" t="str">
        <f>IF(Table6[[#This Row],[Status]]="On process",IF($H$2&gt;Table6[[#This Row],[Target Date]],"Overdue","On time"),"Closed")</f>
        <v>Closed</v>
      </c>
      <c r="M46" s="27" t="str" cm="1">
        <f t="array" ref="M46">_xlfn.IFS(Table6[[#This Row],[Finish Date]]=0,"",Table6[[#This Row],[Finish Date]]&gt;Table6[[#This Row],[Target Date]],"Delay",Table6[[#This Row],[Finish Date]]&lt;=Table6[[#This Row],[Target Date]],"On Time")</f>
        <v>On Time</v>
      </c>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row>
    <row r="47" spans="1:41" ht="21" hidden="1" customHeight="1">
      <c r="A47" s="27">
        <f>WEEKNUM(Table6[[#This Row],[Start Date]])</f>
        <v>7</v>
      </c>
      <c r="B47" s="27" t="str">
        <f>TEXT(Table6[[#This Row],[Start Date]],"mmm")</f>
        <v>Feb</v>
      </c>
      <c r="C47" s="27" t="str">
        <f>_xlfn.IFNA(INDEX(Refer!$B$5:$B$103,MATCH(Table6[[#This Row],[TASK]],Refer!$C$5:$C$103,0)),"")</f>
        <v>NPI</v>
      </c>
      <c r="D47" s="79" t="s">
        <v>61</v>
      </c>
      <c r="E47" s="79" t="s">
        <v>110</v>
      </c>
      <c r="F47" s="82" t="s">
        <v>63</v>
      </c>
      <c r="G47" s="27" t="s">
        <v>64</v>
      </c>
      <c r="H47" s="41">
        <v>46065</v>
      </c>
      <c r="I47" s="41">
        <v>46065</v>
      </c>
      <c r="J47" s="41">
        <v>46065</v>
      </c>
      <c r="K47" s="27" t="str">
        <f>IF(Table6[[#This Row],[Finish Date]]=0,"On process","Close")</f>
        <v>Close</v>
      </c>
      <c r="L47" s="27" t="str">
        <f>IF(Table6[[#This Row],[Status]]="On process",IF($H$2&gt;Table6[[#This Row],[Target Date]],"Overdue","On time"),"Closed")</f>
        <v>Closed</v>
      </c>
      <c r="M47" s="27" t="str" cm="1">
        <f t="array" ref="M47">_xlfn.IFS(Table6[[#This Row],[Finish Date]]=0,"",Table6[[#This Row],[Finish Date]]&gt;Table6[[#This Row],[Target Date]],"Delay",Table6[[#This Row],[Finish Date]]&lt;=Table6[[#This Row],[Target Date]],"On Time")</f>
        <v>On Time</v>
      </c>
      <c r="N47" s="78"/>
      <c r="O47" s="78"/>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row>
    <row r="48" spans="1:41" ht="21" hidden="1" customHeight="1">
      <c r="A48" s="27">
        <f>WEEKNUM(Table6[[#This Row],[Start Date]])</f>
        <v>7</v>
      </c>
      <c r="B48" s="27" t="str">
        <f>TEXT(Table6[[#This Row],[Start Date]],"mmm")</f>
        <v>Feb</v>
      </c>
      <c r="C48" s="27" t="str">
        <f>_xlfn.IFNA(INDEX(Refer!$B$5:$B$103,MATCH(Table6[[#This Row],[TASK]],Refer!$C$5:$C$103,0)),"")</f>
        <v>NPI</v>
      </c>
      <c r="D48" s="79" t="s">
        <v>61</v>
      </c>
      <c r="E48" s="79" t="s">
        <v>111</v>
      </c>
      <c r="F48" s="82" t="s">
        <v>95</v>
      </c>
      <c r="G48" s="27" t="s">
        <v>64</v>
      </c>
      <c r="H48" s="41">
        <v>46065</v>
      </c>
      <c r="I48" s="41">
        <v>46065</v>
      </c>
      <c r="J48" s="41">
        <v>46065</v>
      </c>
      <c r="K48" s="27" t="str">
        <f>IF(Table6[[#This Row],[Finish Date]]=0,"On process","Close")</f>
        <v>Close</v>
      </c>
      <c r="L48" s="27" t="str">
        <f>IF(Table6[[#This Row],[Status]]="On process",IF($H$2&gt;Table6[[#This Row],[Target Date]],"Overdue","On time"),"Closed")</f>
        <v>Closed</v>
      </c>
      <c r="M48" s="27" t="str" cm="1">
        <f t="array" ref="M48">_xlfn.IFS(Table6[[#This Row],[Finish Date]]=0,"",Table6[[#This Row],[Finish Date]]&gt;Table6[[#This Row],[Target Date]],"Delay",Table6[[#This Row],[Finish Date]]&lt;=Table6[[#This Row],[Target Date]],"On Time")</f>
        <v>On Time</v>
      </c>
      <c r="N48" s="78"/>
      <c r="O48" s="78"/>
      <c r="P48" s="83"/>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row>
    <row r="49" spans="1:41" ht="21" hidden="1" customHeight="1">
      <c r="A49" s="27">
        <f>WEEKNUM(Table6[[#This Row],[Start Date]])</f>
        <v>7</v>
      </c>
      <c r="B49" s="27" t="str">
        <f>TEXT(Table6[[#This Row],[Start Date]],"mmm")</f>
        <v>Feb</v>
      </c>
      <c r="C49" s="27" t="str">
        <f>_xlfn.IFNA(INDEX(Refer!$B$5:$B$103,MATCH(Table6[[#This Row],[TASK]],Refer!$C$5:$C$103,0)),"")</f>
        <v>MEETING</v>
      </c>
      <c r="D49" s="79" t="s">
        <v>72</v>
      </c>
      <c r="E49" s="79" t="s">
        <v>98</v>
      </c>
      <c r="F49" s="80" t="s">
        <v>63</v>
      </c>
      <c r="G49" s="27" t="s">
        <v>64</v>
      </c>
      <c r="H49" s="41">
        <v>46065</v>
      </c>
      <c r="I49" s="41">
        <v>46065</v>
      </c>
      <c r="J49" s="41">
        <v>46065</v>
      </c>
      <c r="K49" s="27" t="str">
        <f>IF(Table6[[#This Row],[Finish Date]]=0,"On process","Close")</f>
        <v>Close</v>
      </c>
      <c r="L49" s="27" t="str">
        <f>IF(Table6[[#This Row],[Status]]="On process",IF($H$2&gt;Table6[[#This Row],[Target Date]],"Overdue","On time"),"Closed")</f>
        <v>Closed</v>
      </c>
      <c r="M49" s="27" t="str" cm="1">
        <f t="array" ref="M49">_xlfn.IFS(Table6[[#This Row],[Finish Date]]=0,"",Table6[[#This Row],[Finish Date]]&gt;Table6[[#This Row],[Target Date]],"Delay",Table6[[#This Row],[Finish Date]]&lt;=Table6[[#This Row],[Target Date]],"On Time")</f>
        <v>On Time</v>
      </c>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row>
    <row r="50" spans="1:41" ht="21" hidden="1" customHeight="1">
      <c r="A50" s="27">
        <f>WEEKNUM(Table6[[#This Row],[Start Date]])</f>
        <v>9</v>
      </c>
      <c r="B50" s="27" t="str">
        <f>TEXT(Table6[[#This Row],[Start Date]],"mmm")</f>
        <v>Feb</v>
      </c>
      <c r="C50" s="27" t="str">
        <f>_xlfn.IFNA(INDEX(Refer!$B$5:$B$103,MATCH(Table6[[#This Row],[TASK]],Refer!$C$5:$C$103,0)),"")</f>
        <v>PACKING</v>
      </c>
      <c r="D50" s="79" t="s">
        <v>112</v>
      </c>
      <c r="E50" s="79" t="s">
        <v>113</v>
      </c>
      <c r="F50" s="82" t="s">
        <v>114</v>
      </c>
      <c r="G50" s="27" t="s">
        <v>115</v>
      </c>
      <c r="H50" s="41">
        <v>46078</v>
      </c>
      <c r="I50" s="41">
        <v>46078</v>
      </c>
      <c r="J50" s="41">
        <v>46078</v>
      </c>
      <c r="K50" s="27" t="str">
        <f>IF(Table6[[#This Row],[Finish Date]]=0,"On process","Close")</f>
        <v>Close</v>
      </c>
      <c r="L50" s="27" t="str">
        <f>IF(Table6[[#This Row],[Status]]="On process",IF($H$2&gt;Table6[[#This Row],[Target Date]],"Overdue","On time"),"Closed")</f>
        <v>Closed</v>
      </c>
      <c r="M50" s="27" t="str" cm="1">
        <f t="array" ref="M50">_xlfn.IFS(Table6[[#This Row],[Finish Date]]=0,"",Table6[[#This Row],[Finish Date]]&gt;Table6[[#This Row],[Target Date]],"Delay",Table6[[#This Row],[Finish Date]]&lt;=Table6[[#This Row],[Target Date]],"On Time")</f>
        <v>On Time</v>
      </c>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row>
    <row r="51" spans="1:41" ht="21" hidden="1" customHeight="1">
      <c r="A51" s="84">
        <f>WEEKNUM(Table6[[#This Row],[Start Date]])</f>
        <v>8</v>
      </c>
      <c r="B51" s="84" t="str">
        <f>TEXT(Table6[[#This Row],[Start Date]],"mmm")</f>
        <v>Feb</v>
      </c>
      <c r="C51" s="84" t="str">
        <f>_xlfn.IFNA(INDEX(Refer!$B$5:$B$103,MATCH(Table6[[#This Row],[TASK]],Refer!$C$5:$C$103,0)),"")</f>
        <v>OTHER</v>
      </c>
      <c r="D51" s="79" t="s">
        <v>108</v>
      </c>
      <c r="E51" s="85" t="s">
        <v>116</v>
      </c>
      <c r="F51" s="86"/>
      <c r="G51" s="84" t="s">
        <v>64</v>
      </c>
      <c r="H51" s="41">
        <v>46069</v>
      </c>
      <c r="I51" s="41">
        <v>46070</v>
      </c>
      <c r="J51" s="87">
        <v>46070</v>
      </c>
      <c r="K51" s="84" t="str">
        <f>IF(Table6[[#This Row],[Finish Date]]=0,"On process","Close")</f>
        <v>Close</v>
      </c>
      <c r="L51" s="84" t="str">
        <f>IF(Table6[[#This Row],[Status]]="On process",IF($H$2&gt;Table6[[#This Row],[Target Date]],"Overdue","On time"),"Closed")</f>
        <v>Closed</v>
      </c>
      <c r="M51" s="84" t="str" cm="1">
        <f t="array" ref="M51">_xlfn.IFS(Table6[[#This Row],[Finish Date]]=0,"",Table6[[#This Row],[Finish Date]]&gt;Table6[[#This Row],[Target Date]],"Delay",Table6[[#This Row],[Finish Date]]&lt;=Table6[[#This Row],[Target Date]],"On Time")</f>
        <v>On Time</v>
      </c>
      <c r="N51" s="88"/>
      <c r="O51" s="88"/>
      <c r="P51" s="89"/>
      <c r="Q51" s="89"/>
      <c r="R51" s="89"/>
      <c r="S51" s="89"/>
      <c r="T51" s="89"/>
      <c r="U51" s="89"/>
      <c r="V51" s="89"/>
      <c r="W51" s="89"/>
      <c r="X51" s="89"/>
      <c r="Y51" s="89"/>
      <c r="Z51" s="89"/>
      <c r="AA51" s="89"/>
      <c r="AB51" s="89"/>
      <c r="AC51" s="89"/>
      <c r="AD51" s="89"/>
      <c r="AE51" s="89"/>
      <c r="AF51" s="89"/>
      <c r="AG51" s="89"/>
      <c r="AH51" s="89"/>
      <c r="AI51" s="89"/>
      <c r="AJ51" s="89"/>
      <c r="AK51" s="89"/>
      <c r="AL51" s="89"/>
      <c r="AM51" s="89"/>
      <c r="AN51" s="89"/>
      <c r="AO51" s="89"/>
    </row>
    <row r="52" spans="1:41" ht="18.75" hidden="1" customHeight="1">
      <c r="A52" s="27">
        <f>WEEKNUM(Table6[[#This Row],[Start Date]])</f>
        <v>10</v>
      </c>
      <c r="B52" s="27" t="str">
        <f>TEXT(Table6[[#This Row],[Start Date]],"mmm")</f>
        <v>Mar</v>
      </c>
      <c r="C52" s="27" t="str">
        <f>_xlfn.IFNA(INDEX(Refer!$B$5:$B$103,MATCH(Table6[[#This Row],[TASK]],Refer!$C$5:$C$103,0)),"")</f>
        <v>OTHER</v>
      </c>
      <c r="D52" s="79" t="s">
        <v>108</v>
      </c>
      <c r="E52" s="79" t="s">
        <v>117</v>
      </c>
      <c r="F52" s="82"/>
      <c r="G52" s="27" t="s">
        <v>64</v>
      </c>
      <c r="H52" s="41">
        <v>46085</v>
      </c>
      <c r="I52" s="41">
        <v>46086</v>
      </c>
      <c r="J52" s="41">
        <v>46086</v>
      </c>
      <c r="K52" s="27" t="str">
        <f>IF(Table6[[#This Row],[Finish Date]]=0,"On process","Close")</f>
        <v>Close</v>
      </c>
      <c r="L52" s="27" t="str">
        <f>IF(Table6[[#This Row],[Status]]="On process",IF($H$2&gt;Table6[[#This Row],[Target Date]],"Overdue","On time"),"Closed")</f>
        <v>Closed</v>
      </c>
      <c r="M52" s="27" t="str" cm="1">
        <f t="array" ref="M52">_xlfn.IFS(Table6[[#This Row],[Finish Date]]=0,"",Table6[[#This Row],[Finish Date]]&gt;Table6[[#This Row],[Target Date]],"Delay",Table6[[#This Row],[Finish Date]]&lt;=Table6[[#This Row],[Target Date]],"On Time")</f>
        <v>On Time</v>
      </c>
      <c r="N52" s="78"/>
      <c r="O52" s="78"/>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row>
    <row r="53" spans="1:41" ht="21" hidden="1" customHeight="1">
      <c r="A53" s="27">
        <f>WEEKNUM(Table6[[#This Row],[Start Date]])</f>
        <v>2</v>
      </c>
      <c r="B53" s="27" t="str">
        <f>TEXT(Table6[[#This Row],[Start Date]],"mmm")</f>
        <v>Jan</v>
      </c>
      <c r="C53" s="27" t="str">
        <f>_xlfn.IFNA(INDEX(Refer!$B$5:$B$103,MATCH(Table6[[#This Row],[TASK]],Refer!$C$5:$C$103,0)),"")</f>
        <v>NPI</v>
      </c>
      <c r="D53" s="79" t="s">
        <v>118</v>
      </c>
      <c r="E53" s="79" t="s">
        <v>119</v>
      </c>
      <c r="F53" s="80" t="s">
        <v>95</v>
      </c>
      <c r="G53" s="27" t="s">
        <v>115</v>
      </c>
      <c r="H53" s="41">
        <v>46029</v>
      </c>
      <c r="I53" s="41">
        <v>46030</v>
      </c>
      <c r="J53" s="41">
        <v>46017</v>
      </c>
      <c r="K53" s="27" t="str">
        <f>IF(Table6[[#This Row],[Finish Date]]=0,"On process","Close")</f>
        <v>Close</v>
      </c>
      <c r="L53" s="27" t="str">
        <f>IF(Table6[[#This Row],[Status]]="On process",IF($H$2&gt;Table6[[#This Row],[Target Date]],"Overdue","On time"),"Closed")</f>
        <v>Closed</v>
      </c>
      <c r="M53" s="27" t="str" cm="1">
        <f t="array" ref="M53">_xlfn.IFS(Table6[[#This Row],[Finish Date]]=0,"",Table6[[#This Row],[Finish Date]]&gt;Table6[[#This Row],[Target Date]],"Delay",Table6[[#This Row],[Finish Date]]&lt;=Table6[[#This Row],[Target Date]],"On Time")</f>
        <v>On Time</v>
      </c>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row>
    <row r="54" spans="1:41" ht="21" hidden="1" customHeight="1">
      <c r="A54" s="27">
        <f>WEEKNUM(Table6[[#This Row],[Start Date]])</f>
        <v>2</v>
      </c>
      <c r="B54" s="27" t="str">
        <f>TEXT(Table6[[#This Row],[Start Date]],"mmm")</f>
        <v>Jan</v>
      </c>
      <c r="C54" s="27" t="str">
        <f>_xlfn.IFNA(INDEX(Refer!$B$5:$B$103,MATCH(Table6[[#This Row],[TASK]],Refer!$C$5:$C$103,0)),"")</f>
        <v>PACKING</v>
      </c>
      <c r="D54" s="79" t="s">
        <v>120</v>
      </c>
      <c r="E54" s="79" t="s">
        <v>121</v>
      </c>
      <c r="F54" s="82" t="s">
        <v>122</v>
      </c>
      <c r="G54" s="27" t="s">
        <v>115</v>
      </c>
      <c r="H54" s="41">
        <v>46029</v>
      </c>
      <c r="I54" s="41">
        <v>46029</v>
      </c>
      <c r="J54" s="41">
        <v>46029</v>
      </c>
      <c r="K54" s="27" t="str">
        <f>IF(Table6[[#This Row],[Finish Date]]=0,"On process","Close")</f>
        <v>Close</v>
      </c>
      <c r="L54" s="27" t="str">
        <f>IF(Table6[[#This Row],[Status]]="On process",IF($H$2&gt;Table6[[#This Row],[Target Date]],"Overdue","On time"),"Closed")</f>
        <v>Closed</v>
      </c>
      <c r="M54" s="27" t="str" cm="1">
        <f t="array" ref="M54">_xlfn.IFS(Table6[[#This Row],[Finish Date]]=0,"",Table6[[#This Row],[Finish Date]]&gt;Table6[[#This Row],[Target Date]],"Delay",Table6[[#This Row],[Finish Date]]&lt;=Table6[[#This Row],[Target Date]],"On Time")</f>
        <v>On Time</v>
      </c>
      <c r="N54" s="78"/>
      <c r="O54" s="78"/>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row>
    <row r="55" spans="1:41" ht="21" hidden="1" customHeight="1">
      <c r="A55" s="27">
        <f>WEEKNUM(Table6[[#This Row],[Start Date]])</f>
        <v>2</v>
      </c>
      <c r="B55" s="27" t="str">
        <f>TEXT(Table6[[#This Row],[Start Date]],"mmm")</f>
        <v>Jan</v>
      </c>
      <c r="C55" s="27" t="str">
        <f>_xlfn.IFNA(INDEX(Refer!$B$5:$B$103,MATCH(Table6[[#This Row],[TASK]],Refer!$C$5:$C$103,0)),"")</f>
        <v>RFQ</v>
      </c>
      <c r="D55" s="79" t="s">
        <v>123</v>
      </c>
      <c r="E55" s="79" t="s">
        <v>124</v>
      </c>
      <c r="F55" s="82" t="s">
        <v>66</v>
      </c>
      <c r="G55" s="27" t="s">
        <v>115</v>
      </c>
      <c r="H55" s="41">
        <v>46030</v>
      </c>
      <c r="I55" s="41">
        <v>46031</v>
      </c>
      <c r="J55" s="41">
        <v>46030</v>
      </c>
      <c r="K55" s="27" t="str">
        <f>IF(Table6[[#This Row],[Finish Date]]=0,"On process","Close")</f>
        <v>Close</v>
      </c>
      <c r="L55" s="27" t="str">
        <f>IF(Table6[[#This Row],[Status]]="On process",IF($H$2&gt;Table6[[#This Row],[Target Date]],"Overdue","On time"),"Closed")</f>
        <v>Closed</v>
      </c>
      <c r="M55" s="27" t="str" cm="1">
        <f t="array" ref="M55">_xlfn.IFS(Table6[[#This Row],[Finish Date]]=0,"",Table6[[#This Row],[Finish Date]]&gt;Table6[[#This Row],[Target Date]],"Delay",Table6[[#This Row],[Finish Date]]&lt;=Table6[[#This Row],[Target Date]],"On Time")</f>
        <v>On Time</v>
      </c>
      <c r="N55" s="78"/>
      <c r="O55" s="78"/>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row>
    <row r="56" spans="1:41" ht="21" hidden="1" customHeight="1">
      <c r="A56" s="27">
        <f>WEEKNUM(Table6[[#This Row],[Start Date]])</f>
        <v>2</v>
      </c>
      <c r="B56" s="27" t="str">
        <f>TEXT(Table6[[#This Row],[Start Date]],"mmm")</f>
        <v>Jan</v>
      </c>
      <c r="C56" s="27" t="str">
        <f>_xlfn.IFNA(INDEX(Refer!$B$5:$B$103,MATCH(Table6[[#This Row],[TASK]],Refer!$C$5:$C$103,0)),"")</f>
        <v>PACKING</v>
      </c>
      <c r="D56" s="79" t="s">
        <v>120</v>
      </c>
      <c r="E56" s="79" t="s">
        <v>125</v>
      </c>
      <c r="F56" s="82" t="s">
        <v>114</v>
      </c>
      <c r="G56" s="27" t="s">
        <v>115</v>
      </c>
      <c r="H56" s="41">
        <v>46030</v>
      </c>
      <c r="I56" s="41">
        <v>46030</v>
      </c>
      <c r="J56" s="41">
        <v>46030</v>
      </c>
      <c r="K56" s="27" t="str">
        <f>IF(Table6[[#This Row],[Finish Date]]=0,"On process","Close")</f>
        <v>Close</v>
      </c>
      <c r="L56" s="27" t="str">
        <f>IF(Table6[[#This Row],[Status]]="On process",IF($H$2&gt;Table6[[#This Row],[Target Date]],"Overdue","On time"),"Closed")</f>
        <v>Closed</v>
      </c>
      <c r="M56" s="27" t="str" cm="1">
        <f t="array" ref="M56">_xlfn.IFS(Table6[[#This Row],[Finish Date]]=0,"",Table6[[#This Row],[Finish Date]]&gt;Table6[[#This Row],[Target Date]],"Delay",Table6[[#This Row],[Finish Date]]&lt;=Table6[[#This Row],[Target Date]],"On Time")</f>
        <v>On Time</v>
      </c>
      <c r="N56" s="78"/>
      <c r="O56" s="78"/>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row>
    <row r="57" spans="1:41" ht="21" hidden="1" customHeight="1">
      <c r="A57" s="27">
        <f>WEEKNUM(Table6[[#This Row],[Start Date]])</f>
        <v>2</v>
      </c>
      <c r="B57" s="27" t="str">
        <f>TEXT(Table6[[#This Row],[Start Date]],"mmm")</f>
        <v>Jan</v>
      </c>
      <c r="C57" s="27" t="str">
        <f>_xlfn.IFNA(INDEX(Refer!$B$5:$B$103,MATCH(Table6[[#This Row],[TASK]],Refer!$C$5:$C$103,0)),"")</f>
        <v>PACKING</v>
      </c>
      <c r="D57" s="79" t="s">
        <v>120</v>
      </c>
      <c r="E57" s="79" t="s">
        <v>126</v>
      </c>
      <c r="F57" s="82" t="s">
        <v>114</v>
      </c>
      <c r="G57" s="27" t="s">
        <v>115</v>
      </c>
      <c r="H57" s="41">
        <v>46030</v>
      </c>
      <c r="I57" s="41">
        <v>46030</v>
      </c>
      <c r="J57" s="41">
        <v>46030</v>
      </c>
      <c r="K57" s="27" t="str">
        <f>IF(Table6[[#This Row],[Finish Date]]=0,"On process","Close")</f>
        <v>Close</v>
      </c>
      <c r="L57" s="27" t="str">
        <f>IF(Table6[[#This Row],[Status]]="On process",IF($H$2&gt;Table6[[#This Row],[Target Date]],"Overdue","On time"),"Closed")</f>
        <v>Closed</v>
      </c>
      <c r="M57" s="27" t="str" cm="1">
        <f t="array" ref="M57">_xlfn.IFS(Table6[[#This Row],[Finish Date]]=0,"",Table6[[#This Row],[Finish Date]]&gt;Table6[[#This Row],[Target Date]],"Delay",Table6[[#This Row],[Finish Date]]&lt;=Table6[[#This Row],[Target Date]],"On Time")</f>
        <v>On Time</v>
      </c>
      <c r="N57" s="78"/>
      <c r="O57" s="78"/>
      <c r="P57" s="83"/>
      <c r="Q57" s="83"/>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row>
    <row r="58" spans="1:41" ht="31.5" hidden="1">
      <c r="A58" s="27">
        <f>WEEKNUM(Table6[[#This Row],[Start Date]])</f>
        <v>2</v>
      </c>
      <c r="B58" s="27" t="str">
        <f>TEXT(Table6[[#This Row],[Start Date]],"mmm")</f>
        <v>Jan</v>
      </c>
      <c r="C58" s="27" t="str">
        <f>_xlfn.IFNA(INDEX(Refer!$B$5:$B$103,MATCH(Table6[[#This Row],[TASK]],Refer!$C$5:$C$103,0)),"")</f>
        <v>PACKING</v>
      </c>
      <c r="D58" s="79" t="s">
        <v>112</v>
      </c>
      <c r="E58" s="79" t="s">
        <v>127</v>
      </c>
      <c r="F58" s="82" t="s">
        <v>95</v>
      </c>
      <c r="G58" s="27" t="s">
        <v>115</v>
      </c>
      <c r="H58" s="41">
        <v>46030</v>
      </c>
      <c r="I58" s="41">
        <v>46030</v>
      </c>
      <c r="J58" s="41">
        <v>46030</v>
      </c>
      <c r="K58" s="27" t="str">
        <f>IF(Table6[[#This Row],[Finish Date]]=0,"On process","Close")</f>
        <v>Close</v>
      </c>
      <c r="L58" s="27" t="str">
        <f>IF(Table6[[#This Row],[Status]]="On process",IF($H$2&gt;Table6[[#This Row],[Target Date]],"Overdue","On time"),"Closed")</f>
        <v>Closed</v>
      </c>
      <c r="M58" s="27" t="str" cm="1">
        <f t="array" ref="M58">_xlfn.IFS(Table6[[#This Row],[Finish Date]]=0,"",Table6[[#This Row],[Finish Date]]&gt;Table6[[#This Row],[Target Date]],"Delay",Table6[[#This Row],[Finish Date]]&lt;=Table6[[#This Row],[Target Date]],"On Time")</f>
        <v>On Time</v>
      </c>
      <c r="N58" s="78"/>
      <c r="O58" s="78"/>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row>
    <row r="59" spans="1:41" ht="21" hidden="1" customHeight="1">
      <c r="A59" s="84">
        <f>WEEKNUM(Table6[[#This Row],[Start Date]])</f>
        <v>2</v>
      </c>
      <c r="B59" s="84" t="str">
        <f>TEXT(Table6[[#This Row],[Start Date]],"mmm")</f>
        <v>Jan</v>
      </c>
      <c r="C59" s="84" t="str">
        <f>_xlfn.IFNA(INDEX(Refer!$B$5:$B$103,MATCH(Table6[[#This Row],[TASK]],Refer!$C$5:$C$103,0)),"")</f>
        <v>PACKING</v>
      </c>
      <c r="D59" s="85" t="s">
        <v>120</v>
      </c>
      <c r="E59" s="85" t="s">
        <v>128</v>
      </c>
      <c r="F59" s="86" t="s">
        <v>122</v>
      </c>
      <c r="G59" s="84" t="s">
        <v>115</v>
      </c>
      <c r="H59" s="87">
        <v>46030</v>
      </c>
      <c r="I59" s="87">
        <v>46030</v>
      </c>
      <c r="J59" s="87">
        <v>46030</v>
      </c>
      <c r="K59" s="84" t="str">
        <f>IF(Table6[[#This Row],[Finish Date]]=0,"On process","Close")</f>
        <v>Close</v>
      </c>
      <c r="L59" s="84" t="str">
        <f>IF(Table6[[#This Row],[Status]]="On process",IF($H$2&gt;Table6[[#This Row],[Target Date]],"Overdue","On time"),"Closed")</f>
        <v>Closed</v>
      </c>
      <c r="M59" s="84" t="str" cm="1">
        <f t="array" ref="M59">_xlfn.IFS(Table6[[#This Row],[Finish Date]]=0,"",Table6[[#This Row],[Finish Date]]&gt;Table6[[#This Row],[Target Date]],"Delay",Table6[[#This Row],[Finish Date]]&lt;=Table6[[#This Row],[Target Date]],"On Time")</f>
        <v>On Time</v>
      </c>
      <c r="N59" s="88"/>
      <c r="O59" s="88"/>
      <c r="P59" s="89"/>
      <c r="Q59" s="89"/>
      <c r="R59" s="89"/>
      <c r="S59" s="89"/>
      <c r="T59" s="89"/>
      <c r="U59" s="89"/>
      <c r="V59" s="89"/>
      <c r="W59" s="89"/>
      <c r="X59" s="89"/>
      <c r="Y59" s="89"/>
      <c r="Z59" s="89"/>
      <c r="AA59" s="89"/>
      <c r="AB59" s="89"/>
      <c r="AC59" s="89"/>
      <c r="AD59" s="89"/>
      <c r="AE59" s="89"/>
      <c r="AF59" s="89"/>
      <c r="AG59" s="89"/>
      <c r="AH59" s="89"/>
      <c r="AI59" s="89"/>
      <c r="AJ59" s="89"/>
      <c r="AK59" s="89"/>
      <c r="AL59" s="89"/>
      <c r="AM59" s="89"/>
      <c r="AN59" s="89"/>
      <c r="AO59" s="89"/>
    </row>
    <row r="60" spans="1:41" ht="21" hidden="1" customHeight="1">
      <c r="A60" s="27">
        <f>WEEKNUM(Table6[[#This Row],[Start Date]])</f>
        <v>3</v>
      </c>
      <c r="B60" s="27" t="str">
        <f>TEXT(Table6[[#This Row],[Start Date]],"mmm")</f>
        <v>Jan</v>
      </c>
      <c r="C60" s="27" t="str">
        <f>_xlfn.IFNA(INDEX(Refer!$B$5:$B$103,MATCH(Table6[[#This Row],[TASK]],Refer!$C$5:$C$103,0)),"")</f>
        <v>OTHER</v>
      </c>
      <c r="D60" s="79" t="s">
        <v>108</v>
      </c>
      <c r="E60" s="79" t="s">
        <v>129</v>
      </c>
      <c r="F60" s="80"/>
      <c r="G60" s="27" t="s">
        <v>115</v>
      </c>
      <c r="H60" s="41">
        <v>46034</v>
      </c>
      <c r="I60" s="41">
        <v>46037</v>
      </c>
      <c r="J60" s="41">
        <v>46037</v>
      </c>
      <c r="K60" s="27" t="str">
        <f>IF(Table6[[#This Row],[Finish Date]]=0,"On process","Close")</f>
        <v>Close</v>
      </c>
      <c r="L60" s="27" t="str">
        <f>IF(Table6[[#This Row],[Status]]="On process",IF($H$2&gt;Table6[[#This Row],[Target Date]],"Overdue","On time"),"Closed")</f>
        <v>Closed</v>
      </c>
      <c r="M60" s="27" t="str" cm="1">
        <f t="array" ref="M60">_xlfn.IFS(Table6[[#This Row],[Finish Date]]=0,"",Table6[[#This Row],[Finish Date]]&gt;Table6[[#This Row],[Target Date]],"Delay",Table6[[#This Row],[Finish Date]]&lt;=Table6[[#This Row],[Target Date]],"On Time")</f>
        <v>On Time</v>
      </c>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row>
    <row r="61" spans="1:41" ht="21" hidden="1" customHeight="1">
      <c r="A61" s="27">
        <f>WEEKNUM(Table6[[#This Row],[Start Date]])</f>
        <v>3</v>
      </c>
      <c r="B61" s="27" t="str">
        <f>TEXT(Table6[[#This Row],[Start Date]],"mmm")</f>
        <v>Jan</v>
      </c>
      <c r="C61" s="27" t="str">
        <f>_xlfn.IFNA(INDEX(Refer!$B$5:$B$103,MATCH(Table6[[#This Row],[TASK]],Refer!$C$5:$C$103,0)),"")</f>
        <v>RFQ</v>
      </c>
      <c r="D61" s="79" t="s">
        <v>123</v>
      </c>
      <c r="E61" s="79" t="s">
        <v>130</v>
      </c>
      <c r="F61" s="82" t="s">
        <v>131</v>
      </c>
      <c r="G61" s="27" t="s">
        <v>115</v>
      </c>
      <c r="H61" s="41">
        <v>46036</v>
      </c>
      <c r="I61" s="41">
        <v>46037</v>
      </c>
      <c r="J61" s="41">
        <v>46036</v>
      </c>
      <c r="K61" s="27" t="str">
        <f>IF(Table6[[#This Row],[Finish Date]]=0,"On process","Close")</f>
        <v>Close</v>
      </c>
      <c r="L61" s="27" t="str">
        <f>IF(Table6[[#This Row],[Status]]="On process",IF($H$2&gt;Table6[[#This Row],[Target Date]],"Overdue","On time"),"Closed")</f>
        <v>Closed</v>
      </c>
      <c r="M61" s="27" t="str" cm="1">
        <f t="array" ref="M61">_xlfn.IFS(Table6[[#This Row],[Finish Date]]=0,"",Table6[[#This Row],[Finish Date]]&gt;Table6[[#This Row],[Target Date]],"Delay",Table6[[#This Row],[Finish Date]]&lt;=Table6[[#This Row],[Target Date]],"On Time")</f>
        <v>On Time</v>
      </c>
      <c r="N61" s="78"/>
      <c r="O61" s="78"/>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row>
    <row r="62" spans="1:41" ht="21" hidden="1" customHeight="1">
      <c r="A62" s="27">
        <f>WEEKNUM(Table6[[#This Row],[Start Date]])</f>
        <v>3</v>
      </c>
      <c r="B62" s="27" t="str">
        <f>TEXT(Table6[[#This Row],[Start Date]],"mmm")</f>
        <v>Jan</v>
      </c>
      <c r="C62" s="27" t="str">
        <f>_xlfn.IFNA(INDEX(Refer!$B$5:$B$103,MATCH(Table6[[#This Row],[TASK]],Refer!$C$5:$C$103,0)),"")</f>
        <v>PACKING</v>
      </c>
      <c r="D62" s="79" t="s">
        <v>120</v>
      </c>
      <c r="E62" s="79" t="s">
        <v>132</v>
      </c>
      <c r="F62" s="82" t="s">
        <v>95</v>
      </c>
      <c r="G62" s="27" t="s">
        <v>115</v>
      </c>
      <c r="H62" s="41">
        <v>46038</v>
      </c>
      <c r="I62" s="41">
        <v>46038</v>
      </c>
      <c r="J62" s="41">
        <v>46038</v>
      </c>
      <c r="K62" s="27" t="str">
        <f>IF(Table6[[#This Row],[Finish Date]]=0,"On process","Close")</f>
        <v>Close</v>
      </c>
      <c r="L62" s="27" t="str">
        <f>IF(Table6[[#This Row],[Status]]="On process",IF($H$2&gt;Table6[[#This Row],[Target Date]],"Overdue","On time"),"Closed")</f>
        <v>Closed</v>
      </c>
      <c r="M62" s="27" t="str" cm="1">
        <f t="array" ref="M62">_xlfn.IFS(Table6[[#This Row],[Finish Date]]=0,"",Table6[[#This Row],[Finish Date]]&gt;Table6[[#This Row],[Target Date]],"Delay",Table6[[#This Row],[Finish Date]]&lt;=Table6[[#This Row],[Target Date]],"On Time")</f>
        <v>On Time</v>
      </c>
      <c r="N62" s="78"/>
      <c r="O62" s="78"/>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row>
    <row r="63" spans="1:41" ht="21" hidden="1" customHeight="1">
      <c r="A63" s="27">
        <f>WEEKNUM(Table6[[#This Row],[Start Date]])</f>
        <v>3</v>
      </c>
      <c r="B63" s="27" t="str">
        <f>TEXT(Table6[[#This Row],[Start Date]],"mmm")</f>
        <v>Jan</v>
      </c>
      <c r="C63" s="27" t="str">
        <f>_xlfn.IFNA(INDEX(Refer!$B$5:$B$103,MATCH(Table6[[#This Row],[TASK]],Refer!$C$5:$C$103,0)),"")</f>
        <v>RFQ</v>
      </c>
      <c r="D63" s="79" t="s">
        <v>123</v>
      </c>
      <c r="E63" s="79" t="s">
        <v>133</v>
      </c>
      <c r="F63" s="82" t="s">
        <v>134</v>
      </c>
      <c r="G63" s="27" t="s">
        <v>115</v>
      </c>
      <c r="H63" s="41">
        <v>46038</v>
      </c>
      <c r="I63" s="41">
        <v>46038</v>
      </c>
      <c r="J63" s="41">
        <v>46038</v>
      </c>
      <c r="K63" s="27" t="str">
        <f>IF(Table6[[#This Row],[Finish Date]]=0,"On process","Close")</f>
        <v>Close</v>
      </c>
      <c r="L63" s="27" t="str">
        <f>IF(Table6[[#This Row],[Status]]="On process",IF($H$2&gt;Table6[[#This Row],[Target Date]],"Overdue","On time"),"Closed")</f>
        <v>Closed</v>
      </c>
      <c r="M63" s="27" t="str" cm="1">
        <f t="array" ref="M63">_xlfn.IFS(Table6[[#This Row],[Finish Date]]=0,"",Table6[[#This Row],[Finish Date]]&gt;Table6[[#This Row],[Target Date]],"Delay",Table6[[#This Row],[Finish Date]]&lt;=Table6[[#This Row],[Target Date]],"On Time")</f>
        <v>On Time</v>
      </c>
      <c r="N63" s="78"/>
      <c r="O63" s="78"/>
      <c r="P63" s="83"/>
      <c r="Q63" s="83"/>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row>
    <row r="64" spans="1:41" ht="21" hidden="1" customHeight="1">
      <c r="A64" s="27">
        <f>WEEKNUM(Table6[[#This Row],[Start Date]])</f>
        <v>3</v>
      </c>
      <c r="B64" s="27" t="str">
        <f>TEXT(Table6[[#This Row],[Start Date]],"mmm")</f>
        <v>Jan</v>
      </c>
      <c r="C64" s="27" t="str">
        <f>_xlfn.IFNA(INDEX(Refer!$B$5:$B$103,MATCH(Table6[[#This Row],[TASK]],Refer!$C$5:$C$103,0)),"")</f>
        <v>PACKING</v>
      </c>
      <c r="D64" s="79" t="s">
        <v>120</v>
      </c>
      <c r="E64" s="79" t="s">
        <v>135</v>
      </c>
      <c r="F64" s="82" t="s">
        <v>95</v>
      </c>
      <c r="G64" s="27" t="s">
        <v>115</v>
      </c>
      <c r="H64" s="41">
        <v>46038</v>
      </c>
      <c r="I64" s="41">
        <v>46038</v>
      </c>
      <c r="J64" s="41">
        <v>46038</v>
      </c>
      <c r="K64" s="27" t="str">
        <f>IF(Table6[[#This Row],[Finish Date]]=0,"On process","Close")</f>
        <v>Close</v>
      </c>
      <c r="L64" s="27" t="str">
        <f>IF(Table6[[#This Row],[Status]]="On process",IF($H$2&gt;Table6[[#This Row],[Target Date]],"Overdue","On time"),"Closed")</f>
        <v>Closed</v>
      </c>
      <c r="M64" s="27" t="str" cm="1">
        <f t="array" ref="M64">_xlfn.IFS(Table6[[#This Row],[Finish Date]]=0,"",Table6[[#This Row],[Finish Date]]&gt;Table6[[#This Row],[Target Date]],"Delay",Table6[[#This Row],[Finish Date]]&lt;=Table6[[#This Row],[Target Date]],"On Time")</f>
        <v>On Time</v>
      </c>
      <c r="N64" s="78"/>
      <c r="O64" s="78"/>
      <c r="P64" s="83"/>
      <c r="Q64" s="83"/>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row>
    <row r="65" spans="1:41" ht="21" hidden="1" customHeight="1">
      <c r="A65" s="27">
        <f>WEEKNUM(Table6[[#This Row],[Start Date]])</f>
        <v>3</v>
      </c>
      <c r="B65" s="27" t="str">
        <f>TEXT(Table6[[#This Row],[Start Date]],"mmm")</f>
        <v>Jan</v>
      </c>
      <c r="C65" s="27" t="str">
        <f>_xlfn.IFNA(INDEX(Refer!$B$5:$B$103,MATCH(Table6[[#This Row],[TASK]],Refer!$C$5:$C$103,0)),"")</f>
        <v>PACKING</v>
      </c>
      <c r="D65" s="79" t="s">
        <v>120</v>
      </c>
      <c r="E65" s="79" t="s">
        <v>136</v>
      </c>
      <c r="F65" s="82"/>
      <c r="G65" s="27" t="s">
        <v>115</v>
      </c>
      <c r="H65" s="41">
        <v>46038</v>
      </c>
      <c r="I65" s="41">
        <v>46038</v>
      </c>
      <c r="J65" s="41">
        <v>46038</v>
      </c>
      <c r="K65" s="27" t="str">
        <f>IF(Table6[[#This Row],[Finish Date]]=0,"On process","Close")</f>
        <v>Close</v>
      </c>
      <c r="L65" s="27" t="str">
        <f>IF(Table6[[#This Row],[Status]]="On process",IF($H$2&gt;Table6[[#This Row],[Target Date]],"Overdue","On time"),"Closed")</f>
        <v>Closed</v>
      </c>
      <c r="M65" s="27" t="str" cm="1">
        <f t="array" ref="M65">_xlfn.IFS(Table6[[#This Row],[Finish Date]]=0,"",Table6[[#This Row],[Finish Date]]&gt;Table6[[#This Row],[Target Date]],"Delay",Table6[[#This Row],[Finish Date]]&lt;=Table6[[#This Row],[Target Date]],"On Time")</f>
        <v>On Time</v>
      </c>
      <c r="N65" s="78"/>
      <c r="O65" s="78"/>
      <c r="P65" s="83"/>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row>
    <row r="66" spans="1:41" ht="21" hidden="1" customHeight="1">
      <c r="A66" s="27">
        <f>WEEKNUM(Table6[[#This Row],[Start Date]])</f>
        <v>4</v>
      </c>
      <c r="B66" s="27" t="str">
        <f>TEXT(Table6[[#This Row],[Start Date]],"mmm")</f>
        <v>Jan</v>
      </c>
      <c r="C66" s="27" t="str">
        <f>_xlfn.IFNA(INDEX(Refer!$B$5:$B$103,MATCH(Table6[[#This Row],[TASK]],Refer!$C$5:$C$103,0)),"")</f>
        <v>PACKING</v>
      </c>
      <c r="D66" s="79" t="s">
        <v>112</v>
      </c>
      <c r="E66" s="79" t="s">
        <v>137</v>
      </c>
      <c r="F66" s="82" t="s">
        <v>138</v>
      </c>
      <c r="G66" s="27" t="s">
        <v>115</v>
      </c>
      <c r="H66" s="41">
        <v>46041</v>
      </c>
      <c r="I66" s="41">
        <v>46042</v>
      </c>
      <c r="J66" s="41">
        <v>46041</v>
      </c>
      <c r="K66" s="27" t="str">
        <f>IF(Table6[[#This Row],[Finish Date]]=0,"On process","Close")</f>
        <v>Close</v>
      </c>
      <c r="L66" s="27" t="str">
        <f>IF(Table6[[#This Row],[Status]]="On process",IF($H$2&gt;Table6[[#This Row],[Target Date]],"Overdue","On time"),"Closed")</f>
        <v>Closed</v>
      </c>
      <c r="M66" s="27" t="str" cm="1">
        <f t="array" ref="M66">_xlfn.IFS(Table6[[#This Row],[Finish Date]]=0,"",Table6[[#This Row],[Finish Date]]&gt;Table6[[#This Row],[Target Date]],"Delay",Table6[[#This Row],[Finish Date]]&lt;=Table6[[#This Row],[Target Date]],"On Time")</f>
        <v>On Time</v>
      </c>
      <c r="N66" s="78"/>
      <c r="O66" s="78"/>
      <c r="P66" s="83"/>
      <c r="Q66" s="83"/>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row>
    <row r="67" spans="1:41" ht="21" hidden="1" customHeight="1">
      <c r="A67" s="27">
        <f>WEEKNUM(Table6[[#This Row],[Start Date]])</f>
        <v>4</v>
      </c>
      <c r="B67" s="27" t="str">
        <f>TEXT(Table6[[#This Row],[Start Date]],"mmm")</f>
        <v>Jan</v>
      </c>
      <c r="C67" s="27" t="str">
        <f>_xlfn.IFNA(INDEX(Refer!$B$5:$B$103,MATCH(Table6[[#This Row],[TASK]],Refer!$C$5:$C$103,0)),"")</f>
        <v>PACKING</v>
      </c>
      <c r="D67" s="79" t="s">
        <v>112</v>
      </c>
      <c r="E67" s="79" t="s">
        <v>139</v>
      </c>
      <c r="F67" s="82" t="s">
        <v>138</v>
      </c>
      <c r="G67" s="27" t="s">
        <v>115</v>
      </c>
      <c r="H67" s="41">
        <v>46041</v>
      </c>
      <c r="I67" s="41">
        <v>46042</v>
      </c>
      <c r="J67" s="41">
        <v>46041</v>
      </c>
      <c r="K67" s="27" t="str">
        <f>IF(Table6[[#This Row],[Finish Date]]=0,"On process","Close")</f>
        <v>Close</v>
      </c>
      <c r="L67" s="27" t="str">
        <f>IF(Table6[[#This Row],[Status]]="On process",IF($H$2&gt;Table6[[#This Row],[Target Date]],"Overdue","On time"),"Closed")</f>
        <v>Closed</v>
      </c>
      <c r="M67" s="27" t="str" cm="1">
        <f t="array" ref="M67">_xlfn.IFS(Table6[[#This Row],[Finish Date]]=0,"",Table6[[#This Row],[Finish Date]]&gt;Table6[[#This Row],[Target Date]],"Delay",Table6[[#This Row],[Finish Date]]&lt;=Table6[[#This Row],[Target Date]],"On Time")</f>
        <v>On Time</v>
      </c>
      <c r="N67" s="78"/>
      <c r="O67" s="78"/>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row>
    <row r="68" spans="1:41" ht="21" hidden="1" customHeight="1">
      <c r="A68" s="27">
        <f>WEEKNUM(Table6[[#This Row],[Start Date]])</f>
        <v>4</v>
      </c>
      <c r="B68" s="27" t="str">
        <f>TEXT(Table6[[#This Row],[Start Date]],"mmm")</f>
        <v>Jan</v>
      </c>
      <c r="C68" s="27" t="str">
        <f>_xlfn.IFNA(INDEX(Refer!$B$5:$B$103,MATCH(Table6[[#This Row],[TASK]],Refer!$C$5:$C$103,0)),"")</f>
        <v>PACKING</v>
      </c>
      <c r="D68" s="79" t="s">
        <v>112</v>
      </c>
      <c r="E68" s="79" t="s">
        <v>140</v>
      </c>
      <c r="F68" s="82" t="s">
        <v>138</v>
      </c>
      <c r="G68" s="27" t="s">
        <v>115</v>
      </c>
      <c r="H68" s="41">
        <v>46041</v>
      </c>
      <c r="I68" s="41">
        <v>46042</v>
      </c>
      <c r="J68" s="41">
        <v>46041</v>
      </c>
      <c r="K68" s="27" t="str">
        <f>IF(Table6[[#This Row],[Finish Date]]=0,"On process","Close")</f>
        <v>Close</v>
      </c>
      <c r="L68" s="27" t="str">
        <f>IF(Table6[[#This Row],[Status]]="On process",IF($H$2&gt;Table6[[#This Row],[Target Date]],"Overdue","On time"),"Closed")</f>
        <v>Closed</v>
      </c>
      <c r="M68" s="27" t="str" cm="1">
        <f t="array" ref="M68">_xlfn.IFS(Table6[[#This Row],[Finish Date]]=0,"",Table6[[#This Row],[Finish Date]]&gt;Table6[[#This Row],[Target Date]],"Delay",Table6[[#This Row],[Finish Date]]&lt;=Table6[[#This Row],[Target Date]],"On Time")</f>
        <v>On Time</v>
      </c>
      <c r="N68" s="78"/>
      <c r="O68" s="78"/>
      <c r="P68" s="83"/>
      <c r="Q68" s="83"/>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row>
    <row r="69" spans="1:41" ht="21" hidden="1" customHeight="1">
      <c r="A69" s="27">
        <f>WEEKNUM(Table6[[#This Row],[Start Date]])</f>
        <v>4</v>
      </c>
      <c r="B69" s="27" t="str">
        <f>TEXT(Table6[[#This Row],[Start Date]],"mmm")</f>
        <v>Jan</v>
      </c>
      <c r="C69" s="27" t="str">
        <f>_xlfn.IFNA(INDEX(Refer!$B$5:$B$103,MATCH(Table6[[#This Row],[TASK]],Refer!$C$5:$C$103,0)),"")</f>
        <v>PACKING</v>
      </c>
      <c r="D69" s="79" t="s">
        <v>112</v>
      </c>
      <c r="E69" s="79" t="s">
        <v>141</v>
      </c>
      <c r="F69" s="82" t="s">
        <v>138</v>
      </c>
      <c r="G69" s="27" t="s">
        <v>115</v>
      </c>
      <c r="H69" s="41">
        <v>46041</v>
      </c>
      <c r="I69" s="41">
        <v>46042</v>
      </c>
      <c r="J69" s="41">
        <v>46041</v>
      </c>
      <c r="K69" s="27" t="str">
        <f>IF(Table6[[#This Row],[Finish Date]]=0,"On process","Close")</f>
        <v>Close</v>
      </c>
      <c r="L69" s="27" t="str">
        <f>IF(Table6[[#This Row],[Status]]="On process",IF($H$2&gt;Table6[[#This Row],[Target Date]],"Overdue","On time"),"Closed")</f>
        <v>Closed</v>
      </c>
      <c r="M69" s="27" t="str" cm="1">
        <f t="array" ref="M69">_xlfn.IFS(Table6[[#This Row],[Finish Date]]=0,"",Table6[[#This Row],[Finish Date]]&gt;Table6[[#This Row],[Target Date]],"Delay",Table6[[#This Row],[Finish Date]]&lt;=Table6[[#This Row],[Target Date]],"On Time")</f>
        <v>On Time</v>
      </c>
      <c r="N69" s="78"/>
      <c r="O69" s="78"/>
      <c r="P69" s="83"/>
      <c r="Q69" s="83"/>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row>
    <row r="70" spans="1:41" ht="21" hidden="1" customHeight="1">
      <c r="A70" s="27">
        <f>WEEKNUM(Table6[[#This Row],[Start Date]])</f>
        <v>4</v>
      </c>
      <c r="B70" s="27" t="str">
        <f>TEXT(Table6[[#This Row],[Start Date]],"mmm")</f>
        <v>Jan</v>
      </c>
      <c r="C70" s="27" t="str">
        <f>_xlfn.IFNA(INDEX(Refer!$B$5:$B$103,MATCH(Table6[[#This Row],[TASK]],Refer!$C$5:$C$103,0)),"")</f>
        <v>PACKING</v>
      </c>
      <c r="D70" s="79" t="s">
        <v>112</v>
      </c>
      <c r="E70" s="79" t="s">
        <v>142</v>
      </c>
      <c r="F70" s="82" t="s">
        <v>95</v>
      </c>
      <c r="G70" s="27" t="s">
        <v>115</v>
      </c>
      <c r="H70" s="41">
        <v>46042</v>
      </c>
      <c r="I70" s="41">
        <v>46042</v>
      </c>
      <c r="J70" s="41">
        <v>46042</v>
      </c>
      <c r="K70" s="27" t="str">
        <f>IF(Table6[[#This Row],[Finish Date]]=0,"On process","Close")</f>
        <v>Close</v>
      </c>
      <c r="L70" s="27" t="str">
        <f>IF(Table6[[#This Row],[Status]]="On process",IF($H$2&gt;Table6[[#This Row],[Target Date]],"Overdue","On time"),"Closed")</f>
        <v>Closed</v>
      </c>
      <c r="M70" s="27" t="str" cm="1">
        <f t="array" ref="M70">_xlfn.IFS(Table6[[#This Row],[Finish Date]]=0,"",Table6[[#This Row],[Finish Date]]&gt;Table6[[#This Row],[Target Date]],"Delay",Table6[[#This Row],[Finish Date]]&lt;=Table6[[#This Row],[Target Date]],"On Time")</f>
        <v>On Time</v>
      </c>
      <c r="N70" s="78"/>
      <c r="O70" s="78"/>
      <c r="P70" s="83"/>
      <c r="Q70" s="83"/>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row>
    <row r="71" spans="1:41" ht="21" hidden="1" customHeight="1">
      <c r="A71" s="27">
        <f>WEEKNUM(Table6[[#This Row],[Start Date]])</f>
        <v>4</v>
      </c>
      <c r="B71" s="27" t="str">
        <f>TEXT(Table6[[#This Row],[Start Date]],"mmm")</f>
        <v>Jan</v>
      </c>
      <c r="C71" s="27" t="str">
        <f>_xlfn.IFNA(INDEX(Refer!$B$5:$B$103,MATCH(Table6[[#This Row],[TASK]],Refer!$C$5:$C$103,0)),"")</f>
        <v>PACKING</v>
      </c>
      <c r="D71" s="79" t="s">
        <v>120</v>
      </c>
      <c r="E71" s="79" t="s">
        <v>143</v>
      </c>
      <c r="F71" s="82" t="s">
        <v>95</v>
      </c>
      <c r="G71" s="27" t="s">
        <v>115</v>
      </c>
      <c r="H71" s="41">
        <v>46042</v>
      </c>
      <c r="I71" s="41">
        <v>46042</v>
      </c>
      <c r="J71" s="41">
        <v>46042</v>
      </c>
      <c r="K71" s="27" t="str">
        <f>IF(Table6[[#This Row],[Finish Date]]=0,"On process","Close")</f>
        <v>Close</v>
      </c>
      <c r="L71" s="27" t="str">
        <f>IF(Table6[[#This Row],[Status]]="On process",IF($H$2&gt;Table6[[#This Row],[Target Date]],"Overdue","On time"),"Closed")</f>
        <v>Closed</v>
      </c>
      <c r="M71" s="27" t="str" cm="1">
        <f t="array" ref="M71">_xlfn.IFS(Table6[[#This Row],[Finish Date]]=0,"",Table6[[#This Row],[Finish Date]]&gt;Table6[[#This Row],[Target Date]],"Delay",Table6[[#This Row],[Finish Date]]&lt;=Table6[[#This Row],[Target Date]],"On Time")</f>
        <v>On Time</v>
      </c>
      <c r="N71" s="78"/>
      <c r="O71" s="78"/>
      <c r="P71" s="83"/>
      <c r="Q71" s="83"/>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row>
    <row r="72" spans="1:41" ht="21" hidden="1" customHeight="1">
      <c r="A72" s="27">
        <f>WEEKNUM(Table6[[#This Row],[Start Date]])</f>
        <v>4</v>
      </c>
      <c r="B72" s="27" t="str">
        <f>TEXT(Table6[[#This Row],[Start Date]],"mmm")</f>
        <v>Jan</v>
      </c>
      <c r="C72" s="27" t="str">
        <f>_xlfn.IFNA(INDEX(Refer!$B$5:$B$103,MATCH(Table6[[#This Row],[TASK]],Refer!$C$5:$C$103,0)),"")</f>
        <v>RFQ</v>
      </c>
      <c r="D72" s="79" t="s">
        <v>123</v>
      </c>
      <c r="E72" s="79" t="s">
        <v>144</v>
      </c>
      <c r="F72" s="82" t="s">
        <v>95</v>
      </c>
      <c r="G72" s="27" t="s">
        <v>115</v>
      </c>
      <c r="H72" s="41">
        <v>46042</v>
      </c>
      <c r="I72" s="41">
        <v>46043</v>
      </c>
      <c r="J72" s="41">
        <v>46043</v>
      </c>
      <c r="K72" s="27" t="str">
        <f>IF(Table6[[#This Row],[Finish Date]]=0,"On process","Close")</f>
        <v>Close</v>
      </c>
      <c r="L72" s="27" t="str">
        <f>IF(Table6[[#This Row],[Status]]="On process",IF($H$2&gt;Table6[[#This Row],[Target Date]],"Overdue","On time"),"Closed")</f>
        <v>Closed</v>
      </c>
      <c r="M72" s="27" t="str" cm="1">
        <f t="array" ref="M72">_xlfn.IFS(Table6[[#This Row],[Finish Date]]=0,"",Table6[[#This Row],[Finish Date]]&gt;Table6[[#This Row],[Target Date]],"Delay",Table6[[#This Row],[Finish Date]]&lt;=Table6[[#This Row],[Target Date]],"On Time")</f>
        <v>On Time</v>
      </c>
      <c r="N72" s="78"/>
      <c r="O72" s="78"/>
      <c r="P72" s="83"/>
      <c r="Q72" s="83"/>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row>
    <row r="73" spans="1:41" ht="21" hidden="1" customHeight="1">
      <c r="A73" s="27">
        <f>WEEKNUM(Table6[[#This Row],[Start Date]])</f>
        <v>4</v>
      </c>
      <c r="B73" s="27" t="str">
        <f>TEXT(Table6[[#This Row],[Start Date]],"mmm")</f>
        <v>Jan</v>
      </c>
      <c r="C73" s="27" t="str">
        <f>_xlfn.IFNA(INDEX(Refer!$B$5:$B$103,MATCH(Table6[[#This Row],[TASK]],Refer!$C$5:$C$103,0)),"")</f>
        <v>PACKING</v>
      </c>
      <c r="D73" s="79" t="s">
        <v>120</v>
      </c>
      <c r="E73" s="79" t="s">
        <v>145</v>
      </c>
      <c r="F73" s="82" t="s">
        <v>95</v>
      </c>
      <c r="G73" s="27" t="s">
        <v>115</v>
      </c>
      <c r="H73" s="41">
        <v>46043</v>
      </c>
      <c r="I73" s="41">
        <v>46043</v>
      </c>
      <c r="J73" s="41">
        <v>46043</v>
      </c>
      <c r="K73" s="27" t="str">
        <f>IF(Table6[[#This Row],[Finish Date]]=0,"On process","Close")</f>
        <v>Close</v>
      </c>
      <c r="L73" s="27" t="str">
        <f>IF(Table6[[#This Row],[Status]]="On process",IF($H$2&gt;Table6[[#This Row],[Target Date]],"Overdue","On time"),"Closed")</f>
        <v>Closed</v>
      </c>
      <c r="M73" s="27" t="str" cm="1">
        <f t="array" ref="M73">_xlfn.IFS(Table6[[#This Row],[Finish Date]]=0,"",Table6[[#This Row],[Finish Date]]&gt;Table6[[#This Row],[Target Date]],"Delay",Table6[[#This Row],[Finish Date]]&lt;=Table6[[#This Row],[Target Date]],"On Time")</f>
        <v>On Time</v>
      </c>
      <c r="N73" s="78"/>
      <c r="O73" s="78"/>
      <c r="P73" s="83"/>
      <c r="Q73" s="83"/>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row>
    <row r="74" spans="1:41" ht="21" hidden="1" customHeight="1">
      <c r="A74" s="27">
        <f>WEEKNUM(Table6[[#This Row],[Start Date]])</f>
        <v>4</v>
      </c>
      <c r="B74" s="27" t="str">
        <f>TEXT(Table6[[#This Row],[Start Date]],"mmm")</f>
        <v>Jan</v>
      </c>
      <c r="C74" s="27" t="str">
        <f>_xlfn.IFNA(INDEX(Refer!$B$5:$B$103,MATCH(Table6[[#This Row],[TASK]],Refer!$C$5:$C$103,0)),"")</f>
        <v>PACKING</v>
      </c>
      <c r="D74" s="79" t="s">
        <v>112</v>
      </c>
      <c r="E74" s="79" t="s">
        <v>146</v>
      </c>
      <c r="F74" s="82" t="s">
        <v>95</v>
      </c>
      <c r="G74" s="27" t="s">
        <v>115</v>
      </c>
      <c r="H74" s="41">
        <v>46044</v>
      </c>
      <c r="I74" s="41">
        <v>46044</v>
      </c>
      <c r="J74" s="41">
        <v>46044</v>
      </c>
      <c r="K74" s="27" t="str">
        <f>IF(Table6[[#This Row],[Finish Date]]=0,"On process","Close")</f>
        <v>Close</v>
      </c>
      <c r="L74" s="27" t="str">
        <f>IF(Table6[[#This Row],[Status]]="On process",IF($H$2&gt;Table6[[#This Row],[Target Date]],"Overdue","On time"),"Closed")</f>
        <v>Closed</v>
      </c>
      <c r="M74" s="27" t="str" cm="1">
        <f t="array" ref="M74">_xlfn.IFS(Table6[[#This Row],[Finish Date]]=0,"",Table6[[#This Row],[Finish Date]]&gt;Table6[[#This Row],[Target Date]],"Delay",Table6[[#This Row],[Finish Date]]&lt;=Table6[[#This Row],[Target Date]],"On Time")</f>
        <v>On Time</v>
      </c>
      <c r="N74" s="78"/>
      <c r="O74" s="78"/>
      <c r="P74" s="83"/>
      <c r="Q74" s="83"/>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row>
    <row r="75" spans="1:41" ht="21" hidden="1" customHeight="1">
      <c r="A75" s="27">
        <f>WEEKNUM(Table6[[#This Row],[Start Date]])</f>
        <v>10</v>
      </c>
      <c r="B75" s="27" t="str">
        <f>TEXT(Table6[[#This Row],[Start Date]],"mmm")</f>
        <v>Mar</v>
      </c>
      <c r="C75" s="27" t="str">
        <f>_xlfn.IFNA(INDEX(Refer!$B$5:$B$103,MATCH(Table6[[#This Row],[TASK]],Refer!$C$5:$C$103,0)),"")</f>
        <v>OTHER</v>
      </c>
      <c r="D75" s="79" t="s">
        <v>108</v>
      </c>
      <c r="E75" s="79" t="s">
        <v>109</v>
      </c>
      <c r="F75" s="82"/>
      <c r="G75" s="27" t="s">
        <v>115</v>
      </c>
      <c r="H75" s="41">
        <v>46085</v>
      </c>
      <c r="I75" s="41">
        <v>46087</v>
      </c>
      <c r="J75" s="41">
        <v>46087</v>
      </c>
      <c r="K75" s="27" t="str">
        <f>IF(Table6[[#This Row],[Finish Date]]=0,"On process","Close")</f>
        <v>Close</v>
      </c>
      <c r="L75" s="27" t="str">
        <f>IF(Table6[[#This Row],[Status]]="On process",IF($H$2&gt;Table6[[#This Row],[Target Date]],"Overdue","On time"),"Closed")</f>
        <v>Closed</v>
      </c>
      <c r="M75" s="27" t="str" cm="1">
        <f t="array" ref="M75">_xlfn.IFS(Table6[[#This Row],[Finish Date]]=0,"",Table6[[#This Row],[Finish Date]]&gt;Table6[[#This Row],[Target Date]],"Delay",Table6[[#This Row],[Finish Date]]&lt;=Table6[[#This Row],[Target Date]],"On Time")</f>
        <v>On Time</v>
      </c>
      <c r="N75" s="78"/>
      <c r="O75" s="78"/>
      <c r="P75" s="83"/>
      <c r="Q75" s="83"/>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row>
    <row r="76" spans="1:41" ht="21" hidden="1" customHeight="1">
      <c r="A76" s="27">
        <f>WEEKNUM(Table6[[#This Row],[Start Date]])</f>
        <v>4</v>
      </c>
      <c r="B76" s="27" t="str">
        <f>TEXT(Table6[[#This Row],[Start Date]],"mmm")</f>
        <v>Jan</v>
      </c>
      <c r="C76" s="27" t="str">
        <f>_xlfn.IFNA(INDEX(Refer!$B$5:$B$103,MATCH(Table6[[#This Row],[TASK]],Refer!$C$5:$C$103,0)),"")</f>
        <v>PACKING</v>
      </c>
      <c r="D76" s="79" t="s">
        <v>147</v>
      </c>
      <c r="E76" s="79" t="s">
        <v>148</v>
      </c>
      <c r="F76" s="82" t="s">
        <v>149</v>
      </c>
      <c r="G76" s="27" t="s">
        <v>115</v>
      </c>
      <c r="H76" s="41">
        <v>46045</v>
      </c>
      <c r="I76" s="41">
        <v>46045</v>
      </c>
      <c r="J76" s="41">
        <v>46045</v>
      </c>
      <c r="K76" s="27" t="str">
        <f>IF(Table6[[#This Row],[Finish Date]]=0,"On process","Close")</f>
        <v>Close</v>
      </c>
      <c r="L76" s="27" t="str">
        <f>IF(Table6[[#This Row],[Status]]="On process",IF($H$2&gt;Table6[[#This Row],[Target Date]],"Overdue","On time"),"Closed")</f>
        <v>Closed</v>
      </c>
      <c r="M76" s="27" t="str" cm="1">
        <f t="array" ref="M76">_xlfn.IFS(Table6[[#This Row],[Finish Date]]=0,"",Table6[[#This Row],[Finish Date]]&gt;Table6[[#This Row],[Target Date]],"Delay",Table6[[#This Row],[Finish Date]]&lt;=Table6[[#This Row],[Target Date]],"On Time")</f>
        <v>On Time</v>
      </c>
      <c r="N76" s="78"/>
      <c r="O76" s="78"/>
      <c r="P76" s="83"/>
      <c r="Q76" s="83"/>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row>
    <row r="77" spans="1:41" ht="21" hidden="1" customHeight="1">
      <c r="A77" s="27">
        <f>WEEKNUM(Table6[[#This Row],[Start Date]])</f>
        <v>5</v>
      </c>
      <c r="B77" s="27" t="str">
        <f>TEXT(Table6[[#This Row],[Start Date]],"mmm")</f>
        <v>Jan</v>
      </c>
      <c r="C77" s="27" t="str">
        <f>_xlfn.IFNA(INDEX(Refer!$B$5:$B$103,MATCH(Table6[[#This Row],[TASK]],Refer!$C$5:$C$103,0)),"")</f>
        <v>PACKING</v>
      </c>
      <c r="D77" s="79" t="s">
        <v>120</v>
      </c>
      <c r="E77" s="79" t="s">
        <v>150</v>
      </c>
      <c r="F77" s="82" t="s">
        <v>93</v>
      </c>
      <c r="G77" s="27" t="s">
        <v>115</v>
      </c>
      <c r="H77" s="41">
        <v>46048</v>
      </c>
      <c r="I77" s="41">
        <v>46048</v>
      </c>
      <c r="J77" s="41">
        <v>46048</v>
      </c>
      <c r="K77" s="27" t="str">
        <f>IF(Table6[[#This Row],[Finish Date]]=0,"On process","Close")</f>
        <v>Close</v>
      </c>
      <c r="L77" s="27" t="str">
        <f>IF(Table6[[#This Row],[Status]]="On process",IF($H$2&gt;Table6[[#This Row],[Target Date]],"Overdue","On time"),"Closed")</f>
        <v>Closed</v>
      </c>
      <c r="M77" s="27" t="str" cm="1">
        <f t="array" ref="M77">_xlfn.IFS(Table6[[#This Row],[Finish Date]]=0,"",Table6[[#This Row],[Finish Date]]&gt;Table6[[#This Row],[Target Date]],"Delay",Table6[[#This Row],[Finish Date]]&lt;=Table6[[#This Row],[Target Date]],"On Time")</f>
        <v>On Time</v>
      </c>
      <c r="N77" s="78"/>
      <c r="O77" s="78"/>
      <c r="P77" s="83"/>
      <c r="Q77" s="83"/>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row>
    <row r="78" spans="1:41" ht="21" hidden="1" customHeight="1">
      <c r="A78" s="27">
        <f>WEEKNUM(Table6[[#This Row],[Start Date]])</f>
        <v>5</v>
      </c>
      <c r="B78" s="27" t="str">
        <f>TEXT(Table6[[#This Row],[Start Date]],"mmm")</f>
        <v>Jan</v>
      </c>
      <c r="C78" s="27" t="str">
        <f>_xlfn.IFNA(INDEX(Refer!$B$5:$B$103,MATCH(Table6[[#This Row],[TASK]],Refer!$C$5:$C$103,0)),"")</f>
        <v>PACKING</v>
      </c>
      <c r="D78" s="79" t="s">
        <v>112</v>
      </c>
      <c r="E78" s="79" t="s">
        <v>142</v>
      </c>
      <c r="F78" s="82" t="s">
        <v>95</v>
      </c>
      <c r="G78" s="27" t="s">
        <v>115</v>
      </c>
      <c r="H78" s="41">
        <v>46048</v>
      </c>
      <c r="I78" s="41">
        <v>46049</v>
      </c>
      <c r="J78" s="41">
        <v>46049</v>
      </c>
      <c r="K78" s="27" t="str">
        <f>IF(Table6[[#This Row],[Finish Date]]=0,"On process","Close")</f>
        <v>Close</v>
      </c>
      <c r="L78" s="27" t="str">
        <f>IF(Table6[[#This Row],[Status]]="On process",IF($H$2&gt;Table6[[#This Row],[Target Date]],"Overdue","On time"),"Closed")</f>
        <v>Closed</v>
      </c>
      <c r="M78" s="27" t="str" cm="1">
        <f t="array" ref="M78">_xlfn.IFS(Table6[[#This Row],[Finish Date]]=0,"",Table6[[#This Row],[Finish Date]]&gt;Table6[[#This Row],[Target Date]],"Delay",Table6[[#This Row],[Finish Date]]&lt;=Table6[[#This Row],[Target Date]],"On Time")</f>
        <v>On Time</v>
      </c>
      <c r="N78" s="78"/>
      <c r="O78" s="78"/>
      <c r="P78" s="83"/>
      <c r="Q78" s="83"/>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row>
    <row r="79" spans="1:41" ht="21" hidden="1" customHeight="1">
      <c r="A79" s="27">
        <f>WEEKNUM(Table6[[#This Row],[Start Date]])</f>
        <v>5</v>
      </c>
      <c r="B79" s="27" t="str">
        <f>TEXT(Table6[[#This Row],[Start Date]],"mmm")</f>
        <v>Jan</v>
      </c>
      <c r="C79" s="27" t="str">
        <f>_xlfn.IFNA(INDEX(Refer!$B$5:$B$103,MATCH(Table6[[#This Row],[TASK]],Refer!$C$5:$C$103,0)),"")</f>
        <v>RFQ</v>
      </c>
      <c r="D79" s="79" t="s">
        <v>123</v>
      </c>
      <c r="E79" s="79" t="s">
        <v>151</v>
      </c>
      <c r="F79" s="82" t="s">
        <v>138</v>
      </c>
      <c r="G79" s="27" t="s">
        <v>115</v>
      </c>
      <c r="H79" s="41">
        <v>46050</v>
      </c>
      <c r="I79" s="41">
        <v>46051</v>
      </c>
      <c r="J79" s="41">
        <v>46048</v>
      </c>
      <c r="K79" s="27" t="str">
        <f>IF(Table6[[#This Row],[Finish Date]]=0,"On process","Close")</f>
        <v>Close</v>
      </c>
      <c r="L79" s="27" t="str">
        <f>IF(Table6[[#This Row],[Status]]="On process",IF($H$2&gt;Table6[[#This Row],[Target Date]],"Overdue","On time"),"Closed")</f>
        <v>Closed</v>
      </c>
      <c r="M79" s="27" t="str" cm="1">
        <f t="array" ref="M79">_xlfn.IFS(Table6[[#This Row],[Finish Date]]=0,"",Table6[[#This Row],[Finish Date]]&gt;Table6[[#This Row],[Target Date]],"Delay",Table6[[#This Row],[Finish Date]]&lt;=Table6[[#This Row],[Target Date]],"On Time")</f>
        <v>On Time</v>
      </c>
      <c r="N79" s="78"/>
      <c r="O79" s="78"/>
      <c r="P79" s="83"/>
      <c r="Q79" s="83"/>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row>
    <row r="80" spans="1:41" ht="21" hidden="1" customHeight="1">
      <c r="A80" s="27">
        <f>WEEKNUM(Table6[[#This Row],[Start Date]])</f>
        <v>5</v>
      </c>
      <c r="B80" s="27" t="str">
        <f>TEXT(Table6[[#This Row],[Start Date]],"mmm")</f>
        <v>Jan</v>
      </c>
      <c r="C80" s="27" t="str">
        <f>_xlfn.IFNA(INDEX(Refer!$B$5:$B$103,MATCH(Table6[[#This Row],[TASK]],Refer!$C$5:$C$103,0)),"")</f>
        <v>NPI</v>
      </c>
      <c r="D80" s="79" t="s">
        <v>61</v>
      </c>
      <c r="E80" s="79" t="s">
        <v>152</v>
      </c>
      <c r="F80" s="82" t="s">
        <v>63</v>
      </c>
      <c r="G80" s="27" t="s">
        <v>115</v>
      </c>
      <c r="H80" s="41">
        <v>46052</v>
      </c>
      <c r="I80" s="41">
        <v>46052</v>
      </c>
      <c r="J80" s="41">
        <v>46052</v>
      </c>
      <c r="K80" s="27" t="str">
        <f>IF(Table6[[#This Row],[Finish Date]]=0,"On process","Close")</f>
        <v>Close</v>
      </c>
      <c r="L80" s="27" t="str">
        <f>IF(Table6[[#This Row],[Status]]="On process",IF($H$2&gt;Table6[[#This Row],[Target Date]],"Overdue","On time"),"Closed")</f>
        <v>Closed</v>
      </c>
      <c r="M80" s="27" t="str" cm="1">
        <f t="array" ref="M80">_xlfn.IFS(Table6[[#This Row],[Finish Date]]=0,"",Table6[[#This Row],[Finish Date]]&gt;Table6[[#This Row],[Target Date]],"Delay",Table6[[#This Row],[Finish Date]]&lt;=Table6[[#This Row],[Target Date]],"On Time")</f>
        <v>On Time</v>
      </c>
      <c r="N80" s="78"/>
      <c r="O80" s="78"/>
      <c r="P80" s="83"/>
      <c r="Q80" s="83"/>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row>
    <row r="81" spans="1:41" ht="21" hidden="1" customHeight="1">
      <c r="A81" s="27">
        <f>WEEKNUM(Table6[[#This Row],[Start Date]])</f>
        <v>5</v>
      </c>
      <c r="B81" s="27" t="str">
        <f>TEXT(Table6[[#This Row],[Start Date]],"mmm")</f>
        <v>Jan</v>
      </c>
      <c r="C81" s="27" t="str">
        <f>_xlfn.IFNA(INDEX(Refer!$B$5:$B$103,MATCH(Table6[[#This Row],[TASK]],Refer!$C$5:$C$103,0)),"")</f>
        <v>PACKING</v>
      </c>
      <c r="D81" s="79" t="s">
        <v>120</v>
      </c>
      <c r="E81" s="79" t="s">
        <v>153</v>
      </c>
      <c r="F81" s="82" t="s">
        <v>63</v>
      </c>
      <c r="G81" s="27" t="s">
        <v>115</v>
      </c>
      <c r="H81" s="41">
        <v>46052</v>
      </c>
      <c r="I81" s="41">
        <v>46052</v>
      </c>
      <c r="J81" s="41">
        <v>46052</v>
      </c>
      <c r="K81" s="27" t="str">
        <f>IF(Table6[[#This Row],[Finish Date]]=0,"On process","Close")</f>
        <v>Close</v>
      </c>
      <c r="L81" s="27" t="str">
        <f>IF(Table6[[#This Row],[Status]]="On process",IF($H$2&gt;Table6[[#This Row],[Target Date]],"Overdue","On time"),"Closed")</f>
        <v>Closed</v>
      </c>
      <c r="M81" s="27" t="str" cm="1">
        <f t="array" ref="M81">_xlfn.IFS(Table6[[#This Row],[Finish Date]]=0,"",Table6[[#This Row],[Finish Date]]&gt;Table6[[#This Row],[Target Date]],"Delay",Table6[[#This Row],[Finish Date]]&lt;=Table6[[#This Row],[Target Date]],"On Time")</f>
        <v>On Time</v>
      </c>
      <c r="N81" s="78"/>
      <c r="O81" s="78"/>
      <c r="P81" s="83"/>
      <c r="Q81" s="83"/>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row>
    <row r="82" spans="1:41" ht="21" hidden="1" customHeight="1">
      <c r="A82" s="27">
        <f>WEEKNUM(Table6[[#This Row],[Start Date]])</f>
        <v>5</v>
      </c>
      <c r="B82" s="27" t="str">
        <f>TEXT(Table6[[#This Row],[Start Date]],"mmm")</f>
        <v>Jan</v>
      </c>
      <c r="C82" s="27" t="str">
        <f>_xlfn.IFNA(INDEX(Refer!$B$5:$B$103,MATCH(Table6[[#This Row],[TASK]],Refer!$C$5:$C$103,0)),"")</f>
        <v>PACKING</v>
      </c>
      <c r="D82" s="79" t="s">
        <v>120</v>
      </c>
      <c r="E82" s="79" t="s">
        <v>154</v>
      </c>
      <c r="F82" s="82"/>
      <c r="G82" s="27" t="s">
        <v>115</v>
      </c>
      <c r="H82" s="41">
        <v>46052</v>
      </c>
      <c r="I82" s="41">
        <v>46052</v>
      </c>
      <c r="J82" s="41">
        <v>46052</v>
      </c>
      <c r="K82" s="27" t="str">
        <f>IF(Table6[[#This Row],[Finish Date]]=0,"On process","Close")</f>
        <v>Close</v>
      </c>
      <c r="L82" s="27" t="str">
        <f>IF(Table6[[#This Row],[Status]]="On process",IF($H$2&gt;Table6[[#This Row],[Target Date]],"Overdue","On time"),"Closed")</f>
        <v>Closed</v>
      </c>
      <c r="M82" s="27" t="str" cm="1">
        <f t="array" ref="M82">_xlfn.IFS(Table6[[#This Row],[Finish Date]]=0,"",Table6[[#This Row],[Finish Date]]&gt;Table6[[#This Row],[Target Date]],"Delay",Table6[[#This Row],[Finish Date]]&lt;=Table6[[#This Row],[Target Date]],"On Time")</f>
        <v>On Time</v>
      </c>
      <c r="N82" s="78"/>
      <c r="O82" s="78"/>
      <c r="P82" s="83"/>
      <c r="Q82" s="83"/>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row>
    <row r="83" spans="1:41" ht="21" hidden="1" customHeight="1">
      <c r="A83" s="27">
        <f>WEEKNUM(Table6[[#This Row],[Start Date]])</f>
        <v>5</v>
      </c>
      <c r="B83" s="27" t="str">
        <f>TEXT(Table6[[#This Row],[Start Date]],"mmm")</f>
        <v>Jan</v>
      </c>
      <c r="C83" s="27" t="str">
        <f>_xlfn.IFNA(INDEX(Refer!$B$5:$B$103,MATCH(Table6[[#This Row],[TASK]],Refer!$C$5:$C$103,0)),"")</f>
        <v>PACKING</v>
      </c>
      <c r="D83" s="79" t="s">
        <v>120</v>
      </c>
      <c r="E83" s="79" t="s">
        <v>155</v>
      </c>
      <c r="F83" s="82" t="s">
        <v>149</v>
      </c>
      <c r="G83" s="27" t="s">
        <v>115</v>
      </c>
      <c r="H83" s="41">
        <v>46052</v>
      </c>
      <c r="I83" s="41">
        <v>46052</v>
      </c>
      <c r="J83" s="41">
        <v>46052</v>
      </c>
      <c r="K83" s="27" t="str">
        <f>IF(Table6[[#This Row],[Finish Date]]=0,"On process","Close")</f>
        <v>Close</v>
      </c>
      <c r="L83" s="27" t="str">
        <f>IF(Table6[[#This Row],[Status]]="On process",IF($H$2&gt;Table6[[#This Row],[Target Date]],"Overdue","On time"),"Closed")</f>
        <v>Closed</v>
      </c>
      <c r="M83" s="27" t="str" cm="1">
        <f t="array" ref="M83">_xlfn.IFS(Table6[[#This Row],[Finish Date]]=0,"",Table6[[#This Row],[Finish Date]]&gt;Table6[[#This Row],[Target Date]],"Delay",Table6[[#This Row],[Finish Date]]&lt;=Table6[[#This Row],[Target Date]],"On Time")</f>
        <v>On Time</v>
      </c>
      <c r="N83" s="78"/>
      <c r="O83" s="78"/>
      <c r="P83" s="83"/>
      <c r="Q83" s="83"/>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row>
    <row r="84" spans="1:41" ht="21" hidden="1" customHeight="1">
      <c r="A84" s="27">
        <f>WEEKNUM(Table6[[#This Row],[Start Date]])</f>
        <v>6</v>
      </c>
      <c r="B84" s="27" t="str">
        <f>TEXT(Table6[[#This Row],[Start Date]],"mmm")</f>
        <v>Feb</v>
      </c>
      <c r="C84" s="27" t="str">
        <f>_xlfn.IFNA(INDEX(Refer!$B$5:$B$103,MATCH(Table6[[#This Row],[TASK]],Refer!$C$5:$C$103,0)),"")</f>
        <v>RFQ</v>
      </c>
      <c r="D84" s="79" t="s">
        <v>123</v>
      </c>
      <c r="E84" s="79" t="s">
        <v>156</v>
      </c>
      <c r="F84" s="82" t="s">
        <v>122</v>
      </c>
      <c r="G84" s="27" t="s">
        <v>115</v>
      </c>
      <c r="H84" s="41">
        <v>46055</v>
      </c>
      <c r="I84" s="41">
        <v>46055</v>
      </c>
      <c r="J84" s="41">
        <v>46045</v>
      </c>
      <c r="K84" s="27" t="str">
        <f>IF(Table6[[#This Row],[Finish Date]]=0,"On process","Close")</f>
        <v>Close</v>
      </c>
      <c r="L84" s="27" t="str">
        <f>IF(Table6[[#This Row],[Status]]="On process",IF($H$2&gt;Table6[[#This Row],[Target Date]],"Overdue","On time"),"Closed")</f>
        <v>Closed</v>
      </c>
      <c r="M84" s="27" t="str" cm="1">
        <f t="array" ref="M84">_xlfn.IFS(Table6[[#This Row],[Finish Date]]=0,"",Table6[[#This Row],[Finish Date]]&gt;Table6[[#This Row],[Target Date]],"Delay",Table6[[#This Row],[Finish Date]]&lt;=Table6[[#This Row],[Target Date]],"On Time")</f>
        <v>On Time</v>
      </c>
      <c r="N84" s="78"/>
      <c r="O84" s="78"/>
      <c r="P84" s="83"/>
      <c r="Q84" s="83"/>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row>
    <row r="85" spans="1:41" ht="21" hidden="1" customHeight="1">
      <c r="A85" s="27">
        <f>WEEKNUM(Table6[[#This Row],[Start Date]])</f>
        <v>6</v>
      </c>
      <c r="B85" s="27" t="str">
        <f>TEXT(Table6[[#This Row],[Start Date]],"mmm")</f>
        <v>Feb</v>
      </c>
      <c r="C85" s="27" t="str">
        <f>_xlfn.IFNA(INDEX(Refer!$B$5:$B$103,MATCH(Table6[[#This Row],[TASK]],Refer!$C$5:$C$103,0)),"")</f>
        <v>PACKING</v>
      </c>
      <c r="D85" s="79" t="s">
        <v>112</v>
      </c>
      <c r="E85" s="79" t="s">
        <v>157</v>
      </c>
      <c r="F85" s="80" t="s">
        <v>149</v>
      </c>
      <c r="G85" s="27" t="s">
        <v>115</v>
      </c>
      <c r="H85" s="41">
        <v>46057</v>
      </c>
      <c r="I85" s="41">
        <v>46057</v>
      </c>
      <c r="J85" s="41">
        <v>46057</v>
      </c>
      <c r="K85" s="27" t="str">
        <f>IF(Table6[[#This Row],[Finish Date]]=0,"On process","Close")</f>
        <v>Close</v>
      </c>
      <c r="L85" s="27" t="str">
        <f>IF(Table6[[#This Row],[Status]]="On process",IF($H$2&gt;Table6[[#This Row],[Target Date]],"Overdue","On time"),"Closed")</f>
        <v>Closed</v>
      </c>
      <c r="M85" s="27" t="str" cm="1">
        <f t="array" ref="M85">_xlfn.IFS(Table6[[#This Row],[Finish Date]]=0,"",Table6[[#This Row],[Finish Date]]&gt;Table6[[#This Row],[Target Date]],"Delay",Table6[[#This Row],[Finish Date]]&lt;=Table6[[#This Row],[Target Date]],"On Time")</f>
        <v>On Time</v>
      </c>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row>
    <row r="86" spans="1:41" ht="21" hidden="1" customHeight="1">
      <c r="A86" s="27">
        <f>WEEKNUM(Table6[[#This Row],[Start Date]])</f>
        <v>6</v>
      </c>
      <c r="B86" s="27" t="str">
        <f>TEXT(Table6[[#This Row],[Start Date]],"mmm")</f>
        <v>Feb</v>
      </c>
      <c r="C86" s="27" t="str">
        <f>_xlfn.IFNA(INDEX(Refer!$B$5:$B$103,MATCH(Table6[[#This Row],[TASK]],Refer!$C$5:$C$103,0)),"")</f>
        <v>PACKING</v>
      </c>
      <c r="D86" s="79" t="s">
        <v>120</v>
      </c>
      <c r="E86" s="79" t="s">
        <v>158</v>
      </c>
      <c r="F86" s="82" t="s">
        <v>93</v>
      </c>
      <c r="G86" s="27" t="s">
        <v>115</v>
      </c>
      <c r="H86" s="41">
        <v>46057</v>
      </c>
      <c r="I86" s="41">
        <v>46057</v>
      </c>
      <c r="J86" s="41">
        <v>46057</v>
      </c>
      <c r="K86" s="27" t="str">
        <f>IF(Table6[[#This Row],[Finish Date]]=0,"On process","Close")</f>
        <v>Close</v>
      </c>
      <c r="L86" s="27" t="str">
        <f>IF(Table6[[#This Row],[Status]]="On process",IF($H$2&gt;Table6[[#This Row],[Target Date]],"Overdue","On time"),"Closed")</f>
        <v>Closed</v>
      </c>
      <c r="M86" s="27" t="str" cm="1">
        <f t="array" ref="M86">_xlfn.IFS(Table6[[#This Row],[Finish Date]]=0,"",Table6[[#This Row],[Finish Date]]&gt;Table6[[#This Row],[Target Date]],"Delay",Table6[[#This Row],[Finish Date]]&lt;=Table6[[#This Row],[Target Date]],"On Time")</f>
        <v>On Time</v>
      </c>
      <c r="N86" s="78"/>
      <c r="O86" s="78"/>
      <c r="P86" s="83"/>
      <c r="Q86" s="83"/>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row>
    <row r="87" spans="1:41" ht="21" hidden="1" customHeight="1">
      <c r="A87" s="27">
        <f>WEEKNUM(Table6[[#This Row],[Start Date]])</f>
        <v>6</v>
      </c>
      <c r="B87" s="27" t="str">
        <f>TEXT(Table6[[#This Row],[Start Date]],"mmm")</f>
        <v>Feb</v>
      </c>
      <c r="C87" s="27" t="str">
        <f>_xlfn.IFNA(INDEX(Refer!$B$5:$B$103,MATCH(Table6[[#This Row],[TASK]],Refer!$C$5:$C$103,0)),"")</f>
        <v>PACKING</v>
      </c>
      <c r="D87" s="79" t="s">
        <v>120</v>
      </c>
      <c r="E87" s="79" t="s">
        <v>159</v>
      </c>
      <c r="F87" s="82" t="s">
        <v>93</v>
      </c>
      <c r="G87" s="27" t="s">
        <v>115</v>
      </c>
      <c r="H87" s="41">
        <v>46057</v>
      </c>
      <c r="I87" s="41">
        <v>46057</v>
      </c>
      <c r="J87" s="41">
        <v>46057</v>
      </c>
      <c r="K87" s="27" t="str">
        <f>IF(Table6[[#This Row],[Finish Date]]=0,"On process","Close")</f>
        <v>Close</v>
      </c>
      <c r="L87" s="27" t="str">
        <f>IF(Table6[[#This Row],[Status]]="On process",IF($H$2&gt;Table6[[#This Row],[Target Date]],"Overdue","On time"),"Closed")</f>
        <v>Closed</v>
      </c>
      <c r="M87" s="27" t="str" cm="1">
        <f t="array" ref="M87">_xlfn.IFS(Table6[[#This Row],[Finish Date]]=0,"",Table6[[#This Row],[Finish Date]]&gt;Table6[[#This Row],[Target Date]],"Delay",Table6[[#This Row],[Finish Date]]&lt;=Table6[[#This Row],[Target Date]],"On Time")</f>
        <v>On Time</v>
      </c>
      <c r="N87" s="78"/>
      <c r="O87" s="78"/>
      <c r="P87" s="83"/>
      <c r="Q87" s="83"/>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row>
    <row r="88" spans="1:41" ht="21" hidden="1" customHeight="1">
      <c r="A88" s="27">
        <f>WEEKNUM(Table6[[#This Row],[Start Date]])</f>
        <v>6</v>
      </c>
      <c r="B88" s="27" t="str">
        <f>TEXT(Table6[[#This Row],[Start Date]],"mmm")</f>
        <v>Feb</v>
      </c>
      <c r="C88" s="27" t="str">
        <f>_xlfn.IFNA(INDEX(Refer!$B$5:$B$103,MATCH(Table6[[#This Row],[TASK]],Refer!$C$5:$C$103,0)),"")</f>
        <v>PACKING</v>
      </c>
      <c r="D88" s="79" t="s">
        <v>120</v>
      </c>
      <c r="E88" s="79" t="s">
        <v>160</v>
      </c>
      <c r="F88" s="82"/>
      <c r="G88" s="27" t="s">
        <v>115</v>
      </c>
      <c r="H88" s="41">
        <v>46059</v>
      </c>
      <c r="I88" s="41">
        <v>46059</v>
      </c>
      <c r="J88" s="41">
        <v>46059</v>
      </c>
      <c r="K88" s="27" t="str">
        <f>IF(Table6[[#This Row],[Finish Date]]=0,"On process","Close")</f>
        <v>Close</v>
      </c>
      <c r="L88" s="27" t="str">
        <f>IF(Table6[[#This Row],[Status]]="On process",IF($H$2&gt;Table6[[#This Row],[Target Date]],"Overdue","On time"),"Closed")</f>
        <v>Closed</v>
      </c>
      <c r="M88" s="27" t="str" cm="1">
        <f t="array" ref="M88">_xlfn.IFS(Table6[[#This Row],[Finish Date]]=0,"",Table6[[#This Row],[Finish Date]]&gt;Table6[[#This Row],[Target Date]],"Delay",Table6[[#This Row],[Finish Date]]&lt;=Table6[[#This Row],[Target Date]],"On Time")</f>
        <v>On Time</v>
      </c>
      <c r="N88" s="78"/>
      <c r="O88" s="78"/>
      <c r="P88" s="83"/>
      <c r="Q88" s="83"/>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row>
    <row r="89" spans="1:41" ht="21" hidden="1" customHeight="1">
      <c r="A89" s="27">
        <f>WEEKNUM(Table6[[#This Row],[Start Date]])</f>
        <v>6</v>
      </c>
      <c r="B89" s="27" t="str">
        <f>TEXT(Table6[[#This Row],[Start Date]],"mmm")</f>
        <v>Feb</v>
      </c>
      <c r="C89" s="27" t="str">
        <f>_xlfn.IFNA(INDEX(Refer!$B$5:$B$103,MATCH(Table6[[#This Row],[TASK]],Refer!$C$5:$C$103,0)),"")</f>
        <v>RFQ</v>
      </c>
      <c r="D89" s="79" t="s">
        <v>123</v>
      </c>
      <c r="E89" s="79" t="s">
        <v>161</v>
      </c>
      <c r="F89" s="82" t="s">
        <v>162</v>
      </c>
      <c r="G89" s="27" t="s">
        <v>115</v>
      </c>
      <c r="H89" s="41">
        <v>46059</v>
      </c>
      <c r="I89" s="41">
        <v>46059</v>
      </c>
      <c r="J89" s="41">
        <v>46057</v>
      </c>
      <c r="K89" s="27" t="str">
        <f>IF(Table6[[#This Row],[Finish Date]]=0,"On process","Close")</f>
        <v>Close</v>
      </c>
      <c r="L89" s="27" t="str">
        <f>IF(Table6[[#This Row],[Status]]="On process",IF($H$2&gt;Table6[[#This Row],[Target Date]],"Overdue","On time"),"Closed")</f>
        <v>Closed</v>
      </c>
      <c r="M89" s="27" t="str" cm="1">
        <f t="array" ref="M89">_xlfn.IFS(Table6[[#This Row],[Finish Date]]=0,"",Table6[[#This Row],[Finish Date]]&gt;Table6[[#This Row],[Target Date]],"Delay",Table6[[#This Row],[Finish Date]]&lt;=Table6[[#This Row],[Target Date]],"On Time")</f>
        <v>On Time</v>
      </c>
      <c r="N89" s="78"/>
      <c r="O89" s="78"/>
      <c r="P89" s="83"/>
      <c r="Q89" s="83"/>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row>
    <row r="90" spans="1:41" ht="21" hidden="1" customHeight="1">
      <c r="A90" s="27">
        <f>WEEKNUM(Table6[[#This Row],[Start Date]])</f>
        <v>6</v>
      </c>
      <c r="B90" s="27" t="str">
        <f>TEXT(Table6[[#This Row],[Start Date]],"mmm")</f>
        <v>Feb</v>
      </c>
      <c r="C90" s="27" t="str">
        <f>_xlfn.IFNA(INDEX(Refer!$B$5:$B$103,MATCH(Table6[[#This Row],[TASK]],Refer!$C$5:$C$103,0)),"")</f>
        <v>PACKING</v>
      </c>
      <c r="D90" s="79" t="s">
        <v>120</v>
      </c>
      <c r="E90" s="79" t="s">
        <v>163</v>
      </c>
      <c r="F90" s="82" t="s">
        <v>95</v>
      </c>
      <c r="G90" s="27" t="s">
        <v>115</v>
      </c>
      <c r="H90" s="41">
        <v>46059</v>
      </c>
      <c r="I90" s="41">
        <v>46059</v>
      </c>
      <c r="J90" s="41">
        <v>46059</v>
      </c>
      <c r="K90" s="27" t="str">
        <f>IF(Table6[[#This Row],[Finish Date]]=0,"On process","Close")</f>
        <v>Close</v>
      </c>
      <c r="L90" s="27" t="str">
        <f>IF(Table6[[#This Row],[Status]]="On process",IF($H$2&gt;Table6[[#This Row],[Target Date]],"Overdue","On time"),"Closed")</f>
        <v>Closed</v>
      </c>
      <c r="M90" s="27" t="str" cm="1">
        <f t="array" ref="M90">_xlfn.IFS(Table6[[#This Row],[Finish Date]]=0,"",Table6[[#This Row],[Finish Date]]&gt;Table6[[#This Row],[Target Date]],"Delay",Table6[[#This Row],[Finish Date]]&lt;=Table6[[#This Row],[Target Date]],"On Time")</f>
        <v>On Time</v>
      </c>
      <c r="N90" s="78"/>
      <c r="O90" s="78"/>
      <c r="P90" s="83"/>
      <c r="Q90" s="83"/>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row>
    <row r="91" spans="1:41" ht="21" hidden="1" customHeight="1">
      <c r="A91" s="27">
        <f>WEEKNUM(Table6[[#This Row],[Start Date]])</f>
        <v>7</v>
      </c>
      <c r="B91" s="27" t="str">
        <f>TEXT(Table6[[#This Row],[Start Date]],"mmm")</f>
        <v>Feb</v>
      </c>
      <c r="C91" s="27" t="str">
        <f>_xlfn.IFNA(INDEX(Refer!$B$5:$B$103,MATCH(Table6[[#This Row],[TASK]],Refer!$C$5:$C$103,0)),"")</f>
        <v>RFQ</v>
      </c>
      <c r="D91" s="79" t="s">
        <v>123</v>
      </c>
      <c r="E91" s="79" t="s">
        <v>164</v>
      </c>
      <c r="F91" s="80" t="s">
        <v>165</v>
      </c>
      <c r="G91" s="27" t="s">
        <v>115</v>
      </c>
      <c r="H91" s="41">
        <v>46062</v>
      </c>
      <c r="I91" s="41">
        <v>46062</v>
      </c>
      <c r="J91" s="41">
        <v>46059</v>
      </c>
      <c r="K91" s="27" t="str">
        <f>IF(Table6[[#This Row],[Finish Date]]=0,"On process","Close")</f>
        <v>Close</v>
      </c>
      <c r="L91" s="27" t="str">
        <f>IF(Table6[[#This Row],[Status]]="On process",IF($H$2&gt;Table6[[#This Row],[Target Date]],"Overdue","On time"),"Closed")</f>
        <v>Closed</v>
      </c>
      <c r="M91" s="27" t="str" cm="1">
        <f t="array" ref="M91">_xlfn.IFS(Table6[[#This Row],[Finish Date]]=0,"",Table6[[#This Row],[Finish Date]]&gt;Table6[[#This Row],[Target Date]],"Delay",Table6[[#This Row],[Finish Date]]&lt;=Table6[[#This Row],[Target Date]],"On Time")</f>
        <v>On Time</v>
      </c>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row>
    <row r="92" spans="1:41" ht="21" hidden="1" customHeight="1">
      <c r="A92" s="27">
        <f>WEEKNUM(Table6[[#This Row],[Start Date]])</f>
        <v>7</v>
      </c>
      <c r="B92" s="27" t="str">
        <f>TEXT(Table6[[#This Row],[Start Date]],"mmm")</f>
        <v>Feb</v>
      </c>
      <c r="C92" s="27" t="str">
        <f>_xlfn.IFNA(INDEX(Refer!$B$5:$B$103,MATCH(Table6[[#This Row],[TASK]],Refer!$C$5:$C$103,0)),"")</f>
        <v>PACKING</v>
      </c>
      <c r="D92" s="79" t="s">
        <v>120</v>
      </c>
      <c r="E92" s="79" t="s">
        <v>166</v>
      </c>
      <c r="F92" s="80" t="s">
        <v>149</v>
      </c>
      <c r="G92" s="27" t="s">
        <v>115</v>
      </c>
      <c r="H92" s="41">
        <v>46062</v>
      </c>
      <c r="I92" s="41">
        <v>46062</v>
      </c>
      <c r="J92" s="41">
        <v>46062</v>
      </c>
      <c r="K92" s="27" t="str">
        <f>IF(Table6[[#This Row],[Finish Date]]=0,"On process","Close")</f>
        <v>Close</v>
      </c>
      <c r="L92" s="27" t="str">
        <f>IF(Table6[[#This Row],[Status]]="On process",IF($H$2&gt;Table6[[#This Row],[Target Date]],"Overdue","On time"),"Closed")</f>
        <v>Closed</v>
      </c>
      <c r="M92" s="27" t="str" cm="1">
        <f t="array" ref="M92">_xlfn.IFS(Table6[[#This Row],[Finish Date]]=0,"",Table6[[#This Row],[Finish Date]]&gt;Table6[[#This Row],[Target Date]],"Delay",Table6[[#This Row],[Finish Date]]&lt;=Table6[[#This Row],[Target Date]],"On Time")</f>
        <v>On Time</v>
      </c>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row>
    <row r="93" spans="1:41" ht="21" hidden="1" customHeight="1">
      <c r="A93" s="27">
        <f>WEEKNUM(Table6[[#This Row],[Start Date]])</f>
        <v>7</v>
      </c>
      <c r="B93" s="27" t="str">
        <f>TEXT(Table6[[#This Row],[Start Date]],"mmm")</f>
        <v>Feb</v>
      </c>
      <c r="C93" s="27" t="str">
        <f>_xlfn.IFNA(INDEX(Refer!$B$5:$B$103,MATCH(Table6[[#This Row],[TASK]],Refer!$C$5:$C$103,0)),"")</f>
        <v>RFQ</v>
      </c>
      <c r="D93" s="79" t="s">
        <v>123</v>
      </c>
      <c r="E93" s="79" t="s">
        <v>167</v>
      </c>
      <c r="F93" s="82" t="s">
        <v>168</v>
      </c>
      <c r="G93" s="27" t="s">
        <v>115</v>
      </c>
      <c r="H93" s="41">
        <v>46062</v>
      </c>
      <c r="I93" s="41">
        <v>46063</v>
      </c>
      <c r="J93" s="41">
        <v>46050</v>
      </c>
      <c r="K93" s="27" t="str">
        <f>IF(Table6[[#This Row],[Finish Date]]=0,"On process","Close")</f>
        <v>Close</v>
      </c>
      <c r="L93" s="27" t="str">
        <f>IF(Table6[[#This Row],[Status]]="On process",IF($H$2&gt;Table6[[#This Row],[Target Date]],"Overdue","On time"),"Closed")</f>
        <v>Closed</v>
      </c>
      <c r="M93" s="27" t="str" cm="1">
        <f t="array" ref="M93">_xlfn.IFS(Table6[[#This Row],[Finish Date]]=0,"",Table6[[#This Row],[Finish Date]]&gt;Table6[[#This Row],[Target Date]],"Delay",Table6[[#This Row],[Finish Date]]&lt;=Table6[[#This Row],[Target Date]],"On Time")</f>
        <v>On Time</v>
      </c>
      <c r="N93" s="78"/>
      <c r="O93" s="78"/>
      <c r="P93" s="83"/>
      <c r="Q93" s="83"/>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row>
    <row r="94" spans="1:41" ht="21" hidden="1" customHeight="1">
      <c r="A94" s="27">
        <f>WEEKNUM(Table6[[#This Row],[Start Date]])</f>
        <v>2</v>
      </c>
      <c r="B94" s="27" t="str">
        <f>TEXT(Table6[[#This Row],[Start Date]],"mmm")</f>
        <v>Jan</v>
      </c>
      <c r="C94" s="27" t="str">
        <f>_xlfn.IFNA(INDEX(Refer!$B$5:$B$103,MATCH(Table6[[#This Row],[TASK]],Refer!$C$5:$C$103,0)),"")</f>
        <v>OTHER</v>
      </c>
      <c r="D94" s="79" t="s">
        <v>108</v>
      </c>
      <c r="E94" s="79" t="s">
        <v>109</v>
      </c>
      <c r="F94" s="80"/>
      <c r="G94" s="27" t="s">
        <v>169</v>
      </c>
      <c r="H94" s="41">
        <v>46027</v>
      </c>
      <c r="I94" s="41">
        <v>46029</v>
      </c>
      <c r="J94" s="41">
        <v>46029</v>
      </c>
      <c r="K94" s="27" t="str">
        <f>IF(Table6[[#This Row],[Finish Date]]=0,"On process","Close")</f>
        <v>Close</v>
      </c>
      <c r="L94" s="27" t="str">
        <f>IF(Table6[[#This Row],[Status]]="On process",IF($H$2&gt;Table6[[#This Row],[Target Date]],"Overdue","On time"),"Closed")</f>
        <v>Closed</v>
      </c>
      <c r="M94" s="27" t="str" cm="1">
        <f t="array" ref="M94">_xlfn.IFS(Table6[[#This Row],[Finish Date]]=0,"",Table6[[#This Row],[Finish Date]]&gt;Table6[[#This Row],[Target Date]],"Delay",Table6[[#This Row],[Finish Date]]&lt;=Table6[[#This Row],[Target Date]],"On Time")</f>
        <v>On Time</v>
      </c>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row>
    <row r="95" spans="1:41" ht="21" hidden="1" customHeight="1">
      <c r="A95" s="27">
        <f>WEEKNUM(Table6[[#This Row],[Start Date]])</f>
        <v>3</v>
      </c>
      <c r="B95" s="27" t="str">
        <f>TEXT(Table6[[#This Row],[Start Date]],"mmm")</f>
        <v>Jan</v>
      </c>
      <c r="C95" s="27" t="str">
        <f>_xlfn.IFNA(INDEX(Refer!$B$5:$B$103,MATCH(Table6[[#This Row],[TASK]],Refer!$C$5:$C$103,0)),"")</f>
        <v>NPI</v>
      </c>
      <c r="D95" s="79" t="s">
        <v>86</v>
      </c>
      <c r="E95" s="79" t="s">
        <v>170</v>
      </c>
      <c r="F95" s="82" t="s">
        <v>95</v>
      </c>
      <c r="G95" s="27" t="s">
        <v>169</v>
      </c>
      <c r="H95" s="41">
        <v>46034</v>
      </c>
      <c r="I95" s="41">
        <v>46035</v>
      </c>
      <c r="J95" s="41">
        <v>46035</v>
      </c>
      <c r="K95" s="27" t="str">
        <f>IF(Table6[[#This Row],[Finish Date]]=0,"On process","Close")</f>
        <v>Close</v>
      </c>
      <c r="L95" s="27" t="str">
        <f>IF(Table6[[#This Row],[Status]]="On process",IF($H$2&gt;Table6[[#This Row],[Target Date]],"Overdue","On time"),"Closed")</f>
        <v>Closed</v>
      </c>
      <c r="M95" s="27" t="str" cm="1">
        <f t="array" ref="M95">_xlfn.IFS(Table6[[#This Row],[Finish Date]]=0,"",Table6[[#This Row],[Finish Date]]&gt;Table6[[#This Row],[Target Date]],"Delay",Table6[[#This Row],[Finish Date]]&lt;=Table6[[#This Row],[Target Date]],"On Time")</f>
        <v>On Time</v>
      </c>
      <c r="N95" s="78"/>
      <c r="O95" s="78"/>
      <c r="P95" s="83"/>
      <c r="Q95" s="83"/>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row>
    <row r="96" spans="1:41" ht="21" hidden="1" customHeight="1">
      <c r="A96" s="27">
        <f>WEEKNUM(Table6[[#This Row],[Start Date]])</f>
        <v>2</v>
      </c>
      <c r="B96" s="27" t="str">
        <f>TEXT(Table6[[#This Row],[Start Date]],"mmm")</f>
        <v>Jan</v>
      </c>
      <c r="C96" s="27" t="str">
        <f>_xlfn.IFNA(INDEX(Refer!$B$5:$B$103,MATCH(Table6[[#This Row],[TASK]],Refer!$C$5:$C$103,0)),"")</f>
        <v>NPI</v>
      </c>
      <c r="D96" s="79" t="s">
        <v>61</v>
      </c>
      <c r="E96" s="79" t="s">
        <v>171</v>
      </c>
      <c r="F96" s="82" t="s">
        <v>95</v>
      </c>
      <c r="G96" s="27" t="s">
        <v>169</v>
      </c>
      <c r="H96" s="41">
        <v>46030</v>
      </c>
      <c r="I96" s="41">
        <v>46037</v>
      </c>
      <c r="J96" s="41">
        <v>46037</v>
      </c>
      <c r="K96" s="27" t="str">
        <f>IF(Table6[[#This Row],[Finish Date]]=0,"On process","Close")</f>
        <v>Close</v>
      </c>
      <c r="L96" s="27" t="str">
        <f>IF(Table6[[#This Row],[Status]]="On process",IF($H$2&gt;Table6[[#This Row],[Target Date]],"Overdue","On time"),"Closed")</f>
        <v>Closed</v>
      </c>
      <c r="M96" s="27" t="str" cm="1">
        <f t="array" ref="M96">_xlfn.IFS(Table6[[#This Row],[Finish Date]]=0,"",Table6[[#This Row],[Finish Date]]&gt;Table6[[#This Row],[Target Date]],"Delay",Table6[[#This Row],[Finish Date]]&lt;=Table6[[#This Row],[Target Date]],"On Time")</f>
        <v>On Time</v>
      </c>
      <c r="N96" s="78"/>
      <c r="O96" s="78"/>
      <c r="P96" s="83"/>
      <c r="Q96" s="83"/>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row>
    <row r="97" spans="1:41" ht="21" hidden="1" customHeight="1">
      <c r="A97" s="27">
        <f>WEEKNUM(Table6[[#This Row],[Start Date]])</f>
        <v>3</v>
      </c>
      <c r="B97" s="27" t="str">
        <f>TEXT(Table6[[#This Row],[Start Date]],"mmm")</f>
        <v>Jan</v>
      </c>
      <c r="C97" s="27" t="str">
        <f>_xlfn.IFNA(INDEX(Refer!$B$5:$B$103,MATCH(Table6[[#This Row],[TASK]],Refer!$C$5:$C$103,0)),"")</f>
        <v>NPI</v>
      </c>
      <c r="D97" s="79" t="s">
        <v>172</v>
      </c>
      <c r="E97" s="79" t="s">
        <v>173</v>
      </c>
      <c r="F97" s="82" t="s">
        <v>95</v>
      </c>
      <c r="G97" s="27" t="s">
        <v>169</v>
      </c>
      <c r="H97" s="41">
        <v>46037</v>
      </c>
      <c r="I97" s="41">
        <v>46037</v>
      </c>
      <c r="J97" s="41">
        <v>46037</v>
      </c>
      <c r="K97" s="27" t="str">
        <f>IF(Table6[[#This Row],[Finish Date]]=0,"On process","Close")</f>
        <v>Close</v>
      </c>
      <c r="L97" s="27" t="str">
        <f>IF(Table6[[#This Row],[Status]]="On process",IF($H$2&gt;Table6[[#This Row],[Target Date]],"Overdue","On time"),"Closed")</f>
        <v>Closed</v>
      </c>
      <c r="M97" s="27" t="str" cm="1">
        <f t="array" ref="M97">_xlfn.IFS(Table6[[#This Row],[Finish Date]]=0,"",Table6[[#This Row],[Finish Date]]&gt;Table6[[#This Row],[Target Date]],"Delay",Table6[[#This Row],[Finish Date]]&lt;=Table6[[#This Row],[Target Date]],"On Time")</f>
        <v>On Time</v>
      </c>
      <c r="N97" s="78"/>
      <c r="O97" s="78"/>
      <c r="P97" s="83"/>
      <c r="Q97" s="83"/>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row>
    <row r="98" spans="1:41" ht="21" hidden="1" customHeight="1">
      <c r="A98" s="27">
        <f>WEEKNUM(Table6[[#This Row],[Start Date]])</f>
        <v>3</v>
      </c>
      <c r="B98" s="27" t="str">
        <f>TEXT(Table6[[#This Row],[Start Date]],"mmm")</f>
        <v>Jan</v>
      </c>
      <c r="C98" s="27" t="str">
        <f>_xlfn.IFNA(INDEX(Refer!$B$5:$B$103,MATCH(Table6[[#This Row],[TASK]],Refer!$C$5:$C$103,0)),"")</f>
        <v>Part DFM</v>
      </c>
      <c r="D98" s="79" t="s">
        <v>81</v>
      </c>
      <c r="E98" s="79" t="s">
        <v>174</v>
      </c>
      <c r="F98" s="82" t="s">
        <v>114</v>
      </c>
      <c r="G98" s="27" t="s">
        <v>169</v>
      </c>
      <c r="H98" s="41">
        <v>46037</v>
      </c>
      <c r="I98" s="41">
        <v>46042</v>
      </c>
      <c r="J98" s="41">
        <v>46041</v>
      </c>
      <c r="K98" s="27" t="str">
        <f>IF(Table6[[#This Row],[Finish Date]]=0,"On process","Close")</f>
        <v>Close</v>
      </c>
      <c r="L98" s="27" t="str">
        <f>IF(Table6[[#This Row],[Status]]="On process",IF($H$2&gt;Table6[[#This Row],[Target Date]],"Overdue","On time"),"Closed")</f>
        <v>Closed</v>
      </c>
      <c r="M98" s="27" t="str" cm="1">
        <f t="array" ref="M98">_xlfn.IFS(Table6[[#This Row],[Finish Date]]=0,"",Table6[[#This Row],[Finish Date]]&gt;Table6[[#This Row],[Target Date]],"Delay",Table6[[#This Row],[Finish Date]]&lt;=Table6[[#This Row],[Target Date]],"On Time")</f>
        <v>On Time</v>
      </c>
      <c r="N98" s="78"/>
      <c r="O98" s="78"/>
      <c r="P98" s="83"/>
      <c r="Q98" s="83"/>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row>
    <row r="99" spans="1:41" ht="21" hidden="1" customHeight="1">
      <c r="A99" s="27">
        <f>WEEKNUM(Table6[[#This Row],[Start Date]])</f>
        <v>4</v>
      </c>
      <c r="B99" s="27" t="str">
        <f>TEXT(Table6[[#This Row],[Start Date]],"mmm")</f>
        <v>Jan</v>
      </c>
      <c r="C99" s="27" t="str">
        <f>_xlfn.IFNA(INDEX(Refer!$B$5:$B$103,MATCH(Table6[[#This Row],[TASK]],Refer!$C$5:$C$103,0)),"")</f>
        <v>NPI</v>
      </c>
      <c r="D99" s="79" t="s">
        <v>61</v>
      </c>
      <c r="E99" s="79" t="s">
        <v>175</v>
      </c>
      <c r="F99" s="82" t="s">
        <v>95</v>
      </c>
      <c r="G99" s="27" t="s">
        <v>169</v>
      </c>
      <c r="H99" s="41">
        <v>46041</v>
      </c>
      <c r="I99" s="41">
        <v>46042</v>
      </c>
      <c r="J99" s="41">
        <v>46041</v>
      </c>
      <c r="K99" s="27" t="str">
        <f>IF(Table6[[#This Row],[Finish Date]]=0,"On process","Close")</f>
        <v>Close</v>
      </c>
      <c r="L99" s="27" t="str">
        <f>IF(Table6[[#This Row],[Status]]="On process",IF($H$2&gt;Table6[[#This Row],[Target Date]],"Overdue","On time"),"Closed")</f>
        <v>Closed</v>
      </c>
      <c r="M99" s="27" t="str" cm="1">
        <f t="array" ref="M99">_xlfn.IFS(Table6[[#This Row],[Finish Date]]=0,"",Table6[[#This Row],[Finish Date]]&gt;Table6[[#This Row],[Target Date]],"Delay",Table6[[#This Row],[Finish Date]]&lt;=Table6[[#This Row],[Target Date]],"On Time")</f>
        <v>On Time</v>
      </c>
      <c r="N99" s="78"/>
      <c r="O99" s="78"/>
      <c r="P99" s="83"/>
      <c r="Q99" s="83"/>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row>
    <row r="100" spans="1:41" ht="21" hidden="1" customHeight="1">
      <c r="A100" s="27">
        <f>WEEKNUM(Table6[[#This Row],[Start Date]])</f>
        <v>4</v>
      </c>
      <c r="B100" s="27" t="str">
        <f>TEXT(Table6[[#This Row],[Start Date]],"mmm")</f>
        <v>Jan</v>
      </c>
      <c r="C100" s="27" t="str">
        <f>_xlfn.IFNA(INDEX(Refer!$B$5:$B$103,MATCH(Table6[[#This Row],[TASK]],Refer!$C$5:$C$103,0)),"")</f>
        <v>DFM Mold</v>
      </c>
      <c r="D100" s="79" t="s">
        <v>99</v>
      </c>
      <c r="E100" s="79" t="s">
        <v>176</v>
      </c>
      <c r="F100" s="82" t="s">
        <v>177</v>
      </c>
      <c r="G100" s="27" t="s">
        <v>169</v>
      </c>
      <c r="H100" s="41">
        <v>46041</v>
      </c>
      <c r="I100" s="41">
        <v>46042</v>
      </c>
      <c r="J100" s="41">
        <v>46042</v>
      </c>
      <c r="K100" s="27" t="str">
        <f>IF(Table6[[#This Row],[Finish Date]]=0,"On process","Close")</f>
        <v>Close</v>
      </c>
      <c r="L100" s="27" t="str">
        <f>IF(Table6[[#This Row],[Status]]="On process",IF($H$2&gt;Table6[[#This Row],[Target Date]],"Overdue","On time"),"Closed")</f>
        <v>Closed</v>
      </c>
      <c r="M100" s="27" t="str" cm="1">
        <f t="array" ref="M100">_xlfn.IFS(Table6[[#This Row],[Finish Date]]=0,"",Table6[[#This Row],[Finish Date]]&gt;Table6[[#This Row],[Target Date]],"Delay",Table6[[#This Row],[Finish Date]]&lt;=Table6[[#This Row],[Target Date]],"On Time")</f>
        <v>On Time</v>
      </c>
      <c r="N100" s="78"/>
      <c r="O100" s="78"/>
      <c r="P100" s="83"/>
      <c r="Q100" s="83"/>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row>
    <row r="101" spans="1:41" ht="21" hidden="1" customHeight="1">
      <c r="A101" s="27">
        <f>WEEKNUM(Table6[[#This Row],[Start Date]])</f>
        <v>4</v>
      </c>
      <c r="B101" s="27" t="str">
        <f>TEXT(Table6[[#This Row],[Start Date]],"mmm")</f>
        <v>Jan</v>
      </c>
      <c r="C101" s="27" t="str">
        <f>_xlfn.IFNA(INDEX(Refer!$B$5:$B$103,MATCH(Table6[[#This Row],[TASK]],Refer!$C$5:$C$103,0)),"")</f>
        <v>DFA</v>
      </c>
      <c r="D101" s="79" t="s">
        <v>178</v>
      </c>
      <c r="E101" s="79" t="s">
        <v>179</v>
      </c>
      <c r="F101" s="82" t="s">
        <v>114</v>
      </c>
      <c r="G101" s="27" t="s">
        <v>169</v>
      </c>
      <c r="H101" s="41">
        <v>46042</v>
      </c>
      <c r="I101" s="41">
        <v>46044</v>
      </c>
      <c r="J101" s="41">
        <v>46044</v>
      </c>
      <c r="K101" s="27" t="str">
        <f>IF(Table6[[#This Row],[Finish Date]]=0,"On process","Close")</f>
        <v>Close</v>
      </c>
      <c r="L101" s="27" t="str">
        <f>IF(Table6[[#This Row],[Status]]="On process",IF($H$2&gt;Table6[[#This Row],[Target Date]],"Overdue","On time"),"Closed")</f>
        <v>Closed</v>
      </c>
      <c r="M101" s="27" t="str" cm="1">
        <f t="array" ref="M101">_xlfn.IFS(Table6[[#This Row],[Finish Date]]=0,"",Table6[[#This Row],[Finish Date]]&gt;Table6[[#This Row],[Target Date]],"Delay",Table6[[#This Row],[Finish Date]]&lt;=Table6[[#This Row],[Target Date]],"On Time")</f>
        <v>On Time</v>
      </c>
      <c r="N101" s="78"/>
      <c r="O101" s="78"/>
      <c r="P101" s="83"/>
      <c r="Q101" s="83"/>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row>
    <row r="102" spans="1:41" ht="21" hidden="1" customHeight="1">
      <c r="A102" s="27">
        <f>WEEKNUM(Table6[[#This Row],[Start Date]])</f>
        <v>4</v>
      </c>
      <c r="B102" s="27" t="str">
        <f>TEXT(Table6[[#This Row],[Start Date]],"mmm")</f>
        <v>Jan</v>
      </c>
      <c r="C102" s="27" t="str">
        <f>_xlfn.IFNA(INDEX(Refer!$B$5:$B$103,MATCH(Table6[[#This Row],[TASK]],Refer!$C$5:$C$103,0)),"")</f>
        <v>OTHER</v>
      </c>
      <c r="D102" s="79" t="s">
        <v>108</v>
      </c>
      <c r="E102" s="79" t="s">
        <v>180</v>
      </c>
      <c r="F102" s="80"/>
      <c r="G102" s="27" t="s">
        <v>169</v>
      </c>
      <c r="H102" s="41">
        <v>46043</v>
      </c>
      <c r="I102" s="41">
        <v>46043</v>
      </c>
      <c r="J102" s="41">
        <v>46043</v>
      </c>
      <c r="K102" s="27" t="str">
        <f>IF(Table6[[#This Row],[Finish Date]]=0,"On process","Close")</f>
        <v>Close</v>
      </c>
      <c r="L102" s="27" t="str">
        <f>IF(Table6[[#This Row],[Status]]="On process",IF($H$2&gt;Table6[[#This Row],[Target Date]],"Overdue","On time"),"Closed")</f>
        <v>Closed</v>
      </c>
      <c r="M102" s="27" t="str" cm="1">
        <f t="array" ref="M102">_xlfn.IFS(Table6[[#This Row],[Finish Date]]=0,"",Table6[[#This Row],[Finish Date]]&gt;Table6[[#This Row],[Target Date]],"Delay",Table6[[#This Row],[Finish Date]]&lt;=Table6[[#This Row],[Target Date]],"On Time")</f>
        <v>On Time</v>
      </c>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row>
    <row r="103" spans="1:41" ht="21" hidden="1" customHeight="1">
      <c r="A103" s="27">
        <f>WEEKNUM(Table6[[#This Row],[Start Date]])</f>
        <v>2</v>
      </c>
      <c r="B103" s="27" t="str">
        <f>TEXT(Table6[[#This Row],[Start Date]],"mmm")</f>
        <v>Jan</v>
      </c>
      <c r="C103" s="27" t="str">
        <f>_xlfn.IFNA(INDEX(Refer!$B$5:$B$103,MATCH(Table6[[#This Row],[TASK]],Refer!$C$5:$C$103,0)),"")</f>
        <v>MEETING</v>
      </c>
      <c r="D103" s="79" t="s">
        <v>72</v>
      </c>
      <c r="E103" s="79" t="s">
        <v>181</v>
      </c>
      <c r="F103" s="82" t="s">
        <v>95</v>
      </c>
      <c r="G103" s="27" t="s">
        <v>182</v>
      </c>
      <c r="H103" s="41">
        <v>46027</v>
      </c>
      <c r="I103" s="41">
        <v>46027</v>
      </c>
      <c r="J103" s="41">
        <v>46027</v>
      </c>
      <c r="K103" s="27" t="str">
        <f>IF(Table6[[#This Row],[Finish Date]]=0,"On process","Close")</f>
        <v>Close</v>
      </c>
      <c r="L103" s="27" t="str">
        <f>IF(Table6[[#This Row],[Status]]="On process",IF($H$2&gt;Table6[[#This Row],[Target Date]],"Overdue","On time"),"Closed")</f>
        <v>Closed</v>
      </c>
      <c r="M103" s="27" t="str" cm="1">
        <f t="array" ref="M103">_xlfn.IFS(Table6[[#This Row],[Finish Date]]=0,"",Table6[[#This Row],[Finish Date]]&gt;Table6[[#This Row],[Target Date]],"Delay",Table6[[#This Row],[Finish Date]]&lt;=Table6[[#This Row],[Target Date]],"On Time")</f>
        <v>On Time</v>
      </c>
      <c r="N103" s="78"/>
      <c r="O103" s="78"/>
      <c r="P103" s="83"/>
      <c r="Q103" s="83"/>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row>
    <row r="104" spans="1:41" ht="21" hidden="1" customHeight="1">
      <c r="A104" s="27">
        <f>WEEKNUM(Table6[[#This Row],[Start Date]])</f>
        <v>2</v>
      </c>
      <c r="B104" s="27" t="str">
        <f>TEXT(Table6[[#This Row],[Start Date]],"mmm")</f>
        <v>Jan</v>
      </c>
      <c r="C104" s="27" t="str">
        <f>_xlfn.IFNA(INDEX(Refer!$B$5:$B$103,MATCH(Table6[[#This Row],[TASK]],Refer!$C$5:$C$103,0)),"")</f>
        <v>NPI</v>
      </c>
      <c r="D104" s="79" t="s">
        <v>183</v>
      </c>
      <c r="E104" s="79" t="s">
        <v>184</v>
      </c>
      <c r="F104" s="82" t="s">
        <v>122</v>
      </c>
      <c r="G104" s="27" t="s">
        <v>182</v>
      </c>
      <c r="H104" s="41">
        <v>46027</v>
      </c>
      <c r="I104" s="41">
        <v>46028</v>
      </c>
      <c r="J104" s="41">
        <v>46028</v>
      </c>
      <c r="K104" s="27" t="str">
        <f>IF(Table6[[#This Row],[Finish Date]]=0,"On process","Close")</f>
        <v>Close</v>
      </c>
      <c r="L104" s="27" t="str">
        <f>IF(Table6[[#This Row],[Status]]="On process",IF($H$2&gt;Table6[[#This Row],[Target Date]],"Overdue","On time"),"Closed")</f>
        <v>Closed</v>
      </c>
      <c r="M104" s="27" t="str" cm="1">
        <f t="array" ref="M104">_xlfn.IFS(Table6[[#This Row],[Finish Date]]=0,"",Table6[[#This Row],[Finish Date]]&gt;Table6[[#This Row],[Target Date]],"Delay",Table6[[#This Row],[Finish Date]]&lt;=Table6[[#This Row],[Target Date]],"On Time")</f>
        <v>On Time</v>
      </c>
      <c r="N104" s="78"/>
      <c r="O104" s="78"/>
      <c r="P104" s="83"/>
      <c r="Q104" s="83"/>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row>
    <row r="105" spans="1:41" ht="21" hidden="1" customHeight="1">
      <c r="A105" s="27">
        <f>WEEKNUM(Table6[[#This Row],[Start Date]])</f>
        <v>2</v>
      </c>
      <c r="B105" s="27" t="str">
        <f>TEXT(Table6[[#This Row],[Start Date]],"mmm")</f>
        <v>Jan</v>
      </c>
      <c r="C105" s="27" t="str">
        <f>_xlfn.IFNA(INDEX(Refer!$B$5:$B$103,MATCH(Table6[[#This Row],[TASK]],Refer!$C$5:$C$103,0)),"")</f>
        <v>NPI</v>
      </c>
      <c r="D105" s="79" t="s">
        <v>61</v>
      </c>
      <c r="E105" s="79" t="s">
        <v>185</v>
      </c>
      <c r="F105" s="82" t="s">
        <v>95</v>
      </c>
      <c r="G105" s="27" t="s">
        <v>182</v>
      </c>
      <c r="H105" s="41">
        <v>46028</v>
      </c>
      <c r="I105" s="41">
        <v>46028</v>
      </c>
      <c r="J105" s="41">
        <v>46028</v>
      </c>
      <c r="K105" s="27" t="str">
        <f>IF(Table6[[#This Row],[Finish Date]]=0,"On process","Close")</f>
        <v>Close</v>
      </c>
      <c r="L105" s="27" t="str">
        <f>IF(Table6[[#This Row],[Status]]="On process",IF($H$2&gt;Table6[[#This Row],[Target Date]],"Overdue","On time"),"Closed")</f>
        <v>Closed</v>
      </c>
      <c r="M105" s="27" t="str" cm="1">
        <f t="array" ref="M105">_xlfn.IFS(Table6[[#This Row],[Finish Date]]=0,"",Table6[[#This Row],[Finish Date]]&gt;Table6[[#This Row],[Target Date]],"Delay",Table6[[#This Row],[Finish Date]]&lt;=Table6[[#This Row],[Target Date]],"On Time")</f>
        <v>On Time</v>
      </c>
      <c r="N105" s="78"/>
      <c r="O105" s="78"/>
      <c r="P105" s="83"/>
      <c r="Q105" s="83"/>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row>
    <row r="106" spans="1:41" ht="21" hidden="1" customHeight="1">
      <c r="A106" s="27">
        <f>WEEKNUM(Table6[[#This Row],[Start Date]])</f>
        <v>2</v>
      </c>
      <c r="B106" s="27" t="str">
        <f>TEXT(Table6[[#This Row],[Start Date]],"mmm")</f>
        <v>Jan</v>
      </c>
      <c r="C106" s="27" t="str">
        <f>_xlfn.IFNA(INDEX(Refer!$B$5:$B$103,MATCH(Table6[[#This Row],[TASK]],Refer!$C$5:$C$103,0)),"")</f>
        <v>NPI</v>
      </c>
      <c r="D106" s="79" t="s">
        <v>61</v>
      </c>
      <c r="E106" s="79" t="s">
        <v>186</v>
      </c>
      <c r="F106" s="82" t="s">
        <v>66</v>
      </c>
      <c r="G106" s="27" t="s">
        <v>182</v>
      </c>
      <c r="H106" s="41">
        <v>46028</v>
      </c>
      <c r="I106" s="41">
        <v>46029</v>
      </c>
      <c r="J106" s="41">
        <v>46029</v>
      </c>
      <c r="K106" s="27" t="str">
        <f>IF(Table6[[#This Row],[Finish Date]]=0,"On process","Close")</f>
        <v>Close</v>
      </c>
      <c r="L106" s="27" t="str">
        <f>IF(Table6[[#This Row],[Status]]="On process",IF($H$2&gt;Table6[[#This Row],[Target Date]],"Overdue","On time"),"Closed")</f>
        <v>Closed</v>
      </c>
      <c r="M106" s="27" t="str" cm="1">
        <f t="array" ref="M106">_xlfn.IFS(Table6[[#This Row],[Finish Date]]=0,"",Table6[[#This Row],[Finish Date]]&gt;Table6[[#This Row],[Target Date]],"Delay",Table6[[#This Row],[Finish Date]]&lt;=Table6[[#This Row],[Target Date]],"On Time")</f>
        <v>On Time</v>
      </c>
      <c r="N106" s="78"/>
      <c r="O106" s="78"/>
      <c r="P106" s="83"/>
      <c r="Q106" s="83"/>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row>
    <row r="107" spans="1:41" ht="21" hidden="1" customHeight="1">
      <c r="A107" s="27">
        <f>WEEKNUM(Table6[[#This Row],[Start Date]])</f>
        <v>2</v>
      </c>
      <c r="B107" s="27" t="str">
        <f>TEXT(Table6[[#This Row],[Start Date]],"mmm")</f>
        <v>Jan</v>
      </c>
      <c r="C107" s="27" t="str">
        <f>_xlfn.IFNA(INDEX(Refer!$B$5:$B$103,MATCH(Table6[[#This Row],[TASK]],Refer!$C$5:$C$103,0)),"")</f>
        <v>MEETING</v>
      </c>
      <c r="D107" s="79" t="s">
        <v>72</v>
      </c>
      <c r="E107" s="79" t="s">
        <v>73</v>
      </c>
      <c r="F107" s="82" t="s">
        <v>63</v>
      </c>
      <c r="G107" s="27" t="s">
        <v>182</v>
      </c>
      <c r="H107" s="41">
        <v>46030</v>
      </c>
      <c r="I107" s="41">
        <v>46030</v>
      </c>
      <c r="J107" s="41">
        <v>46030</v>
      </c>
      <c r="K107" s="27" t="str">
        <f>IF(Table6[[#This Row],[Finish Date]]=0,"On process","Close")</f>
        <v>Close</v>
      </c>
      <c r="L107" s="27" t="str">
        <f>IF(Table6[[#This Row],[Status]]="On process",IF($H$2&gt;Table6[[#This Row],[Target Date]],"Overdue","On time"),"Closed")</f>
        <v>Closed</v>
      </c>
      <c r="M107" s="27" t="str" cm="1">
        <f t="array" ref="M107">_xlfn.IFS(Table6[[#This Row],[Finish Date]]=0,"",Table6[[#This Row],[Finish Date]]&gt;Table6[[#This Row],[Target Date]],"Delay",Table6[[#This Row],[Finish Date]]&lt;=Table6[[#This Row],[Target Date]],"On Time")</f>
        <v>On Time</v>
      </c>
      <c r="N107" s="78"/>
      <c r="O107" s="78"/>
      <c r="P107" s="83"/>
      <c r="Q107" s="83"/>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row>
    <row r="108" spans="1:41" ht="21" hidden="1" customHeight="1">
      <c r="A108" s="27">
        <f>WEEKNUM(Table6[[#This Row],[Start Date]])</f>
        <v>3</v>
      </c>
      <c r="B108" s="27" t="str">
        <f>TEXT(Table6[[#This Row],[Start Date]],"mmm")</f>
        <v>Jan</v>
      </c>
      <c r="C108" s="27" t="str">
        <f>_xlfn.IFNA(INDEX(Refer!$B$5:$B$103,MATCH(Table6[[#This Row],[TASK]],Refer!$C$5:$C$103,0)),"")</f>
        <v>OTHER</v>
      </c>
      <c r="D108" s="79" t="s">
        <v>108</v>
      </c>
      <c r="E108" s="79" t="s">
        <v>117</v>
      </c>
      <c r="F108" s="80"/>
      <c r="G108" s="27" t="s">
        <v>182</v>
      </c>
      <c r="H108" s="41">
        <v>46034</v>
      </c>
      <c r="I108" s="41">
        <v>46035</v>
      </c>
      <c r="J108" s="41">
        <v>46035</v>
      </c>
      <c r="K108" s="27" t="str">
        <f>IF(Table6[[#This Row],[Finish Date]]=0,"On process","Close")</f>
        <v>Close</v>
      </c>
      <c r="L108" s="27" t="str">
        <f>IF(Table6[[#This Row],[Status]]="On process",IF($H$2&gt;Table6[[#This Row],[Target Date]],"Overdue","On time"),"Closed")</f>
        <v>Closed</v>
      </c>
      <c r="M108" s="27" t="str" cm="1">
        <f t="array" ref="M108">_xlfn.IFS(Table6[[#This Row],[Finish Date]]=0,"",Table6[[#This Row],[Finish Date]]&gt;Table6[[#This Row],[Target Date]],"Delay",Table6[[#This Row],[Finish Date]]&lt;=Table6[[#This Row],[Target Date]],"On Time")</f>
        <v>On Time</v>
      </c>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row>
    <row r="109" spans="1:41" ht="21" hidden="1" customHeight="1">
      <c r="A109" s="27">
        <f>WEEKNUM(Table6[[#This Row],[Start Date]])</f>
        <v>3</v>
      </c>
      <c r="B109" s="27" t="str">
        <f>TEXT(Table6[[#This Row],[Start Date]],"mmm")</f>
        <v>Jan</v>
      </c>
      <c r="C109" s="27" t="str">
        <f>_xlfn.IFNA(INDEX(Refer!$B$5:$B$103,MATCH(Table6[[#This Row],[TASK]],Refer!$C$5:$C$103,0)),"")</f>
        <v>MEETING</v>
      </c>
      <c r="D109" s="79" t="s">
        <v>72</v>
      </c>
      <c r="E109" s="79" t="s">
        <v>98</v>
      </c>
      <c r="F109" s="82" t="s">
        <v>63</v>
      </c>
      <c r="G109" s="27" t="s">
        <v>182</v>
      </c>
      <c r="H109" s="41">
        <v>46037</v>
      </c>
      <c r="I109" s="41">
        <v>46037</v>
      </c>
      <c r="J109" s="41">
        <v>46037</v>
      </c>
      <c r="K109" s="27" t="str">
        <f>IF(Table6[[#This Row],[Finish Date]]=0,"On process","Close")</f>
        <v>Close</v>
      </c>
      <c r="L109" s="27" t="str">
        <f>IF(Table6[[#This Row],[Status]]="On process",IF($H$2&gt;Table6[[#This Row],[Target Date]],"Overdue","On time"),"Closed")</f>
        <v>Closed</v>
      </c>
      <c r="M109" s="27" t="str" cm="1">
        <f t="array" ref="M109">_xlfn.IFS(Table6[[#This Row],[Finish Date]]=0,"",Table6[[#This Row],[Finish Date]]&gt;Table6[[#This Row],[Target Date]],"Delay",Table6[[#This Row],[Finish Date]]&lt;=Table6[[#This Row],[Target Date]],"On Time")</f>
        <v>On Time</v>
      </c>
      <c r="N109" s="78"/>
      <c r="O109" s="78"/>
      <c r="P109" s="83"/>
      <c r="Q109" s="83"/>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row>
    <row r="110" spans="1:41" ht="21" hidden="1" customHeight="1">
      <c r="A110" s="27">
        <f>WEEKNUM(Table6[[#This Row],[Start Date]])</f>
        <v>3</v>
      </c>
      <c r="B110" s="27" t="str">
        <f>TEXT(Table6[[#This Row],[Start Date]],"mmm")</f>
        <v>Jan</v>
      </c>
      <c r="C110" s="27" t="str">
        <f>_xlfn.IFNA(INDEX(Refer!$B$5:$B$103,MATCH(Table6[[#This Row],[TASK]],Refer!$C$5:$C$103,0)),"")</f>
        <v>NPI</v>
      </c>
      <c r="D110" s="79" t="s">
        <v>61</v>
      </c>
      <c r="E110" s="79" t="s">
        <v>187</v>
      </c>
      <c r="F110" s="82" t="s">
        <v>63</v>
      </c>
      <c r="G110" s="27" t="s">
        <v>182</v>
      </c>
      <c r="H110" s="41">
        <v>46037</v>
      </c>
      <c r="I110" s="41">
        <v>46037</v>
      </c>
      <c r="J110" s="41">
        <v>46037</v>
      </c>
      <c r="K110" s="27" t="str">
        <f>IF(Table6[[#This Row],[Finish Date]]=0,"On process","Close")</f>
        <v>Close</v>
      </c>
      <c r="L110" s="27" t="str">
        <f>IF(Table6[[#This Row],[Status]]="On process",IF($H$2&gt;Table6[[#This Row],[Target Date]],"Overdue","On time"),"Closed")</f>
        <v>Closed</v>
      </c>
      <c r="M110" s="27" t="str" cm="1">
        <f t="array" ref="M110">_xlfn.IFS(Table6[[#This Row],[Finish Date]]=0,"",Table6[[#This Row],[Finish Date]]&gt;Table6[[#This Row],[Target Date]],"Delay",Table6[[#This Row],[Finish Date]]&lt;=Table6[[#This Row],[Target Date]],"On Time")</f>
        <v>On Time</v>
      </c>
      <c r="N110" s="78"/>
      <c r="O110" s="78"/>
      <c r="P110" s="83"/>
      <c r="Q110" s="83"/>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row>
    <row r="111" spans="1:41" ht="21" hidden="1" customHeight="1">
      <c r="A111" s="27">
        <f>WEEKNUM(Table6[[#This Row],[Start Date]])</f>
        <v>3</v>
      </c>
      <c r="B111" s="27" t="str">
        <f>TEXT(Table6[[#This Row],[Start Date]],"mmm")</f>
        <v>Jan</v>
      </c>
      <c r="C111" s="27" t="str">
        <f>_xlfn.IFNA(INDEX(Refer!$B$5:$B$103,MATCH(Table6[[#This Row],[TASK]],Refer!$C$5:$C$103,0)),"")</f>
        <v>RFQ</v>
      </c>
      <c r="D111" s="79" t="s">
        <v>21</v>
      </c>
      <c r="E111" s="79" t="s">
        <v>188</v>
      </c>
      <c r="F111" s="82" t="s">
        <v>66</v>
      </c>
      <c r="G111" s="27" t="s">
        <v>182</v>
      </c>
      <c r="H111" s="41">
        <v>46037</v>
      </c>
      <c r="I111" s="41">
        <v>46038</v>
      </c>
      <c r="J111" s="41">
        <v>46029</v>
      </c>
      <c r="K111" s="27" t="str">
        <f>IF(Table6[[#This Row],[Finish Date]]=0,"On process","Close")</f>
        <v>Close</v>
      </c>
      <c r="L111" s="27" t="str">
        <f>IF(Table6[[#This Row],[Status]]="On process",IF($H$2&gt;Table6[[#This Row],[Target Date]],"Overdue","On time"),"Closed")</f>
        <v>Closed</v>
      </c>
      <c r="M111" s="27" t="str" cm="1">
        <f t="array" ref="M111">_xlfn.IFS(Table6[[#This Row],[Finish Date]]=0,"",Table6[[#This Row],[Finish Date]]&gt;Table6[[#This Row],[Target Date]],"Delay",Table6[[#This Row],[Finish Date]]&lt;=Table6[[#This Row],[Target Date]],"On Time")</f>
        <v>On Time</v>
      </c>
      <c r="N111" s="78"/>
      <c r="O111" s="78"/>
      <c r="P111" s="83"/>
      <c r="Q111" s="83"/>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row>
    <row r="112" spans="1:41" ht="21" hidden="1" customHeight="1">
      <c r="A112" s="27">
        <f>WEEKNUM(Table6[[#This Row],[Start Date]])</f>
        <v>3</v>
      </c>
      <c r="B112" s="27" t="str">
        <f>TEXT(Table6[[#This Row],[Start Date]],"mmm")</f>
        <v>Jan</v>
      </c>
      <c r="C112" s="27" t="str">
        <f>_xlfn.IFNA(INDEX(Refer!$B$5:$B$103,MATCH(Table6[[#This Row],[TASK]],Refer!$C$5:$C$103,0)),"")</f>
        <v>NPI</v>
      </c>
      <c r="D112" s="79" t="s">
        <v>61</v>
      </c>
      <c r="E112" s="79" t="s">
        <v>189</v>
      </c>
      <c r="F112" s="82"/>
      <c r="G112" s="27" t="s">
        <v>182</v>
      </c>
      <c r="H112" s="41">
        <v>46038</v>
      </c>
      <c r="I112" s="41">
        <v>46038</v>
      </c>
      <c r="J112" s="41">
        <v>46038</v>
      </c>
      <c r="K112" s="27" t="str">
        <f>IF(Table6[[#This Row],[Finish Date]]=0,"On process","Close")</f>
        <v>Close</v>
      </c>
      <c r="L112" s="27" t="str">
        <f>IF(Table6[[#This Row],[Status]]="On process",IF($H$2&gt;Table6[[#This Row],[Target Date]],"Overdue","On time"),"Closed")</f>
        <v>Closed</v>
      </c>
      <c r="M112" s="27" t="str" cm="1">
        <f t="array" ref="M112">_xlfn.IFS(Table6[[#This Row],[Finish Date]]=0,"",Table6[[#This Row],[Finish Date]]&gt;Table6[[#This Row],[Target Date]],"Delay",Table6[[#This Row],[Finish Date]]&lt;=Table6[[#This Row],[Target Date]],"On Time")</f>
        <v>On Time</v>
      </c>
      <c r="N112" s="78"/>
      <c r="O112" s="78"/>
      <c r="P112" s="83"/>
      <c r="Q112" s="83"/>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row>
    <row r="113" spans="1:41" ht="21" hidden="1" customHeight="1">
      <c r="A113" s="27">
        <f>WEEKNUM(Table6[[#This Row],[Start Date]])</f>
        <v>3</v>
      </c>
      <c r="B113" s="27" t="str">
        <f>TEXT(Table6[[#This Row],[Start Date]],"mmm")</f>
        <v>Jan</v>
      </c>
      <c r="C113" s="27" t="str">
        <f>_xlfn.IFNA(INDEX(Refer!$B$5:$B$103,MATCH(Table6[[#This Row],[TASK]],Refer!$C$5:$C$103,0)),"")</f>
        <v>OTHER</v>
      </c>
      <c r="D113" s="79" t="s">
        <v>108</v>
      </c>
      <c r="E113" s="79" t="s">
        <v>190</v>
      </c>
      <c r="F113" s="82"/>
      <c r="G113" s="27" t="s">
        <v>191</v>
      </c>
      <c r="H113" s="41">
        <v>46038</v>
      </c>
      <c r="I113" s="41">
        <v>46038</v>
      </c>
      <c r="J113" s="41">
        <v>46038</v>
      </c>
      <c r="K113" s="27" t="str">
        <f>IF(Table6[[#This Row],[Finish Date]]=0,"On process","Close")</f>
        <v>Close</v>
      </c>
      <c r="L113" s="27" t="str">
        <f>IF(Table6[[#This Row],[Status]]="On process",IF($H$2&gt;Table6[[#This Row],[Target Date]],"Overdue","On time"),"Closed")</f>
        <v>Closed</v>
      </c>
      <c r="M113" s="27" t="str" cm="1">
        <f t="array" ref="M113">_xlfn.IFS(Table6[[#This Row],[Finish Date]]=0,"",Table6[[#This Row],[Finish Date]]&gt;Table6[[#This Row],[Target Date]],"Delay",Table6[[#This Row],[Finish Date]]&lt;=Table6[[#This Row],[Target Date]],"On Time")</f>
        <v>On Time</v>
      </c>
      <c r="N113" s="78"/>
      <c r="O113" s="78"/>
      <c r="P113" s="83"/>
      <c r="Q113" s="83"/>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row>
    <row r="114" spans="1:41" ht="21" hidden="1" customHeight="1">
      <c r="A114" s="27">
        <f>WEEKNUM(Table6[[#This Row],[Start Date]])</f>
        <v>7</v>
      </c>
      <c r="B114" s="27" t="str">
        <f>TEXT(Table6[[#This Row],[Start Date]],"mmm")</f>
        <v>Feb</v>
      </c>
      <c r="C114" s="27" t="str">
        <f>_xlfn.IFNA(INDEX(Refer!$B$5:$B$103,MATCH(Table6[[#This Row],[TASK]],Refer!$C$5:$C$103,0)),"")</f>
        <v>PACKING</v>
      </c>
      <c r="D114" s="79" t="s">
        <v>112</v>
      </c>
      <c r="E114" s="79" t="s">
        <v>192</v>
      </c>
      <c r="F114" s="80" t="s">
        <v>95</v>
      </c>
      <c r="G114" s="27" t="s">
        <v>115</v>
      </c>
      <c r="H114" s="41">
        <v>46062</v>
      </c>
      <c r="I114" s="41">
        <v>46063</v>
      </c>
      <c r="J114" s="41">
        <v>46063</v>
      </c>
      <c r="K114" s="27" t="str">
        <f>IF(Table6[[#This Row],[Finish Date]]=0,"On process","Close")</f>
        <v>Close</v>
      </c>
      <c r="L114" s="27" t="str">
        <f>IF(Table6[[#This Row],[Status]]="On process",IF($H$2&gt;Table6[[#This Row],[Target Date]],"Overdue","On time"),"Closed")</f>
        <v>Closed</v>
      </c>
      <c r="M114" s="27" t="str" cm="1">
        <f t="array" ref="M114">_xlfn.IFS(Table6[[#This Row],[Finish Date]]=0,"",Table6[[#This Row],[Finish Date]]&gt;Table6[[#This Row],[Target Date]],"Delay",Table6[[#This Row],[Finish Date]]&lt;=Table6[[#This Row],[Target Date]],"On Time")</f>
        <v>On Time</v>
      </c>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row>
    <row r="115" spans="1:41" ht="21" hidden="1" customHeight="1">
      <c r="A115" s="27">
        <f>WEEKNUM(Table6[[#This Row],[Start Date]])</f>
        <v>7</v>
      </c>
      <c r="B115" s="27" t="str">
        <f>TEXT(Table6[[#This Row],[Start Date]],"mmm")</f>
        <v>Feb</v>
      </c>
      <c r="C115" s="27" t="str">
        <f>_xlfn.IFNA(INDEX(Refer!$B$5:$B$103,MATCH(Table6[[#This Row],[TASK]],Refer!$C$5:$C$103,0)),"")</f>
        <v>PACKING</v>
      </c>
      <c r="D115" s="79" t="s">
        <v>112</v>
      </c>
      <c r="E115" s="79" t="s">
        <v>193</v>
      </c>
      <c r="F115" s="80" t="s">
        <v>63</v>
      </c>
      <c r="G115" s="27" t="s">
        <v>115</v>
      </c>
      <c r="H115" s="41">
        <v>46063</v>
      </c>
      <c r="I115" s="41">
        <v>46063</v>
      </c>
      <c r="J115" s="41">
        <v>46063</v>
      </c>
      <c r="K115" s="27" t="str">
        <f>IF(Table6[[#This Row],[Finish Date]]=0,"On process","Close")</f>
        <v>Close</v>
      </c>
      <c r="L115" s="27" t="str">
        <f>IF(Table6[[#This Row],[Status]]="On process",IF($H$2&gt;Table6[[#This Row],[Target Date]],"Overdue","On time"),"Closed")</f>
        <v>Closed</v>
      </c>
      <c r="M115" s="27" t="str" cm="1">
        <f t="array" ref="M115">_xlfn.IFS(Table6[[#This Row],[Finish Date]]=0,"",Table6[[#This Row],[Finish Date]]&gt;Table6[[#This Row],[Target Date]],"Delay",Table6[[#This Row],[Finish Date]]&lt;=Table6[[#This Row],[Target Date]],"On Time")</f>
        <v>On Time</v>
      </c>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row>
    <row r="116" spans="1:41" ht="21" hidden="1" customHeight="1">
      <c r="A116" s="27">
        <f>WEEKNUM(Table6[[#This Row],[Start Date]])</f>
        <v>7</v>
      </c>
      <c r="B116" s="27" t="str">
        <f>TEXT(Table6[[#This Row],[Start Date]],"mmm")</f>
        <v>Feb</v>
      </c>
      <c r="C116" s="27" t="str">
        <f>_xlfn.IFNA(INDEX(Refer!$B$5:$B$103,MATCH(Table6[[#This Row],[TASK]],Refer!$C$5:$C$103,0)),"")</f>
        <v>PACKING</v>
      </c>
      <c r="D116" s="93" t="s">
        <v>120</v>
      </c>
      <c r="E116" s="79" t="s">
        <v>194</v>
      </c>
      <c r="F116" s="86" t="s">
        <v>93</v>
      </c>
      <c r="G116" s="27" t="s">
        <v>115</v>
      </c>
      <c r="H116" s="41">
        <v>46065</v>
      </c>
      <c r="I116" s="41">
        <v>46066</v>
      </c>
      <c r="J116" s="41">
        <v>46065</v>
      </c>
      <c r="K116" s="27" t="str">
        <f>IF(Table6[[#This Row],[Finish Date]]=0,"On process","Close")</f>
        <v>Close</v>
      </c>
      <c r="L116" s="27" t="str">
        <f>IF(Table6[[#This Row],[Status]]="On process",IF($H$2&gt;Table6[[#This Row],[Target Date]],"Overdue","On time"),"Closed")</f>
        <v>Closed</v>
      </c>
      <c r="M116" s="27" t="str" cm="1">
        <f t="array" ref="M116">_xlfn.IFS(Table6[[#This Row],[Finish Date]]=0,"",Table6[[#This Row],[Finish Date]]&gt;Table6[[#This Row],[Target Date]],"Delay",Table6[[#This Row],[Finish Date]]&lt;=Table6[[#This Row],[Target Date]],"On Time")</f>
        <v>On Time</v>
      </c>
      <c r="N116" s="78"/>
      <c r="O116" s="78"/>
      <c r="P116" s="83"/>
      <c r="Q116" s="83"/>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row>
    <row r="117" spans="1:41" ht="21" hidden="1" customHeight="1">
      <c r="A117" s="84">
        <f>WEEKNUM(Table6[[#This Row],[Start Date]])</f>
        <v>7</v>
      </c>
      <c r="B117" s="84" t="str">
        <f>TEXT(Table6[[#This Row],[Start Date]],"mmm")</f>
        <v>Feb</v>
      </c>
      <c r="C117" s="84" t="str">
        <f>_xlfn.IFNA(INDEX(Refer!$B$5:$B$103,MATCH(Table6[[#This Row],[TASK]],Refer!$C$5:$C$103,0)),"")</f>
        <v>PACKING</v>
      </c>
      <c r="D117" s="92" t="s">
        <v>120</v>
      </c>
      <c r="E117" s="85" t="s">
        <v>195</v>
      </c>
      <c r="F117" s="86" t="s">
        <v>93</v>
      </c>
      <c r="G117" s="84" t="s">
        <v>115</v>
      </c>
      <c r="H117" s="87">
        <v>46065</v>
      </c>
      <c r="I117" s="87">
        <v>46066</v>
      </c>
      <c r="J117" s="87">
        <v>46065</v>
      </c>
      <c r="K117" s="84" t="str">
        <f>IF(Table6[[#This Row],[Finish Date]]=0,"On process","Close")</f>
        <v>Close</v>
      </c>
      <c r="L117" s="84" t="str">
        <f>IF(Table6[[#This Row],[Status]]="On process",IF($H$2&gt;Table6[[#This Row],[Target Date]],"Overdue","On time"),"Closed")</f>
        <v>Closed</v>
      </c>
      <c r="M117" s="84" t="str" cm="1">
        <f t="array" ref="M117">_xlfn.IFS(Table6[[#This Row],[Finish Date]]=0,"",Table6[[#This Row],[Finish Date]]&gt;Table6[[#This Row],[Target Date]],"Delay",Table6[[#This Row],[Finish Date]]&lt;=Table6[[#This Row],[Target Date]],"On Time")</f>
        <v>On Time</v>
      </c>
      <c r="N117" s="88"/>
      <c r="O117" s="88"/>
      <c r="P117" s="89"/>
      <c r="Q117" s="89"/>
      <c r="R117" s="89"/>
      <c r="S117" s="89"/>
      <c r="T117" s="89"/>
      <c r="U117" s="89"/>
      <c r="V117" s="89"/>
      <c r="W117" s="89"/>
      <c r="X117" s="89"/>
      <c r="Y117" s="89"/>
      <c r="Z117" s="89"/>
      <c r="AA117" s="89"/>
      <c r="AB117" s="89"/>
      <c r="AC117" s="89"/>
      <c r="AD117" s="89"/>
      <c r="AE117" s="89"/>
      <c r="AF117" s="89"/>
      <c r="AG117" s="89"/>
      <c r="AH117" s="89"/>
      <c r="AI117" s="89"/>
      <c r="AJ117" s="89"/>
      <c r="AK117" s="89"/>
      <c r="AL117" s="89"/>
      <c r="AM117" s="89"/>
      <c r="AN117" s="89"/>
      <c r="AO117" s="89"/>
    </row>
    <row r="118" spans="1:41" ht="21" hidden="1" customHeight="1">
      <c r="A118" s="27">
        <f>WEEKNUM(Table6[[#This Row],[Start Date]])</f>
        <v>8</v>
      </c>
      <c r="B118" s="27" t="str">
        <f>TEXT(Table6[[#This Row],[Start Date]],"mmm")</f>
        <v>Feb</v>
      </c>
      <c r="C118" s="27" t="str">
        <f>_xlfn.IFNA(INDEX(Refer!$B$5:$B$103,MATCH(Table6[[#This Row],[TASK]],Refer!$C$5:$C$103,0)),"")</f>
        <v>PACKING</v>
      </c>
      <c r="D118" s="79" t="s">
        <v>120</v>
      </c>
      <c r="E118" s="79" t="s">
        <v>196</v>
      </c>
      <c r="F118" s="82" t="s">
        <v>63</v>
      </c>
      <c r="G118" s="27" t="s">
        <v>115</v>
      </c>
      <c r="H118" s="41">
        <v>46069</v>
      </c>
      <c r="I118" s="41">
        <v>46070</v>
      </c>
      <c r="J118" s="41">
        <v>46069</v>
      </c>
      <c r="K118" s="27" t="str">
        <f>IF(Table6[[#This Row],[Finish Date]]=0,"On process","Close")</f>
        <v>Close</v>
      </c>
      <c r="L118" s="27" t="str">
        <f>IF(Table6[[#This Row],[Status]]="On process",IF($H$2&gt;Table6[[#This Row],[Target Date]],"Overdue","On time"),"Closed")</f>
        <v>Closed</v>
      </c>
      <c r="M118" s="27" t="str" cm="1">
        <f t="array" ref="M118">_xlfn.IFS(Table6[[#This Row],[Finish Date]]=0,"",Table6[[#This Row],[Finish Date]]&gt;Table6[[#This Row],[Target Date]],"Delay",Table6[[#This Row],[Finish Date]]&lt;=Table6[[#This Row],[Target Date]],"On Time")</f>
        <v>On Time</v>
      </c>
      <c r="N118" s="78"/>
      <c r="O118" s="78"/>
      <c r="P118" s="83"/>
      <c r="Q118" s="83"/>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row>
    <row r="119" spans="1:41" ht="21" hidden="1" customHeight="1">
      <c r="A119" s="27">
        <f>WEEKNUM(Table6[[#This Row],[Start Date]])</f>
        <v>7</v>
      </c>
      <c r="B119" s="27" t="str">
        <f>TEXT(Table6[[#This Row],[Start Date]],"mmm")</f>
        <v>Feb</v>
      </c>
      <c r="C119" s="27" t="str">
        <f>_xlfn.IFNA(INDEX(Refer!$B$5:$B$103,MATCH(Table6[[#This Row],[TASK]],Refer!$C$5:$C$103,0)),"")</f>
        <v>RFQ</v>
      </c>
      <c r="D119" s="79" t="s">
        <v>123</v>
      </c>
      <c r="E119" s="79" t="s">
        <v>197</v>
      </c>
      <c r="F119" s="80" t="s">
        <v>198</v>
      </c>
      <c r="G119" s="27" t="s">
        <v>115</v>
      </c>
      <c r="H119" s="41">
        <v>46066</v>
      </c>
      <c r="I119" s="41">
        <v>46066</v>
      </c>
      <c r="J119" s="41">
        <v>46065</v>
      </c>
      <c r="K119" s="27" t="str">
        <f>IF(Table6[[#This Row],[Finish Date]]=0,"On process","Close")</f>
        <v>Close</v>
      </c>
      <c r="L119" s="27" t="str">
        <f>IF(Table6[[#This Row],[Status]]="On process",IF($H$2&gt;Table6[[#This Row],[Target Date]],"Overdue","On time"),"Closed")</f>
        <v>Closed</v>
      </c>
      <c r="M119" s="27" t="str" cm="1">
        <f t="array" ref="M119">_xlfn.IFS(Table6[[#This Row],[Finish Date]]=0,"",Table6[[#This Row],[Finish Date]]&gt;Table6[[#This Row],[Target Date]],"Delay",Table6[[#This Row],[Finish Date]]&lt;=Table6[[#This Row],[Target Date]],"On Time")</f>
        <v>On Time</v>
      </c>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row>
    <row r="120" spans="1:41" ht="21" hidden="1" customHeight="1">
      <c r="A120" s="27">
        <f>WEEKNUM(Table6[[#This Row],[Start Date]])</f>
        <v>5</v>
      </c>
      <c r="B120" s="27" t="str">
        <f>TEXT(Table6[[#This Row],[Start Date]],"mmm")</f>
        <v>Jan</v>
      </c>
      <c r="C120" s="27" t="str">
        <f>_xlfn.IFNA(INDEX(Refer!$B$5:$B$103,MATCH(Table6[[#This Row],[TASK]],Refer!$C$5:$C$103,0)),"")</f>
        <v>NPI</v>
      </c>
      <c r="D120" s="79" t="s">
        <v>199</v>
      </c>
      <c r="E120" s="79" t="s">
        <v>200</v>
      </c>
      <c r="F120" s="82"/>
      <c r="G120" s="27" t="s">
        <v>169</v>
      </c>
      <c r="H120" s="41">
        <v>46048</v>
      </c>
      <c r="I120" s="41">
        <v>46048</v>
      </c>
      <c r="J120" s="41">
        <v>46048</v>
      </c>
      <c r="K120" s="27" t="str">
        <f>IF(Table6[[#This Row],[Finish Date]]=0,"On process","Close")</f>
        <v>Close</v>
      </c>
      <c r="L120" s="27" t="str">
        <f>IF(Table6[[#This Row],[Status]]="On process",IF($H$2&gt;Table6[[#This Row],[Target Date]],"Overdue","On time"),"Closed")</f>
        <v>Closed</v>
      </c>
      <c r="M120" s="27" t="str" cm="1">
        <f t="array" ref="M120">_xlfn.IFS(Table6[[#This Row],[Finish Date]]=0,"",Table6[[#This Row],[Finish Date]]&gt;Table6[[#This Row],[Target Date]],"Delay",Table6[[#This Row],[Finish Date]]&lt;=Table6[[#This Row],[Target Date]],"On Time")</f>
        <v>On Time</v>
      </c>
      <c r="N120" s="78"/>
      <c r="O120" s="78"/>
      <c r="P120" s="83"/>
      <c r="Q120" s="83"/>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row>
    <row r="121" spans="1:41" ht="21" hidden="1" customHeight="1">
      <c r="A121" s="27">
        <f>WEEKNUM(Table6[[#This Row],[Start Date]])</f>
        <v>5</v>
      </c>
      <c r="B121" s="27" t="str">
        <f>TEXT(Table6[[#This Row],[Start Date]],"mmm")</f>
        <v>Jan</v>
      </c>
      <c r="C121" s="27" t="str">
        <f>_xlfn.IFNA(INDEX(Refer!$B$5:$B$103,MATCH(Table6[[#This Row],[TASK]],Refer!$C$5:$C$103,0)),"")</f>
        <v>OTHER</v>
      </c>
      <c r="D121" s="79" t="s">
        <v>201</v>
      </c>
      <c r="E121" s="79" t="s">
        <v>202</v>
      </c>
      <c r="F121" s="82"/>
      <c r="G121" s="27" t="s">
        <v>169</v>
      </c>
      <c r="H121" s="41">
        <v>46048</v>
      </c>
      <c r="I121" s="41">
        <v>46049</v>
      </c>
      <c r="J121" s="41">
        <v>46048</v>
      </c>
      <c r="K121" s="27" t="str">
        <f>IF(Table6[[#This Row],[Finish Date]]=0,"On process","Close")</f>
        <v>Close</v>
      </c>
      <c r="L121" s="27" t="str">
        <f>IF(Table6[[#This Row],[Status]]="On process",IF($H$2&gt;Table6[[#This Row],[Target Date]],"Overdue","On time"),"Closed")</f>
        <v>Closed</v>
      </c>
      <c r="M121" s="27" t="str" cm="1">
        <f t="array" ref="M121">_xlfn.IFS(Table6[[#This Row],[Finish Date]]=0,"",Table6[[#This Row],[Finish Date]]&gt;Table6[[#This Row],[Target Date]],"Delay",Table6[[#This Row],[Finish Date]]&lt;=Table6[[#This Row],[Target Date]],"On Time")</f>
        <v>On Time</v>
      </c>
      <c r="N121" s="78"/>
      <c r="O121" s="78"/>
      <c r="P121" s="83"/>
      <c r="Q121" s="83"/>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row>
    <row r="122" spans="1:41" ht="21" hidden="1" customHeight="1">
      <c r="A122" s="27">
        <f>WEEKNUM(Table6[[#This Row],[Start Date]])</f>
        <v>5</v>
      </c>
      <c r="B122" s="27" t="str">
        <f>TEXT(Table6[[#This Row],[Start Date]],"mmm")</f>
        <v>Jan</v>
      </c>
      <c r="C122" s="27" t="str">
        <f>_xlfn.IFNA(INDEX(Refer!$B$5:$B$103,MATCH(Table6[[#This Row],[TASK]],Refer!$C$5:$C$103,0)),"")</f>
        <v>NPI</v>
      </c>
      <c r="D122" s="79" t="s">
        <v>61</v>
      </c>
      <c r="E122" s="79" t="s">
        <v>203</v>
      </c>
      <c r="F122" s="82" t="s">
        <v>95</v>
      </c>
      <c r="G122" s="27" t="s">
        <v>169</v>
      </c>
      <c r="H122" s="41">
        <v>46048</v>
      </c>
      <c r="I122" s="41">
        <v>46049</v>
      </c>
      <c r="J122" s="41">
        <v>46049</v>
      </c>
      <c r="K122" s="27" t="str">
        <f>IF(Table6[[#This Row],[Finish Date]]=0,"On process","Close")</f>
        <v>Close</v>
      </c>
      <c r="L122" s="27" t="str">
        <f>IF(Table6[[#This Row],[Status]]="On process",IF($H$2&gt;Table6[[#This Row],[Target Date]],"Overdue","On time"),"Closed")</f>
        <v>Closed</v>
      </c>
      <c r="M122" s="27" t="str" cm="1">
        <f t="array" ref="M122">_xlfn.IFS(Table6[[#This Row],[Finish Date]]=0,"",Table6[[#This Row],[Finish Date]]&gt;Table6[[#This Row],[Target Date]],"Delay",Table6[[#This Row],[Finish Date]]&lt;=Table6[[#This Row],[Target Date]],"On Time")</f>
        <v>On Time</v>
      </c>
      <c r="N122" s="78"/>
      <c r="O122" s="78"/>
      <c r="P122" s="83"/>
      <c r="Q122" s="83"/>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row>
    <row r="123" spans="1:41" ht="41.25" hidden="1" customHeight="1">
      <c r="A123" s="27">
        <f>WEEKNUM(Table6[[#This Row],[Start Date]])</f>
        <v>5</v>
      </c>
      <c r="B123" s="27" t="str">
        <f>TEXT(Table6[[#This Row],[Start Date]],"mmm")</f>
        <v>Jan</v>
      </c>
      <c r="C123" s="27" t="str">
        <f>_xlfn.IFNA(INDEX(Refer!$B$5:$B$103,MATCH(Table6[[#This Row],[TASK]],Refer!$C$5:$C$103,0)),"")</f>
        <v>NPI</v>
      </c>
      <c r="D123" s="79" t="s">
        <v>61</v>
      </c>
      <c r="E123" s="79" t="s">
        <v>204</v>
      </c>
      <c r="F123" s="82" t="s">
        <v>95</v>
      </c>
      <c r="G123" s="27" t="s">
        <v>169</v>
      </c>
      <c r="H123" s="41">
        <v>46048</v>
      </c>
      <c r="I123" s="41">
        <v>46052</v>
      </c>
      <c r="J123" s="41">
        <v>46052</v>
      </c>
      <c r="K123" s="27" t="str">
        <f>IF(Table6[[#This Row],[Finish Date]]=0,"On process","Close")</f>
        <v>Close</v>
      </c>
      <c r="L123" s="27" t="str">
        <f>IF(Table6[[#This Row],[Status]]="On process",IF($H$2&gt;Table6[[#This Row],[Target Date]],"Overdue","On time"),"Closed")</f>
        <v>Closed</v>
      </c>
      <c r="M123" s="27" t="str" cm="1">
        <f t="array" ref="M123">_xlfn.IFS(Table6[[#This Row],[Finish Date]]=0,"",Table6[[#This Row],[Finish Date]]&gt;Table6[[#This Row],[Target Date]],"Delay",Table6[[#This Row],[Finish Date]]&lt;=Table6[[#This Row],[Target Date]],"On Time")</f>
        <v>On Time</v>
      </c>
      <c r="N123" s="78"/>
      <c r="O123" s="78"/>
      <c r="P123" s="83"/>
      <c r="Q123" s="83"/>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row>
    <row r="124" spans="1:41" ht="21" hidden="1" customHeight="1">
      <c r="A124" s="27">
        <f>WEEKNUM(Table6[[#This Row],[Start Date]])</f>
        <v>7</v>
      </c>
      <c r="B124" s="27" t="str">
        <f>TEXT(Table6[[#This Row],[Start Date]],"mmm")</f>
        <v>Feb</v>
      </c>
      <c r="C124" s="27" t="str">
        <f>_xlfn.IFNA(INDEX(Refer!$B$5:$B$103,MATCH(Table6[[#This Row],[TASK]],Refer!$C$5:$C$103,0)),"")</f>
        <v>RFQ</v>
      </c>
      <c r="D124" s="79" t="s">
        <v>123</v>
      </c>
      <c r="E124" s="79" t="s">
        <v>205</v>
      </c>
      <c r="F124" s="80" t="s">
        <v>206</v>
      </c>
      <c r="G124" s="27" t="s">
        <v>115</v>
      </c>
      <c r="H124" s="41">
        <v>46066</v>
      </c>
      <c r="I124" s="41">
        <v>46066</v>
      </c>
      <c r="J124" s="41">
        <v>46065</v>
      </c>
      <c r="K124" s="27" t="str">
        <f>IF(Table6[[#This Row],[Finish Date]]=0,"On process","Close")</f>
        <v>Close</v>
      </c>
      <c r="L124" s="27" t="str">
        <f>IF(Table6[[#This Row],[Status]]="On process",IF($H$2&gt;Table6[[#This Row],[Target Date]],"Overdue","On time"),"Closed")</f>
        <v>Closed</v>
      </c>
      <c r="M124" s="27" t="str" cm="1">
        <f t="array" ref="M124">_xlfn.IFS(Table6[[#This Row],[Finish Date]]=0,"",Table6[[#This Row],[Finish Date]]&gt;Table6[[#This Row],[Target Date]],"Delay",Table6[[#This Row],[Finish Date]]&lt;=Table6[[#This Row],[Target Date]],"On Time")</f>
        <v>On Time</v>
      </c>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row>
    <row r="125" spans="1:41" ht="21" hidden="1" customHeight="1">
      <c r="A125" s="27">
        <f>WEEKNUM(Table6[[#This Row],[Start Date]])</f>
        <v>7</v>
      </c>
      <c r="B125" s="27" t="str">
        <f>TEXT(Table6[[#This Row],[Start Date]],"mmm")</f>
        <v>Feb</v>
      </c>
      <c r="C125" s="27" t="str">
        <f>_xlfn.IFNA(INDEX(Refer!$B$5:$B$103,MATCH(Table6[[#This Row],[TASK]],Refer!$C$5:$C$103,0)),"")</f>
        <v>RFQ</v>
      </c>
      <c r="D125" s="79" t="s">
        <v>21</v>
      </c>
      <c r="E125" s="79" t="s">
        <v>207</v>
      </c>
      <c r="F125" s="80" t="s">
        <v>206</v>
      </c>
      <c r="G125" s="27" t="s">
        <v>115</v>
      </c>
      <c r="H125" s="41">
        <v>46066</v>
      </c>
      <c r="I125" s="41">
        <v>46066</v>
      </c>
      <c r="J125" s="41">
        <v>46065</v>
      </c>
      <c r="K125" s="27" t="str">
        <f>IF(Table6[[#This Row],[Finish Date]]=0,"On process","Close")</f>
        <v>Close</v>
      </c>
      <c r="L125" s="27" t="str">
        <f>IF(Table6[[#This Row],[Status]]="On process",IF($H$2&gt;Table6[[#This Row],[Target Date]],"Overdue","On time"),"Closed")</f>
        <v>Closed</v>
      </c>
      <c r="M125" s="27" t="str" cm="1">
        <f t="array" ref="M125">_xlfn.IFS(Table6[[#This Row],[Finish Date]]=0,"",Table6[[#This Row],[Finish Date]]&gt;Table6[[#This Row],[Target Date]],"Delay",Table6[[#This Row],[Finish Date]]&lt;=Table6[[#This Row],[Target Date]],"On Time")</f>
        <v>On Time</v>
      </c>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row>
    <row r="126" spans="1:41" ht="21" hidden="1" customHeight="1">
      <c r="A126" s="27">
        <f>WEEKNUM(Table6[[#This Row],[Start Date]])</f>
        <v>7</v>
      </c>
      <c r="B126" s="27" t="str">
        <f>TEXT(Table6[[#This Row],[Start Date]],"mmm")</f>
        <v>Feb</v>
      </c>
      <c r="C126" s="27" t="str">
        <f>_xlfn.IFNA(INDEX(Refer!$B$5:$B$103,MATCH(Table6[[#This Row],[TASK]],Refer!$C$5:$C$103,0)),"")</f>
        <v>RFQ</v>
      </c>
      <c r="D126" s="79" t="s">
        <v>123</v>
      </c>
      <c r="E126" s="79" t="s">
        <v>208</v>
      </c>
      <c r="F126" s="80" t="s">
        <v>138</v>
      </c>
      <c r="G126" s="27" t="s">
        <v>115</v>
      </c>
      <c r="H126" s="41">
        <v>46065</v>
      </c>
      <c r="I126" s="41">
        <v>46066</v>
      </c>
      <c r="J126" s="41">
        <v>46065</v>
      </c>
      <c r="K126" s="27" t="str">
        <f>IF(Table6[[#This Row],[Finish Date]]=0,"On process","Close")</f>
        <v>Close</v>
      </c>
      <c r="L126" s="27" t="str">
        <f>IF(Table6[[#This Row],[Status]]="On process",IF($H$2&gt;Table6[[#This Row],[Target Date]],"Overdue","On time"),"Closed")</f>
        <v>Closed</v>
      </c>
      <c r="M126" s="27" t="str" cm="1">
        <f t="array" ref="M126">_xlfn.IFS(Table6[[#This Row],[Finish Date]]=0,"",Table6[[#This Row],[Finish Date]]&gt;Table6[[#This Row],[Target Date]],"Delay",Table6[[#This Row],[Finish Date]]&lt;=Table6[[#This Row],[Target Date]],"On Time")</f>
        <v>On Time</v>
      </c>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row>
    <row r="127" spans="1:41" ht="41.25" hidden="1" customHeight="1">
      <c r="A127" s="27">
        <f>WEEKNUM(Table6[[#This Row],[Start Date]])</f>
        <v>6</v>
      </c>
      <c r="B127" s="27" t="str">
        <f>TEXT(Table6[[#This Row],[Start Date]],"mmm")</f>
        <v>Feb</v>
      </c>
      <c r="C127" s="27" t="str">
        <f>_xlfn.IFNA(INDEX(Refer!$B$5:$B$103,MATCH(Table6[[#This Row],[TASK]],Refer!$C$5:$C$103,0)),"")</f>
        <v>NPI</v>
      </c>
      <c r="D127" s="79" t="s">
        <v>61</v>
      </c>
      <c r="E127" s="79" t="s">
        <v>204</v>
      </c>
      <c r="F127" s="82" t="s">
        <v>95</v>
      </c>
      <c r="G127" s="27" t="s">
        <v>169</v>
      </c>
      <c r="H127" s="41">
        <v>46055</v>
      </c>
      <c r="I127" s="41">
        <v>46059</v>
      </c>
      <c r="J127" s="41">
        <v>46059</v>
      </c>
      <c r="K127" s="27" t="str">
        <f>IF(Table6[[#This Row],[Finish Date]]=0,"On process","Close")</f>
        <v>Close</v>
      </c>
      <c r="L127" s="27" t="str">
        <f>IF(Table6[[#This Row],[Status]]="On process",IF($H$2&gt;Table6[[#This Row],[Target Date]],"Overdue","On time"),"Closed")</f>
        <v>Closed</v>
      </c>
      <c r="M127" s="27" t="str" cm="1">
        <f t="array" ref="M127">_xlfn.IFS(Table6[[#This Row],[Finish Date]]=0,"",Table6[[#This Row],[Finish Date]]&gt;Table6[[#This Row],[Target Date]],"Delay",Table6[[#This Row],[Finish Date]]&lt;=Table6[[#This Row],[Target Date]],"On Time")</f>
        <v>On Time</v>
      </c>
      <c r="N127" s="78"/>
      <c r="O127" s="78"/>
      <c r="P127" s="83"/>
      <c r="Q127" s="83"/>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row>
    <row r="128" spans="1:41" ht="41.25" hidden="1" customHeight="1">
      <c r="A128" s="27">
        <f>WEEKNUM(Table6[[#This Row],[Start Date]])</f>
        <v>4</v>
      </c>
      <c r="B128" s="27" t="str">
        <f>TEXT(Table6[[#This Row],[Start Date]],"mmm")</f>
        <v>Jan</v>
      </c>
      <c r="C128" s="27" t="str">
        <f>_xlfn.IFNA(INDEX(Refer!$B$5:$B$103,MATCH(Table6[[#This Row],[TASK]],Refer!$C$5:$C$103,0)),"")</f>
        <v>DFA</v>
      </c>
      <c r="D128" s="79" t="s">
        <v>178</v>
      </c>
      <c r="E128" s="79" t="s">
        <v>209</v>
      </c>
      <c r="F128" s="82" t="s">
        <v>66</v>
      </c>
      <c r="G128" s="27" t="s">
        <v>182</v>
      </c>
      <c r="H128" s="41">
        <v>46041</v>
      </c>
      <c r="I128" s="41">
        <v>46043</v>
      </c>
      <c r="J128" s="41">
        <v>46043</v>
      </c>
      <c r="K128" s="27" t="str">
        <f>IF(Table6[[#This Row],[Finish Date]]=0,"On process","Close")</f>
        <v>Close</v>
      </c>
      <c r="L128" s="27" t="str">
        <f>IF(Table6[[#This Row],[Status]]="On process",IF($H$2&gt;Table6[[#This Row],[Target Date]],"Overdue","On time"),"Closed")</f>
        <v>Closed</v>
      </c>
      <c r="M128" s="27" t="str" cm="1">
        <f t="array" ref="M128">_xlfn.IFS(Table6[[#This Row],[Finish Date]]=0,"",Table6[[#This Row],[Finish Date]]&gt;Table6[[#This Row],[Target Date]],"Delay",Table6[[#This Row],[Finish Date]]&lt;=Table6[[#This Row],[Target Date]],"On Time")</f>
        <v>On Time</v>
      </c>
      <c r="N128" s="78"/>
      <c r="O128" s="78"/>
      <c r="P128" s="83"/>
      <c r="Q128" s="83"/>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row>
    <row r="129" spans="1:41" ht="41.25" hidden="1" customHeight="1">
      <c r="A129" s="27">
        <f>WEEKNUM(Table6[[#This Row],[Start Date]])</f>
        <v>4</v>
      </c>
      <c r="B129" s="27" t="str">
        <f>TEXT(Table6[[#This Row],[Start Date]],"mmm")</f>
        <v>Jan</v>
      </c>
      <c r="C129" s="27" t="str">
        <f>_xlfn.IFNA(INDEX(Refer!$B$5:$B$103,MATCH(Table6[[#This Row],[TASK]],Refer!$C$5:$C$103,0)),"")</f>
        <v>DFA</v>
      </c>
      <c r="D129" s="79" t="s">
        <v>178</v>
      </c>
      <c r="E129" s="79" t="s">
        <v>210</v>
      </c>
      <c r="F129" s="82" t="s">
        <v>66</v>
      </c>
      <c r="G129" s="27" t="s">
        <v>182</v>
      </c>
      <c r="H129" s="41">
        <v>46041</v>
      </c>
      <c r="I129" s="41">
        <v>46043</v>
      </c>
      <c r="J129" s="41">
        <v>46043</v>
      </c>
      <c r="K129" s="27" t="str">
        <f>IF(Table6[[#This Row],[Finish Date]]=0,"On process","Close")</f>
        <v>Close</v>
      </c>
      <c r="L129" s="27" t="str">
        <f>IF(Table6[[#This Row],[Status]]="On process",IF($H$2&gt;Table6[[#This Row],[Target Date]],"Overdue","On time"),"Closed")</f>
        <v>Closed</v>
      </c>
      <c r="M129" s="27" t="str" cm="1">
        <f t="array" ref="M129">_xlfn.IFS(Table6[[#This Row],[Finish Date]]=0,"",Table6[[#This Row],[Finish Date]]&gt;Table6[[#This Row],[Target Date]],"Delay",Table6[[#This Row],[Finish Date]]&lt;=Table6[[#This Row],[Target Date]],"On Time")</f>
        <v>On Time</v>
      </c>
      <c r="N129" s="78"/>
      <c r="O129" s="78"/>
      <c r="P129" s="83"/>
      <c r="Q129" s="83"/>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row>
    <row r="130" spans="1:41" ht="41.25" hidden="1" customHeight="1">
      <c r="A130" s="27">
        <f>WEEKNUM(Table6[[#This Row],[Start Date]])</f>
        <v>4</v>
      </c>
      <c r="B130" s="27" t="str">
        <f>TEXT(Table6[[#This Row],[Start Date]],"mmm")</f>
        <v>Jan</v>
      </c>
      <c r="C130" s="27" t="str">
        <f>_xlfn.IFNA(INDEX(Refer!$B$5:$B$103,MATCH(Table6[[#This Row],[TASK]],Refer!$C$5:$C$103,0)),"")</f>
        <v>DFA</v>
      </c>
      <c r="D130" s="79" t="s">
        <v>178</v>
      </c>
      <c r="E130" s="79" t="s">
        <v>211</v>
      </c>
      <c r="F130" s="82" t="s">
        <v>66</v>
      </c>
      <c r="G130" s="27" t="s">
        <v>182</v>
      </c>
      <c r="H130" s="41">
        <v>46043</v>
      </c>
      <c r="I130" s="41">
        <v>46045</v>
      </c>
      <c r="J130" s="41">
        <v>46045</v>
      </c>
      <c r="K130" s="27" t="str">
        <f>IF(Table6[[#This Row],[Finish Date]]=0,"On process","Close")</f>
        <v>Close</v>
      </c>
      <c r="L130" s="27" t="str">
        <f>IF(Table6[[#This Row],[Status]]="On process",IF($H$2&gt;Table6[[#This Row],[Target Date]],"Overdue","On time"),"Closed")</f>
        <v>Closed</v>
      </c>
      <c r="M130" s="27" t="str" cm="1">
        <f t="array" ref="M130">_xlfn.IFS(Table6[[#This Row],[Finish Date]]=0,"",Table6[[#This Row],[Finish Date]]&gt;Table6[[#This Row],[Target Date]],"Delay",Table6[[#This Row],[Finish Date]]&lt;=Table6[[#This Row],[Target Date]],"On Time")</f>
        <v>On Time</v>
      </c>
      <c r="N130" s="78"/>
      <c r="O130" s="78"/>
      <c r="P130" s="83"/>
      <c r="Q130" s="83"/>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row>
    <row r="131" spans="1:41" ht="41.25" hidden="1" customHeight="1">
      <c r="A131" s="27">
        <f>WEEKNUM(Table6[[#This Row],[Start Date]])</f>
        <v>4</v>
      </c>
      <c r="B131" s="27" t="str">
        <f>TEXT(Table6[[#This Row],[Start Date]],"mmm")</f>
        <v>Jan</v>
      </c>
      <c r="C131" s="27" t="str">
        <f>_xlfn.IFNA(INDEX(Refer!$B$5:$B$103,MATCH(Table6[[#This Row],[TASK]],Refer!$C$5:$C$103,0)),"")</f>
        <v>DFA</v>
      </c>
      <c r="D131" s="79" t="s">
        <v>178</v>
      </c>
      <c r="E131" s="79" t="s">
        <v>212</v>
      </c>
      <c r="F131" s="82" t="s">
        <v>66</v>
      </c>
      <c r="G131" s="27" t="s">
        <v>182</v>
      </c>
      <c r="H131" s="41">
        <v>46043</v>
      </c>
      <c r="I131" s="41">
        <v>46045</v>
      </c>
      <c r="J131" s="41">
        <v>46045</v>
      </c>
      <c r="K131" s="27" t="str">
        <f>IF(Table6[[#This Row],[Finish Date]]=0,"On process","Close")</f>
        <v>Close</v>
      </c>
      <c r="L131" s="27" t="str">
        <f>IF(Table6[[#This Row],[Status]]="On process",IF($H$2&gt;Table6[[#This Row],[Target Date]],"Overdue","On time"),"Closed")</f>
        <v>Closed</v>
      </c>
      <c r="M131" s="27" t="str" cm="1">
        <f t="array" ref="M131">_xlfn.IFS(Table6[[#This Row],[Finish Date]]=0,"",Table6[[#This Row],[Finish Date]]&gt;Table6[[#This Row],[Target Date]],"Delay",Table6[[#This Row],[Finish Date]]&lt;=Table6[[#This Row],[Target Date]],"On Time")</f>
        <v>On Time</v>
      </c>
      <c r="N131" s="78"/>
      <c r="O131" s="78"/>
      <c r="P131" s="83"/>
      <c r="Q131" s="83"/>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row>
    <row r="132" spans="1:41" ht="41.25" hidden="1" customHeight="1">
      <c r="A132" s="27">
        <f>WEEKNUM(Table6[[#This Row],[Start Date]])</f>
        <v>4</v>
      </c>
      <c r="B132" s="27" t="str">
        <f>TEXT(Table6[[#This Row],[Start Date]],"mmm")</f>
        <v>Jan</v>
      </c>
      <c r="C132" s="27" t="str">
        <f>_xlfn.IFNA(INDEX(Refer!$B$5:$B$103,MATCH(Table6[[#This Row],[TASK]],Refer!$C$5:$C$103,0)),"")</f>
        <v>NPI</v>
      </c>
      <c r="D132" s="79" t="s">
        <v>61</v>
      </c>
      <c r="E132" s="79" t="s">
        <v>213</v>
      </c>
      <c r="F132" s="82" t="s">
        <v>66</v>
      </c>
      <c r="G132" s="27" t="s">
        <v>182</v>
      </c>
      <c r="H132" s="41">
        <v>46043</v>
      </c>
      <c r="I132" s="41">
        <v>46043</v>
      </c>
      <c r="J132" s="41">
        <v>46043</v>
      </c>
      <c r="K132" s="27" t="str">
        <f>IF(Table6[[#This Row],[Finish Date]]=0,"On process","Close")</f>
        <v>Close</v>
      </c>
      <c r="L132" s="27" t="str">
        <f>IF(Table6[[#This Row],[Status]]="On process",IF($H$2&gt;Table6[[#This Row],[Target Date]],"Overdue","On time"),"Closed")</f>
        <v>Closed</v>
      </c>
      <c r="M132" s="27" t="str" cm="1">
        <f t="array" ref="M132">_xlfn.IFS(Table6[[#This Row],[Finish Date]]=0,"",Table6[[#This Row],[Finish Date]]&gt;Table6[[#This Row],[Target Date]],"Delay",Table6[[#This Row],[Finish Date]]&lt;=Table6[[#This Row],[Target Date]],"On Time")</f>
        <v>On Time</v>
      </c>
      <c r="N132" s="78"/>
      <c r="O132" s="78"/>
      <c r="P132" s="83"/>
      <c r="Q132" s="83"/>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row>
    <row r="133" spans="1:41" ht="41.25" hidden="1" customHeight="1">
      <c r="A133" s="27">
        <f>WEEKNUM(Table6[[#This Row],[Start Date]])</f>
        <v>4</v>
      </c>
      <c r="B133" s="27" t="str">
        <f>TEXT(Table6[[#This Row],[Start Date]],"mmm")</f>
        <v>Jan</v>
      </c>
      <c r="C133" s="27" t="str">
        <f>_xlfn.IFNA(INDEX(Refer!$B$5:$B$103,MATCH(Table6[[#This Row],[TASK]],Refer!$C$5:$C$103,0)),"")</f>
        <v>MEETING</v>
      </c>
      <c r="D133" s="79" t="s">
        <v>72</v>
      </c>
      <c r="E133" s="79" t="s">
        <v>214</v>
      </c>
      <c r="F133" s="82" t="s">
        <v>63</v>
      </c>
      <c r="G133" s="27" t="s">
        <v>182</v>
      </c>
      <c r="H133" s="41">
        <v>46044</v>
      </c>
      <c r="I133" s="41">
        <v>46044</v>
      </c>
      <c r="J133" s="41">
        <v>46044</v>
      </c>
      <c r="K133" s="27" t="str">
        <f>IF(Table6[[#This Row],[Finish Date]]=0,"On process","Close")</f>
        <v>Close</v>
      </c>
      <c r="L133" s="27" t="str">
        <f>IF(Table6[[#This Row],[Status]]="On process",IF($H$2&gt;Table6[[#This Row],[Target Date]],"Overdue","On time"),"Closed")</f>
        <v>Closed</v>
      </c>
      <c r="M133" s="27" t="str" cm="1">
        <f t="array" ref="M133">_xlfn.IFS(Table6[[#This Row],[Finish Date]]=0,"",Table6[[#This Row],[Finish Date]]&gt;Table6[[#This Row],[Target Date]],"Delay",Table6[[#This Row],[Finish Date]]&lt;=Table6[[#This Row],[Target Date]],"On Time")</f>
        <v>On Time</v>
      </c>
      <c r="N133" s="78"/>
      <c r="O133" s="78"/>
      <c r="P133" s="83"/>
      <c r="Q133" s="83"/>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row>
    <row r="134" spans="1:41" ht="21" hidden="1" customHeight="1">
      <c r="A134" s="27">
        <f>WEEKNUM(Table6[[#This Row],[Start Date]])</f>
        <v>6</v>
      </c>
      <c r="B134" s="27" t="str">
        <f>TEXT(Table6[[#This Row],[Start Date]],"mmm")</f>
        <v>Feb</v>
      </c>
      <c r="C134" s="27" t="str">
        <f>_xlfn.IFNA(INDEX(Refer!$B$5:$B$103,MATCH(Table6[[#This Row],[TASK]],Refer!$C$5:$C$103,0)),"")</f>
        <v>NPI</v>
      </c>
      <c r="D134" s="79" t="s">
        <v>61</v>
      </c>
      <c r="E134" s="79" t="s">
        <v>215</v>
      </c>
      <c r="F134" s="82" t="s">
        <v>95</v>
      </c>
      <c r="G134" s="27" t="s">
        <v>169</v>
      </c>
      <c r="H134" s="41">
        <v>46059</v>
      </c>
      <c r="I134" s="41">
        <v>46059</v>
      </c>
      <c r="J134" s="41">
        <v>46059</v>
      </c>
      <c r="K134" s="27" t="str">
        <f>IF(Table6[[#This Row],[Finish Date]]=0,"On process","Close")</f>
        <v>Close</v>
      </c>
      <c r="L134" s="27" t="str">
        <f>IF(Table6[[#This Row],[Status]]="On process",IF($H$2&gt;Table6[[#This Row],[Target Date]],"Overdue","On time"),"Closed")</f>
        <v>Closed</v>
      </c>
      <c r="M134" s="27" t="str" cm="1">
        <f t="array" ref="M134">_xlfn.IFS(Table6[[#This Row],[Finish Date]]=0,"",Table6[[#This Row],[Finish Date]]&gt;Table6[[#This Row],[Target Date]],"Delay",Table6[[#This Row],[Finish Date]]&lt;=Table6[[#This Row],[Target Date]],"On Time")</f>
        <v>On Time</v>
      </c>
      <c r="N134" s="78"/>
      <c r="O134" s="78"/>
      <c r="P134" s="83"/>
      <c r="Q134" s="83"/>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row>
    <row r="135" spans="1:41" ht="21" hidden="1" customHeight="1">
      <c r="A135" s="27">
        <f>WEEKNUM(Table6[[#This Row],[Start Date]])</f>
        <v>7</v>
      </c>
      <c r="B135" s="27" t="str">
        <f>TEXT(Table6[[#This Row],[Start Date]],"mmm")</f>
        <v>Feb</v>
      </c>
      <c r="C135" s="27" t="str">
        <f>_xlfn.IFNA(INDEX(Refer!$B$5:$B$103,MATCH(Table6[[#This Row],[TASK]],Refer!$C$5:$C$103,0)),"")</f>
        <v>DFA</v>
      </c>
      <c r="D135" s="79" t="s">
        <v>216</v>
      </c>
      <c r="E135" s="79" t="s">
        <v>217</v>
      </c>
      <c r="F135" s="80" t="s">
        <v>95</v>
      </c>
      <c r="G135" s="27" t="s">
        <v>169</v>
      </c>
      <c r="H135" s="41">
        <v>46062</v>
      </c>
      <c r="I135" s="41">
        <v>46066</v>
      </c>
      <c r="J135" s="41">
        <v>46066</v>
      </c>
      <c r="K135" s="27" t="str">
        <f>IF(Table6[[#This Row],[Finish Date]]=0,"On process","Close")</f>
        <v>Close</v>
      </c>
      <c r="L135" s="27" t="str">
        <f>IF(Table6[[#This Row],[Status]]="On process",IF($H$2&gt;Table6[[#This Row],[Target Date]],"Overdue","On time"),"Closed")</f>
        <v>Closed</v>
      </c>
      <c r="M135" s="27" t="str" cm="1">
        <f t="array" ref="M135">_xlfn.IFS(Table6[[#This Row],[Finish Date]]=0,"",Table6[[#This Row],[Finish Date]]&gt;Table6[[#This Row],[Target Date]],"Delay",Table6[[#This Row],[Finish Date]]&lt;=Table6[[#This Row],[Target Date]],"On Time")</f>
        <v>On Time</v>
      </c>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row>
    <row r="136" spans="1:41" ht="21" hidden="1" customHeight="1">
      <c r="A136" s="27">
        <f>WEEKNUM(Table6[[#This Row],[Start Date]])</f>
        <v>7</v>
      </c>
      <c r="B136" s="27" t="str">
        <f>TEXT(Table6[[#This Row],[Start Date]],"mmm")</f>
        <v>Feb</v>
      </c>
      <c r="C136" s="27" t="str">
        <f>_xlfn.IFNA(INDEX(Refer!$B$5:$B$103,MATCH(Table6[[#This Row],[TASK]],Refer!$C$5:$C$103,0)),"")</f>
        <v>NPI</v>
      </c>
      <c r="D136" s="79" t="s">
        <v>118</v>
      </c>
      <c r="E136" s="79" t="s">
        <v>218</v>
      </c>
      <c r="F136" s="80" t="s">
        <v>63</v>
      </c>
      <c r="G136" s="27" t="s">
        <v>169</v>
      </c>
      <c r="H136" s="41">
        <v>46063</v>
      </c>
      <c r="I136" s="41">
        <v>46063</v>
      </c>
      <c r="J136" s="41">
        <v>46063</v>
      </c>
      <c r="K136" s="27" t="str">
        <f>IF(Table6[[#This Row],[Finish Date]]=0,"On process","Close")</f>
        <v>Close</v>
      </c>
      <c r="L136" s="27" t="str">
        <f>IF(Table6[[#This Row],[Status]]="On process",IF($H$2&gt;Table6[[#This Row],[Target Date]],"Overdue","On time"),"Closed")</f>
        <v>Closed</v>
      </c>
      <c r="M136" s="27" t="str" cm="1">
        <f t="array" ref="M136">_xlfn.IFS(Table6[[#This Row],[Finish Date]]=0,"",Table6[[#This Row],[Finish Date]]&gt;Table6[[#This Row],[Target Date]],"Delay",Table6[[#This Row],[Finish Date]]&lt;=Table6[[#This Row],[Target Date]],"On Time")</f>
        <v>On Time</v>
      </c>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row>
    <row r="137" spans="1:41" ht="21" hidden="1" customHeight="1">
      <c r="A137" s="27">
        <f>WEEKNUM(Table6[[#This Row],[Start Date]])</f>
        <v>7</v>
      </c>
      <c r="B137" s="27" t="str">
        <f>TEXT(Table6[[#This Row],[Start Date]],"mmm")</f>
        <v>Feb</v>
      </c>
      <c r="C137" s="27" t="str">
        <f>_xlfn.IFNA(INDEX(Refer!$B$5:$B$103,MATCH(Table6[[#This Row],[TASK]],Refer!$C$5:$C$103,0)),"")</f>
        <v>NPI</v>
      </c>
      <c r="D137" s="79" t="s">
        <v>61</v>
      </c>
      <c r="E137" s="79" t="s">
        <v>111</v>
      </c>
      <c r="F137" s="80" t="s">
        <v>95</v>
      </c>
      <c r="G137" s="27" t="s">
        <v>169</v>
      </c>
      <c r="H137" s="41">
        <v>46065</v>
      </c>
      <c r="I137" s="41">
        <v>46065</v>
      </c>
      <c r="J137" s="41">
        <v>46065</v>
      </c>
      <c r="K137" s="27" t="str">
        <f>IF(Table6[[#This Row],[Finish Date]]=0,"On process","Close")</f>
        <v>Close</v>
      </c>
      <c r="L137" s="27" t="str">
        <f>IF(Table6[[#This Row],[Status]]="On process",IF($H$2&gt;Table6[[#This Row],[Target Date]],"Overdue","On time"),"Closed")</f>
        <v>Closed</v>
      </c>
      <c r="M137" s="27" t="str" cm="1">
        <f t="array" ref="M137">_xlfn.IFS(Table6[[#This Row],[Finish Date]]=0,"",Table6[[#This Row],[Finish Date]]&gt;Table6[[#This Row],[Target Date]],"Delay",Table6[[#This Row],[Finish Date]]&lt;=Table6[[#This Row],[Target Date]],"On Time")</f>
        <v>On Time</v>
      </c>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row>
    <row r="138" spans="1:41" ht="21" hidden="1" customHeight="1">
      <c r="A138" s="27">
        <f>WEEKNUM(Table6[[#This Row],[Start Date]])</f>
        <v>5</v>
      </c>
      <c r="B138" s="27" t="str">
        <f>TEXT(Table6[[#This Row],[Start Date]],"mmm")</f>
        <v>Jan</v>
      </c>
      <c r="C138" s="27" t="str">
        <f>_xlfn.IFNA(INDEX(Refer!$B$5:$B$103,MATCH(Table6[[#This Row],[TASK]],Refer!$C$5:$C$103,0)),"")</f>
        <v>NPI</v>
      </c>
      <c r="D138" s="79" t="s">
        <v>61</v>
      </c>
      <c r="E138" s="79" t="s">
        <v>219</v>
      </c>
      <c r="F138" s="82" t="s">
        <v>95</v>
      </c>
      <c r="G138" s="27" t="s">
        <v>182</v>
      </c>
      <c r="H138" s="41">
        <v>46048</v>
      </c>
      <c r="I138" s="41">
        <v>46048</v>
      </c>
      <c r="J138" s="41">
        <v>46048</v>
      </c>
      <c r="K138" s="27" t="str">
        <f>IF(Table6[[#This Row],[Finish Date]]=0,"On process","Close")</f>
        <v>Close</v>
      </c>
      <c r="L138" s="27" t="str">
        <f>IF(Table6[[#This Row],[Status]]="On process",IF($H$2&gt;Table6[[#This Row],[Target Date]],"Overdue","On time"),"Closed")</f>
        <v>Closed</v>
      </c>
      <c r="M138" s="27" t="str" cm="1">
        <f t="array" ref="M138">_xlfn.IFS(Table6[[#This Row],[Finish Date]]=0,"",Table6[[#This Row],[Finish Date]]&gt;Table6[[#This Row],[Target Date]],"Delay",Table6[[#This Row],[Finish Date]]&lt;=Table6[[#This Row],[Target Date]],"On Time")</f>
        <v>On Time</v>
      </c>
      <c r="N138" s="78"/>
      <c r="O138" s="78"/>
      <c r="P138" s="83"/>
      <c r="Q138" s="83"/>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row>
    <row r="139" spans="1:41" ht="21" hidden="1" customHeight="1">
      <c r="A139" s="27">
        <f>WEEKNUM(Table6[[#This Row],[Start Date]])</f>
        <v>5</v>
      </c>
      <c r="B139" s="27" t="str">
        <f>TEXT(Table6[[#This Row],[Start Date]],"mmm")</f>
        <v>Jan</v>
      </c>
      <c r="C139" s="27" t="str">
        <f>_xlfn.IFNA(INDEX(Refer!$B$5:$B$103,MATCH(Table6[[#This Row],[TASK]],Refer!$C$5:$C$103,0)),"")</f>
        <v>DFA</v>
      </c>
      <c r="D139" s="79" t="s">
        <v>216</v>
      </c>
      <c r="E139" s="79" t="s">
        <v>220</v>
      </c>
      <c r="F139" s="82" t="s">
        <v>93</v>
      </c>
      <c r="G139" s="27" t="s">
        <v>182</v>
      </c>
      <c r="H139" s="41">
        <v>46049</v>
      </c>
      <c r="I139" s="41">
        <v>46050</v>
      </c>
      <c r="J139" s="41">
        <v>46050</v>
      </c>
      <c r="K139" s="27" t="str">
        <f>IF(Table6[[#This Row],[Finish Date]]=0,"On process","Close")</f>
        <v>Close</v>
      </c>
      <c r="L139" s="27" t="str">
        <f>IF(Table6[[#This Row],[Status]]="On process",IF($H$2&gt;Table6[[#This Row],[Target Date]],"Overdue","On time"),"Closed")</f>
        <v>Closed</v>
      </c>
      <c r="M139" s="27" t="str" cm="1">
        <f t="array" ref="M139">_xlfn.IFS(Table6[[#This Row],[Finish Date]]=0,"",Table6[[#This Row],[Finish Date]]&gt;Table6[[#This Row],[Target Date]],"Delay",Table6[[#This Row],[Finish Date]]&lt;=Table6[[#This Row],[Target Date]],"On Time")</f>
        <v>On Time</v>
      </c>
      <c r="N139" s="78"/>
      <c r="O139" s="78"/>
      <c r="P139" s="83"/>
      <c r="Q139" s="83"/>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row>
    <row r="140" spans="1:41" ht="21" hidden="1" customHeight="1">
      <c r="A140" s="27">
        <f>WEEKNUM(Table6[[#This Row],[Start Date]])</f>
        <v>5</v>
      </c>
      <c r="B140" s="27" t="str">
        <f>TEXT(Table6[[#This Row],[Start Date]],"mmm")</f>
        <v>Jan</v>
      </c>
      <c r="C140" s="27" t="str">
        <f>_xlfn.IFNA(INDEX(Refer!$B$5:$B$103,MATCH(Table6[[#This Row],[TASK]],Refer!$C$5:$C$103,0)),"")</f>
        <v>DFM Mold</v>
      </c>
      <c r="D140" s="93" t="s">
        <v>99</v>
      </c>
      <c r="E140" s="79" t="s">
        <v>221</v>
      </c>
      <c r="F140" s="86" t="s">
        <v>93</v>
      </c>
      <c r="G140" s="27" t="s">
        <v>182</v>
      </c>
      <c r="H140" s="41">
        <v>46050</v>
      </c>
      <c r="I140" s="41">
        <v>46050</v>
      </c>
      <c r="J140" s="41">
        <v>46050</v>
      </c>
      <c r="K140" s="27" t="str">
        <f>IF(Table6[[#This Row],[Finish Date]]=0,"On process","Close")</f>
        <v>Close</v>
      </c>
      <c r="L140" s="27" t="str">
        <f>IF(Table6[[#This Row],[Status]]="On process",IF($H$2&gt;Table6[[#This Row],[Target Date]],"Overdue","On time"),"Closed")</f>
        <v>Closed</v>
      </c>
      <c r="M140" s="27" t="str" cm="1">
        <f t="array" ref="M140">_xlfn.IFS(Table6[[#This Row],[Finish Date]]=0,"",Table6[[#This Row],[Finish Date]]&gt;Table6[[#This Row],[Target Date]],"Delay",Table6[[#This Row],[Finish Date]]&lt;=Table6[[#This Row],[Target Date]],"On Time")</f>
        <v>On Time</v>
      </c>
      <c r="N140" s="78"/>
      <c r="O140" s="78"/>
      <c r="P140" s="83"/>
      <c r="Q140" s="83"/>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row>
    <row r="141" spans="1:41" ht="21" hidden="1" customHeight="1">
      <c r="A141" s="27">
        <f>WEEKNUM(Table6[[#This Row],[Start Date]])</f>
        <v>5</v>
      </c>
      <c r="B141" s="27" t="str">
        <f>TEXT(Table6[[#This Row],[Start Date]],"mmm")</f>
        <v>Jan</v>
      </c>
      <c r="C141" s="27" t="str">
        <f>_xlfn.IFNA(INDEX(Refer!$B$5:$B$103,MATCH(Table6[[#This Row],[TASK]],Refer!$C$5:$C$103,0)),"")</f>
        <v>NPI</v>
      </c>
      <c r="D141" s="79" t="s">
        <v>61</v>
      </c>
      <c r="E141" s="79" t="s">
        <v>222</v>
      </c>
      <c r="F141" s="82" t="s">
        <v>95</v>
      </c>
      <c r="G141" s="27" t="s">
        <v>182</v>
      </c>
      <c r="H141" s="41">
        <v>46051</v>
      </c>
      <c r="I141" s="41">
        <v>46051</v>
      </c>
      <c r="J141" s="41">
        <v>46051</v>
      </c>
      <c r="K141" s="27" t="str">
        <f>IF(Table6[[#This Row],[Finish Date]]=0,"On process","Close")</f>
        <v>Close</v>
      </c>
      <c r="L141" s="27" t="str">
        <f>IF(Table6[[#This Row],[Status]]="On process",IF($H$2&gt;Table6[[#This Row],[Target Date]],"Overdue","On time"),"Closed")</f>
        <v>Closed</v>
      </c>
      <c r="M141" s="27" t="str" cm="1">
        <f t="array" ref="M141">_xlfn.IFS(Table6[[#This Row],[Finish Date]]=0,"",Table6[[#This Row],[Finish Date]]&gt;Table6[[#This Row],[Target Date]],"Delay",Table6[[#This Row],[Finish Date]]&lt;=Table6[[#This Row],[Target Date]],"On Time")</f>
        <v>On Time</v>
      </c>
      <c r="N141" s="78"/>
      <c r="O141" s="78"/>
      <c r="P141" s="83"/>
      <c r="Q141" s="83"/>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row>
    <row r="142" spans="1:41" ht="21" hidden="1" customHeight="1">
      <c r="A142" s="27">
        <f>WEEKNUM(Table6[[#This Row],[Start Date]])</f>
        <v>5</v>
      </c>
      <c r="B142" s="27" t="str">
        <f>TEXT(Table6[[#This Row],[Start Date]],"mmm")</f>
        <v>Jan</v>
      </c>
      <c r="C142" s="27" t="str">
        <f>_xlfn.IFNA(INDEX(Refer!$B$5:$B$103,MATCH(Table6[[#This Row],[TASK]],Refer!$C$5:$C$103,0)),"")</f>
        <v>MEETING</v>
      </c>
      <c r="D142" s="79" t="s">
        <v>72</v>
      </c>
      <c r="E142" s="79" t="s">
        <v>98</v>
      </c>
      <c r="F142" s="82" t="s">
        <v>63</v>
      </c>
      <c r="G142" s="27" t="s">
        <v>182</v>
      </c>
      <c r="H142" s="41">
        <v>46051</v>
      </c>
      <c r="I142" s="41">
        <v>46051</v>
      </c>
      <c r="J142" s="41">
        <v>46051</v>
      </c>
      <c r="K142" s="27" t="str">
        <f>IF(Table6[[#This Row],[Finish Date]]=0,"On process","Close")</f>
        <v>Close</v>
      </c>
      <c r="L142" s="27" t="str">
        <f>IF(Table6[[#This Row],[Status]]="On process",IF($H$2&gt;Table6[[#This Row],[Target Date]],"Overdue","On time"),"Closed")</f>
        <v>Closed</v>
      </c>
      <c r="M142" s="27" t="str" cm="1">
        <f t="array" ref="M142">_xlfn.IFS(Table6[[#This Row],[Finish Date]]=0,"",Table6[[#This Row],[Finish Date]]&gt;Table6[[#This Row],[Target Date]],"Delay",Table6[[#This Row],[Finish Date]]&lt;=Table6[[#This Row],[Target Date]],"On Time")</f>
        <v>On Time</v>
      </c>
      <c r="N142" s="78"/>
      <c r="O142" s="78"/>
      <c r="P142" s="83"/>
      <c r="Q142" s="83"/>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row>
    <row r="143" spans="1:41" ht="21" hidden="1" customHeight="1">
      <c r="A143" s="27">
        <f>WEEKNUM(Table6[[#This Row],[Start Date]])</f>
        <v>5</v>
      </c>
      <c r="B143" s="27" t="str">
        <f>TEXT(Table6[[#This Row],[Start Date]],"mmm")</f>
        <v>Jan</v>
      </c>
      <c r="C143" s="27" t="str">
        <f>_xlfn.IFNA(INDEX(Refer!$B$5:$B$103,MATCH(Table6[[#This Row],[TASK]],Refer!$C$5:$C$103,0)),"")</f>
        <v>DFM Mold</v>
      </c>
      <c r="D143" s="79" t="s">
        <v>91</v>
      </c>
      <c r="E143" s="79" t="s">
        <v>223</v>
      </c>
      <c r="F143" s="82" t="s">
        <v>93</v>
      </c>
      <c r="G143" s="27" t="s">
        <v>182</v>
      </c>
      <c r="H143" s="41">
        <v>46051</v>
      </c>
      <c r="I143" s="41">
        <v>46051</v>
      </c>
      <c r="J143" s="41">
        <v>46051</v>
      </c>
      <c r="K143" s="27" t="str">
        <f>IF(Table6[[#This Row],[Finish Date]]=0,"On process","Close")</f>
        <v>Close</v>
      </c>
      <c r="L143" s="27" t="str">
        <f>IF(Table6[[#This Row],[Status]]="On process",IF($H$2&gt;Table6[[#This Row],[Target Date]],"Overdue","On time"),"Closed")</f>
        <v>Closed</v>
      </c>
      <c r="M143" s="27" t="str" cm="1">
        <f t="array" ref="M143">_xlfn.IFS(Table6[[#This Row],[Finish Date]]=0,"",Table6[[#This Row],[Finish Date]]&gt;Table6[[#This Row],[Target Date]],"Delay",Table6[[#This Row],[Finish Date]]&lt;=Table6[[#This Row],[Target Date]],"On Time")</f>
        <v>On Time</v>
      </c>
      <c r="N143" s="78"/>
      <c r="O143" s="78"/>
      <c r="P143" s="83"/>
      <c r="Q143" s="83"/>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row>
    <row r="144" spans="1:41" ht="21" hidden="1" customHeight="1">
      <c r="A144" s="27">
        <f>WEEKNUM(Table6[[#This Row],[Start Date]])</f>
        <v>5</v>
      </c>
      <c r="B144" s="27" t="str">
        <f>TEXT(Table6[[#This Row],[Start Date]],"mmm")</f>
        <v>Jan</v>
      </c>
      <c r="C144" s="27" t="str">
        <f>_xlfn.IFNA(INDEX(Refer!$B$5:$B$103,MATCH(Table6[[#This Row],[TASK]],Refer!$C$5:$C$103,0)),"")</f>
        <v>DFM Mold</v>
      </c>
      <c r="D144" s="79" t="s">
        <v>224</v>
      </c>
      <c r="E144" s="79" t="s">
        <v>225</v>
      </c>
      <c r="F144" s="82" t="s">
        <v>93</v>
      </c>
      <c r="G144" s="27" t="s">
        <v>182</v>
      </c>
      <c r="H144" s="41">
        <v>46052</v>
      </c>
      <c r="I144" s="41">
        <v>46052</v>
      </c>
      <c r="J144" s="41">
        <v>46052</v>
      </c>
      <c r="K144" s="27" t="str">
        <f>IF(Table6[[#This Row],[Finish Date]]=0,"On process","Close")</f>
        <v>Close</v>
      </c>
      <c r="L144" s="27" t="str">
        <f>IF(Table6[[#This Row],[Status]]="On process",IF($H$2&gt;Table6[[#This Row],[Target Date]],"Overdue","On time"),"Closed")</f>
        <v>Closed</v>
      </c>
      <c r="M144" s="27" t="str" cm="1">
        <f t="array" ref="M144">_xlfn.IFS(Table6[[#This Row],[Finish Date]]=0,"",Table6[[#This Row],[Finish Date]]&gt;Table6[[#This Row],[Target Date]],"Delay",Table6[[#This Row],[Finish Date]]&lt;=Table6[[#This Row],[Target Date]],"On Time")</f>
        <v>On Time</v>
      </c>
      <c r="N144" s="78"/>
      <c r="O144" s="78"/>
      <c r="P144" s="83"/>
      <c r="Q144" s="83"/>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row>
    <row r="145" spans="1:41" ht="21" hidden="1" customHeight="1">
      <c r="A145" s="27">
        <f>WEEKNUM(Table6[[#This Row],[Start Date]])</f>
        <v>6</v>
      </c>
      <c r="B145" s="27" t="str">
        <f>TEXT(Table6[[#This Row],[Start Date]],"mmm")</f>
        <v>Feb</v>
      </c>
      <c r="C145" s="27" t="str">
        <f>_xlfn.IFNA(INDEX(Refer!$B$5:$B$103,MATCH(Table6[[#This Row],[TASK]],Refer!$C$5:$C$103,0)),"")</f>
        <v>MEETING</v>
      </c>
      <c r="D145" s="79" t="s">
        <v>72</v>
      </c>
      <c r="E145" s="79" t="s">
        <v>226</v>
      </c>
      <c r="F145" s="82" t="s">
        <v>95</v>
      </c>
      <c r="G145" s="27" t="s">
        <v>182</v>
      </c>
      <c r="H145" s="41">
        <v>46055</v>
      </c>
      <c r="I145" s="41">
        <v>46055</v>
      </c>
      <c r="J145" s="41">
        <v>46055</v>
      </c>
      <c r="K145" s="27" t="str">
        <f>IF(Table6[[#This Row],[Finish Date]]=0,"On process","Close")</f>
        <v>Close</v>
      </c>
      <c r="L145" s="27" t="str">
        <f>IF(Table6[[#This Row],[Status]]="On process",IF($H$2&gt;Table6[[#This Row],[Target Date]],"Overdue","On time"),"Closed")</f>
        <v>Closed</v>
      </c>
      <c r="M145" s="27" t="str" cm="1">
        <f t="array" ref="M145">_xlfn.IFS(Table6[[#This Row],[Finish Date]]=0,"",Table6[[#This Row],[Finish Date]]&gt;Table6[[#This Row],[Target Date]],"Delay",Table6[[#This Row],[Finish Date]]&lt;=Table6[[#This Row],[Target Date]],"On Time")</f>
        <v>On Time</v>
      </c>
      <c r="N145" s="78"/>
      <c r="O145" s="78"/>
      <c r="P145" s="83"/>
      <c r="Q145" s="83"/>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row>
    <row r="146" spans="1:41" ht="26.25" hidden="1" customHeight="1">
      <c r="A146" s="27">
        <f>WEEKNUM(Table6[[#This Row],[Start Date]])</f>
        <v>6</v>
      </c>
      <c r="B146" s="27" t="str">
        <f>TEXT(Table6[[#This Row],[Start Date]],"mmm")</f>
        <v>Feb</v>
      </c>
      <c r="C146" s="27" t="str">
        <f>_xlfn.IFNA(INDEX(Refer!$B$5:$B$103,MATCH(Table6[[#This Row],[TASK]],Refer!$C$5:$C$103,0)),"")</f>
        <v>DFM Mold</v>
      </c>
      <c r="D146" s="79" t="s">
        <v>227</v>
      </c>
      <c r="E146" s="79" t="s">
        <v>228</v>
      </c>
      <c r="F146" s="82" t="s">
        <v>95</v>
      </c>
      <c r="G146" s="27" t="s">
        <v>182</v>
      </c>
      <c r="H146" s="41">
        <v>46055</v>
      </c>
      <c r="I146" s="41">
        <v>46059</v>
      </c>
      <c r="J146" s="41">
        <v>46059</v>
      </c>
      <c r="K146" s="27" t="str">
        <f>IF(Table6[[#This Row],[Finish Date]]=0,"On process","Close")</f>
        <v>Close</v>
      </c>
      <c r="L146" s="27" t="str">
        <f>IF(Table6[[#This Row],[Status]]="On process",IF($H$2&gt;Table6[[#This Row],[Target Date]],"Overdue","On time"),"Closed")</f>
        <v>Closed</v>
      </c>
      <c r="M146" s="27" t="str" cm="1">
        <f t="array" ref="M146">_xlfn.IFS(Table6[[#This Row],[Finish Date]]=0,"",Table6[[#This Row],[Finish Date]]&gt;Table6[[#This Row],[Target Date]],"Delay",Table6[[#This Row],[Finish Date]]&lt;=Table6[[#This Row],[Target Date]],"On Time")</f>
        <v>On Time</v>
      </c>
      <c r="N146" s="78"/>
      <c r="O146" s="78"/>
      <c r="P146" s="83"/>
      <c r="Q146" s="83"/>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row>
    <row r="147" spans="1:41" ht="21" hidden="1" customHeight="1">
      <c r="A147" s="27">
        <f>WEEKNUM(Table6[[#This Row],[Start Date]])</f>
        <v>6</v>
      </c>
      <c r="B147" s="27" t="str">
        <f>TEXT(Table6[[#This Row],[Start Date]],"mmm")</f>
        <v>Feb</v>
      </c>
      <c r="C147" s="27" t="str">
        <f>_xlfn.IFNA(INDEX(Refer!$B$5:$B$103,MATCH(Table6[[#This Row],[TASK]],Refer!$C$5:$C$103,0)),"")</f>
        <v>OTHER</v>
      </c>
      <c r="D147" s="79" t="s">
        <v>108</v>
      </c>
      <c r="E147" s="79" t="s">
        <v>229</v>
      </c>
      <c r="F147" s="80"/>
      <c r="G147" s="27" t="s">
        <v>191</v>
      </c>
      <c r="H147" s="41">
        <v>46058</v>
      </c>
      <c r="I147" s="41">
        <v>46058</v>
      </c>
      <c r="J147" s="41">
        <v>46058</v>
      </c>
      <c r="K147" s="27" t="str">
        <f>IF(Table6[[#This Row],[Finish Date]]=0,"On process","Close")</f>
        <v>Close</v>
      </c>
      <c r="L147" s="27" t="str">
        <f>IF(Table6[[#This Row],[Status]]="On process",IF($H$2&gt;Table6[[#This Row],[Target Date]],"Overdue","On time"),"Closed")</f>
        <v>Closed</v>
      </c>
      <c r="M147" s="27" t="str" cm="1">
        <f t="array" ref="M147">_xlfn.IFS(Table6[[#This Row],[Finish Date]]=0,"",Table6[[#This Row],[Finish Date]]&gt;Table6[[#This Row],[Target Date]],"Delay",Table6[[#This Row],[Finish Date]]&lt;=Table6[[#This Row],[Target Date]],"On Time")</f>
        <v>On Time</v>
      </c>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row>
    <row r="148" spans="1:41" ht="21" hidden="1" customHeight="1">
      <c r="A148" s="27">
        <f>WEEKNUM(Table6[[#This Row],[Start Date]])</f>
        <v>7</v>
      </c>
      <c r="B148" s="27" t="str">
        <f>TEXT(Table6[[#This Row],[Start Date]],"mmm")</f>
        <v>Feb</v>
      </c>
      <c r="C148" s="27" t="str">
        <f>_xlfn.IFNA(INDEX(Refer!$B$5:$B$103,MATCH(Table6[[#This Row],[TASK]],Refer!$C$5:$C$103,0)),"")</f>
        <v>MEETING</v>
      </c>
      <c r="D148" s="79" t="s">
        <v>72</v>
      </c>
      <c r="E148" s="79" t="s">
        <v>79</v>
      </c>
      <c r="F148" s="80" t="s">
        <v>66</v>
      </c>
      <c r="G148" s="27" t="s">
        <v>182</v>
      </c>
      <c r="H148" s="41">
        <v>46062</v>
      </c>
      <c r="I148" s="41">
        <v>46062</v>
      </c>
      <c r="J148" s="41">
        <v>46062</v>
      </c>
      <c r="K148" s="27" t="str">
        <f>IF(Table6[[#This Row],[Finish Date]]=0,"On process","Close")</f>
        <v>Close</v>
      </c>
      <c r="L148" s="27" t="str">
        <f>IF(Table6[[#This Row],[Status]]="On process",IF($H$2&gt;Table6[[#This Row],[Target Date]],"Overdue","On time"),"Closed")</f>
        <v>Closed</v>
      </c>
      <c r="M148" s="27" t="str" cm="1">
        <f t="array" ref="M148">_xlfn.IFS(Table6[[#This Row],[Finish Date]]=0,"",Table6[[#This Row],[Finish Date]]&gt;Table6[[#This Row],[Target Date]],"Delay",Table6[[#This Row],[Finish Date]]&lt;=Table6[[#This Row],[Target Date]],"On Time")</f>
        <v>On Time</v>
      </c>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row>
    <row r="149" spans="1:41" ht="21" hidden="1" customHeight="1">
      <c r="A149" s="27">
        <f>WEEKNUM(Table6[[#This Row],[Start Date]])</f>
        <v>7</v>
      </c>
      <c r="B149" s="27" t="str">
        <f>TEXT(Table6[[#This Row],[Start Date]],"mmm")</f>
        <v>Feb</v>
      </c>
      <c r="C149" s="27" t="str">
        <f>_xlfn.IFNA(INDEX(Refer!$B$5:$B$103,MATCH(Table6[[#This Row],[TASK]],Refer!$C$5:$C$103,0)),"")</f>
        <v>NPI</v>
      </c>
      <c r="D149" s="79" t="s">
        <v>61</v>
      </c>
      <c r="E149" s="79" t="s">
        <v>230</v>
      </c>
      <c r="F149" s="80" t="s">
        <v>66</v>
      </c>
      <c r="G149" s="27" t="s">
        <v>182</v>
      </c>
      <c r="H149" s="41">
        <v>46062</v>
      </c>
      <c r="I149" s="41">
        <v>46062</v>
      </c>
      <c r="J149" s="41">
        <v>46062</v>
      </c>
      <c r="K149" s="27" t="str">
        <f>IF(Table6[[#This Row],[Finish Date]]=0,"On process","Close")</f>
        <v>Close</v>
      </c>
      <c r="L149" s="27" t="str">
        <f>IF(Table6[[#This Row],[Status]]="On process",IF($H$2&gt;Table6[[#This Row],[Target Date]],"Overdue","On time"),"Closed")</f>
        <v>Closed</v>
      </c>
      <c r="M149" s="27" t="str" cm="1">
        <f t="array" ref="M149">_xlfn.IFS(Table6[[#This Row],[Finish Date]]=0,"",Table6[[#This Row],[Finish Date]]&gt;Table6[[#This Row],[Target Date]],"Delay",Table6[[#This Row],[Finish Date]]&lt;=Table6[[#This Row],[Target Date]],"On Time")</f>
        <v>On Time</v>
      </c>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row>
    <row r="150" spans="1:41" ht="21" hidden="1" customHeight="1">
      <c r="A150" s="27">
        <f>WEEKNUM(Table6[[#This Row],[Start Date]])</f>
        <v>7</v>
      </c>
      <c r="B150" s="27" t="str">
        <f>TEXT(Table6[[#This Row],[Start Date]],"mmm")</f>
        <v>Feb</v>
      </c>
      <c r="C150" s="27" t="str">
        <f>_xlfn.IFNA(INDEX(Refer!$B$5:$B$103,MATCH(Table6[[#This Row],[TASK]],Refer!$C$5:$C$103,0)),"")</f>
        <v>DFM Mold</v>
      </c>
      <c r="D150" s="79" t="s">
        <v>91</v>
      </c>
      <c r="E150" s="79" t="s">
        <v>231</v>
      </c>
      <c r="F150" s="80" t="s">
        <v>95</v>
      </c>
      <c r="G150" s="27" t="s">
        <v>182</v>
      </c>
      <c r="H150" s="41">
        <v>46062</v>
      </c>
      <c r="I150" s="41">
        <v>46062</v>
      </c>
      <c r="J150" s="41">
        <v>46062</v>
      </c>
      <c r="K150" s="27" t="str">
        <f>IF(Table6[[#This Row],[Finish Date]]=0,"On process","Close")</f>
        <v>Close</v>
      </c>
      <c r="L150" s="27" t="str">
        <f>IF(Table6[[#This Row],[Status]]="On process",IF($H$2&gt;Table6[[#This Row],[Target Date]],"Overdue","On time"),"Closed")</f>
        <v>Closed</v>
      </c>
      <c r="M150" s="27" t="str" cm="1">
        <f t="array" ref="M150">_xlfn.IFS(Table6[[#This Row],[Finish Date]]=0,"",Table6[[#This Row],[Finish Date]]&gt;Table6[[#This Row],[Target Date]],"Delay",Table6[[#This Row],[Finish Date]]&lt;=Table6[[#This Row],[Target Date]],"On Time")</f>
        <v>On Time</v>
      </c>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row>
    <row r="151" spans="1:41" ht="21" hidden="1" customHeight="1">
      <c r="A151" s="27">
        <f>WEEKNUM(Table6[[#This Row],[Start Date]])</f>
        <v>7</v>
      </c>
      <c r="B151" s="27" t="str">
        <f>TEXT(Table6[[#This Row],[Start Date]],"mmm")</f>
        <v>Feb</v>
      </c>
      <c r="C151" s="27" t="str">
        <f>_xlfn.IFNA(INDEX(Refer!$B$5:$B$103,MATCH(Table6[[#This Row],[TASK]],Refer!$C$5:$C$103,0)),"")</f>
        <v>NPI</v>
      </c>
      <c r="D151" s="79" t="s">
        <v>118</v>
      </c>
      <c r="E151" s="79" t="s">
        <v>232</v>
      </c>
      <c r="F151" s="82" t="s">
        <v>63</v>
      </c>
      <c r="G151" s="27" t="s">
        <v>182</v>
      </c>
      <c r="H151" s="41">
        <v>46063</v>
      </c>
      <c r="I151" s="41">
        <v>46066</v>
      </c>
      <c r="J151" s="41">
        <v>46066</v>
      </c>
      <c r="K151" s="27" t="str">
        <f>IF(Table6[[#This Row],[Finish Date]]=0,"On process","Close")</f>
        <v>Close</v>
      </c>
      <c r="L151" s="27" t="str">
        <f>IF(Table6[[#This Row],[Status]]="On process",IF($H$2&gt;Table6[[#This Row],[Target Date]],"Overdue","On time"),"Closed")</f>
        <v>Closed</v>
      </c>
      <c r="M151" s="27" t="str" cm="1">
        <f t="array" ref="M151">_xlfn.IFS(Table6[[#This Row],[Finish Date]]=0,"",Table6[[#This Row],[Finish Date]]&gt;Table6[[#This Row],[Target Date]],"Delay",Table6[[#This Row],[Finish Date]]&lt;=Table6[[#This Row],[Target Date]],"On Time")</f>
        <v>On Time</v>
      </c>
      <c r="N151" s="78"/>
      <c r="O151" s="78"/>
      <c r="P151" s="83"/>
      <c r="Q151" s="83"/>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row>
    <row r="152" spans="1:41" ht="21" hidden="1" customHeight="1">
      <c r="A152" s="27">
        <f>WEEKNUM(Table6[[#This Row],[Start Date]])</f>
        <v>7</v>
      </c>
      <c r="B152" s="27" t="str">
        <f>TEXT(Table6[[#This Row],[Start Date]],"mmm")</f>
        <v>Feb</v>
      </c>
      <c r="C152" s="27" t="str">
        <f>_xlfn.IFNA(INDEX(Refer!$B$5:$B$103,MATCH(Table6[[#This Row],[TASK]],Refer!$C$5:$C$103,0)),"")</f>
        <v>NPI</v>
      </c>
      <c r="D152" s="79" t="s">
        <v>61</v>
      </c>
      <c r="E152" s="79" t="s">
        <v>233</v>
      </c>
      <c r="F152" s="80" t="s">
        <v>95</v>
      </c>
      <c r="G152" s="27" t="s">
        <v>182</v>
      </c>
      <c r="H152" s="41">
        <v>46063</v>
      </c>
      <c r="I152" s="41">
        <v>46064</v>
      </c>
      <c r="J152" s="41">
        <v>46064</v>
      </c>
      <c r="K152" s="27" t="str">
        <f>IF(Table6[[#This Row],[Finish Date]]=0,"On process","Close")</f>
        <v>Close</v>
      </c>
      <c r="L152" s="27" t="str">
        <f>IF(Table6[[#This Row],[Status]]="On process",IF($H$2&gt;Table6[[#This Row],[Target Date]],"Overdue","On time"),"Closed")</f>
        <v>Closed</v>
      </c>
      <c r="M152" s="27" t="str" cm="1">
        <f t="array" ref="M152">_xlfn.IFS(Table6[[#This Row],[Finish Date]]=0,"",Table6[[#This Row],[Finish Date]]&gt;Table6[[#This Row],[Target Date]],"Delay",Table6[[#This Row],[Finish Date]]&lt;=Table6[[#This Row],[Target Date]],"On Time")</f>
        <v>On Time</v>
      </c>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row>
    <row r="153" spans="1:41" ht="21" hidden="1" customHeight="1">
      <c r="A153" s="27">
        <f>WEEKNUM(Table6[[#This Row],[Start Date]])</f>
        <v>7</v>
      </c>
      <c r="B153" s="27" t="str">
        <f>TEXT(Table6[[#This Row],[Start Date]],"mmm")</f>
        <v>Feb</v>
      </c>
      <c r="C153" s="27" t="str">
        <f>_xlfn.IFNA(INDEX(Refer!$B$5:$B$103,MATCH(Table6[[#This Row],[TASK]],Refer!$C$5:$C$103,0)),"")</f>
        <v>NPI</v>
      </c>
      <c r="D153" s="79" t="s">
        <v>61</v>
      </c>
      <c r="E153" s="79" t="s">
        <v>234</v>
      </c>
      <c r="F153" s="80" t="s">
        <v>66</v>
      </c>
      <c r="G153" s="27" t="s">
        <v>182</v>
      </c>
      <c r="H153" s="41">
        <v>46063</v>
      </c>
      <c r="I153" s="41">
        <v>46063</v>
      </c>
      <c r="J153" s="41">
        <v>46063</v>
      </c>
      <c r="K153" s="27" t="str">
        <f>IF(Table6[[#This Row],[Finish Date]]=0,"On process","Close")</f>
        <v>Close</v>
      </c>
      <c r="L153" s="27" t="str">
        <f>IF(Table6[[#This Row],[Status]]="On process",IF($H$2&gt;Table6[[#This Row],[Target Date]],"Overdue","On time"),"Closed")</f>
        <v>Closed</v>
      </c>
      <c r="M153" s="27" t="str" cm="1">
        <f t="array" ref="M153">_xlfn.IFS(Table6[[#This Row],[Finish Date]]=0,"",Table6[[#This Row],[Finish Date]]&gt;Table6[[#This Row],[Target Date]],"Delay",Table6[[#This Row],[Finish Date]]&lt;=Table6[[#This Row],[Target Date]],"On Time")</f>
        <v>On Time</v>
      </c>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row>
    <row r="154" spans="1:41" ht="21" hidden="1" customHeight="1">
      <c r="A154" s="27">
        <f>WEEKNUM(Table6[[#This Row],[Start Date]])</f>
        <v>7</v>
      </c>
      <c r="B154" s="27" t="str">
        <f>TEXT(Table6[[#This Row],[Start Date]],"mmm")</f>
        <v>Feb</v>
      </c>
      <c r="C154" s="27" t="str">
        <f>_xlfn.IFNA(INDEX(Refer!$B$5:$B$103,MATCH(Table6[[#This Row],[TASK]],Refer!$C$5:$C$103,0)),"")</f>
        <v>RFQ</v>
      </c>
      <c r="D154" s="79" t="s">
        <v>21</v>
      </c>
      <c r="E154" s="79" t="s">
        <v>235</v>
      </c>
      <c r="F154" s="80" t="s">
        <v>198</v>
      </c>
      <c r="G154" s="27" t="s">
        <v>182</v>
      </c>
      <c r="H154" s="41">
        <v>46066</v>
      </c>
      <c r="I154" s="41">
        <v>46066</v>
      </c>
      <c r="J154" s="41">
        <v>46066</v>
      </c>
      <c r="K154" s="27" t="str">
        <f>IF(Table6[[#This Row],[Finish Date]]=0,"On process","Close")</f>
        <v>Close</v>
      </c>
      <c r="L154" s="27" t="str">
        <f>IF(Table6[[#This Row],[Status]]="On process",IF($H$2&gt;Table6[[#This Row],[Target Date]],"Overdue","On time"),"Closed")</f>
        <v>Closed</v>
      </c>
      <c r="M154" s="27" t="str" cm="1">
        <f t="array" ref="M154">_xlfn.IFS(Table6[[#This Row],[Finish Date]]=0,"",Table6[[#This Row],[Finish Date]]&gt;Table6[[#This Row],[Target Date]],"Delay",Table6[[#This Row],[Finish Date]]&lt;=Table6[[#This Row],[Target Date]],"On Time")</f>
        <v>On Time</v>
      </c>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row>
    <row r="155" spans="1:41" ht="21" hidden="1" customHeight="1">
      <c r="A155" s="27">
        <f>WEEKNUM(Table6[[#This Row],[Start Date]])</f>
        <v>8</v>
      </c>
      <c r="B155" s="27" t="str">
        <f>TEXT(Table6[[#This Row],[Start Date]],"mmm")</f>
        <v>Feb</v>
      </c>
      <c r="C155" s="27" t="str">
        <f>_xlfn.IFNA(INDEX(Refer!$B$5:$B$103,MATCH(Table6[[#This Row],[TASK]],Refer!$C$5:$C$103,0)),"")</f>
        <v>OTHER</v>
      </c>
      <c r="D155" s="79" t="s">
        <v>108</v>
      </c>
      <c r="E155" s="79" t="s">
        <v>116</v>
      </c>
      <c r="F155" s="80"/>
      <c r="G155" s="27" t="s">
        <v>182</v>
      </c>
      <c r="H155" s="41">
        <v>46069</v>
      </c>
      <c r="I155" s="41">
        <v>46070</v>
      </c>
      <c r="J155" s="41">
        <v>46070</v>
      </c>
      <c r="K155" s="27" t="str">
        <f>IF(Table6[[#This Row],[Finish Date]]=0,"On process","Close")</f>
        <v>Close</v>
      </c>
      <c r="L155" s="27" t="str">
        <f>IF(Table6[[#This Row],[Status]]="On process",IF($H$2&gt;Table6[[#This Row],[Target Date]],"Overdue","On time"),"Closed")</f>
        <v>Closed</v>
      </c>
      <c r="M155" s="27" t="str" cm="1">
        <f t="array" ref="M155">_xlfn.IFS(Table6[[#This Row],[Finish Date]]=0,"",Table6[[#This Row],[Finish Date]]&gt;Table6[[#This Row],[Target Date]],"Delay",Table6[[#This Row],[Finish Date]]&lt;=Table6[[#This Row],[Target Date]],"On Time")</f>
        <v>On Time</v>
      </c>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row>
    <row r="156" spans="1:41" ht="21" hidden="1" customHeight="1">
      <c r="A156" s="84">
        <f>WEEKNUM(Table6[[#This Row],[Start Date]])</f>
        <v>8</v>
      </c>
      <c r="B156" s="84" t="str">
        <f>TEXT(Table6[[#This Row],[Start Date]],"mmm")</f>
        <v>Feb</v>
      </c>
      <c r="C156" s="84" t="str">
        <f>_xlfn.IFNA(INDEX(Refer!$B$5:$B$103,MATCH(Table6[[#This Row],[TASK]],Refer!$C$5:$C$103,0)),"")</f>
        <v>MEETING</v>
      </c>
      <c r="D156" s="85" t="s">
        <v>72</v>
      </c>
      <c r="E156" s="85" t="s">
        <v>236</v>
      </c>
      <c r="F156" s="86" t="s">
        <v>66</v>
      </c>
      <c r="G156" s="84" t="s">
        <v>182</v>
      </c>
      <c r="H156" s="87">
        <v>46072</v>
      </c>
      <c r="I156" s="87">
        <v>46072</v>
      </c>
      <c r="J156" s="87">
        <v>46072</v>
      </c>
      <c r="K156" s="84" t="str">
        <f>IF(Table6[[#This Row],[Finish Date]]=0,"On process","Close")</f>
        <v>Close</v>
      </c>
      <c r="L156" s="84" t="str">
        <f>IF(Table6[[#This Row],[Status]]="On process",IF($H$2&gt;Table6[[#This Row],[Target Date]],"Overdue","On time"),"Closed")</f>
        <v>Closed</v>
      </c>
      <c r="M156" s="84" t="str" cm="1">
        <f t="array" ref="M156">_xlfn.IFS(Table6[[#This Row],[Finish Date]]=0,"",Table6[[#This Row],[Finish Date]]&gt;Table6[[#This Row],[Target Date]],"Delay",Table6[[#This Row],[Finish Date]]&lt;=Table6[[#This Row],[Target Date]],"On Time")</f>
        <v>On Time</v>
      </c>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row>
    <row r="157" spans="1:41" ht="21" hidden="1" customHeight="1">
      <c r="A157" s="27">
        <f>WEEKNUM(Table6[[#This Row],[Start Date]])</f>
        <v>8</v>
      </c>
      <c r="B157" s="27" t="str">
        <f>TEXT(Table6[[#This Row],[Start Date]],"mmm")</f>
        <v>Feb</v>
      </c>
      <c r="C157" s="27" t="str">
        <f>_xlfn.IFNA(INDEX(Refer!$B$5:$B$103,MATCH(Table6[[#This Row],[TASK]],Refer!$C$5:$C$103,0)),"")</f>
        <v>MEETING</v>
      </c>
      <c r="D157" s="79" t="s">
        <v>72</v>
      </c>
      <c r="E157" s="79" t="s">
        <v>98</v>
      </c>
      <c r="F157" s="82" t="s">
        <v>63</v>
      </c>
      <c r="G157" s="27" t="s">
        <v>182</v>
      </c>
      <c r="H157" s="41">
        <v>46072</v>
      </c>
      <c r="I157" s="41">
        <v>46072</v>
      </c>
      <c r="J157" s="41">
        <v>46072</v>
      </c>
      <c r="K157" s="27" t="str">
        <f>IF(Table6[[#This Row],[Finish Date]]=0,"On process","Close")</f>
        <v>Close</v>
      </c>
      <c r="L157" s="27" t="str">
        <f>IF(Table6[[#This Row],[Status]]="On process",IF($H$2&gt;Table6[[#This Row],[Target Date]],"Overdue","On time"),"Closed")</f>
        <v>Closed</v>
      </c>
      <c r="M157" s="27" t="str" cm="1">
        <f t="array" ref="M157">_xlfn.IFS(Table6[[#This Row],[Finish Date]]=0,"",Table6[[#This Row],[Finish Date]]&gt;Table6[[#This Row],[Target Date]],"Delay",Table6[[#This Row],[Finish Date]]&lt;=Table6[[#This Row],[Target Date]],"On Time")</f>
        <v>On Time</v>
      </c>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row>
    <row r="158" spans="1:41" ht="21" hidden="1" customHeight="1">
      <c r="A158" s="27">
        <f>WEEKNUM(Table6[[#This Row],[Start Date]])</f>
        <v>8</v>
      </c>
      <c r="B158" s="27" t="str">
        <f>TEXT(Table6[[#This Row],[Start Date]],"mmm")</f>
        <v>Feb</v>
      </c>
      <c r="C158" s="27" t="str">
        <f>_xlfn.IFNA(INDEX(Refer!$B$5:$B$103,MATCH(Table6[[#This Row],[TASK]],Refer!$C$5:$C$103,0)),"")</f>
        <v>NPI</v>
      </c>
      <c r="D158" s="79" t="s">
        <v>61</v>
      </c>
      <c r="E158" s="79" t="s">
        <v>237</v>
      </c>
      <c r="F158" s="80" t="s">
        <v>95</v>
      </c>
      <c r="G158" s="27" t="s">
        <v>169</v>
      </c>
      <c r="H158" s="41">
        <v>46069</v>
      </c>
      <c r="I158" s="41">
        <v>46069</v>
      </c>
      <c r="J158" s="41">
        <v>46069</v>
      </c>
      <c r="K158" s="27" t="str">
        <f>IF(Table6[[#This Row],[Finish Date]]=0,"On process","Close")</f>
        <v>Close</v>
      </c>
      <c r="L158" s="27" t="str">
        <f>IF(Table6[[#This Row],[Status]]="On process",IF($H$2&gt;Table6[[#This Row],[Target Date]],"Overdue","On time"),"Closed")</f>
        <v>Closed</v>
      </c>
      <c r="M158" s="27" t="str" cm="1">
        <f t="array" ref="M158">_xlfn.IFS(Table6[[#This Row],[Finish Date]]=0,"",Table6[[#This Row],[Finish Date]]&gt;Table6[[#This Row],[Target Date]],"Delay",Table6[[#This Row],[Finish Date]]&lt;=Table6[[#This Row],[Target Date]],"On Time")</f>
        <v>On Time</v>
      </c>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row>
    <row r="159" spans="1:41" ht="21" hidden="1" customHeight="1">
      <c r="A159" s="27">
        <f>WEEKNUM(Table6[[#This Row],[Start Date]])</f>
        <v>8</v>
      </c>
      <c r="B159" s="27" t="str">
        <f>TEXT(Table6[[#This Row],[Start Date]],"mmm")</f>
        <v>Feb</v>
      </c>
      <c r="C159" s="27" t="str">
        <f>_xlfn.IFNA(INDEX(Refer!$B$5:$B$103,MATCH(Table6[[#This Row],[TASK]],Refer!$C$5:$C$103,0)),"")</f>
        <v>NPI</v>
      </c>
      <c r="D159" s="79" t="s">
        <v>61</v>
      </c>
      <c r="E159" s="79" t="s">
        <v>238</v>
      </c>
      <c r="F159" s="82" t="s">
        <v>177</v>
      </c>
      <c r="G159" s="27" t="s">
        <v>169</v>
      </c>
      <c r="H159" s="41">
        <v>46072</v>
      </c>
      <c r="I159" s="41">
        <v>46072</v>
      </c>
      <c r="J159" s="41">
        <v>46072</v>
      </c>
      <c r="K159" s="27" t="str">
        <f>IF(Table6[[#This Row],[Finish Date]]=0,"On process","Close")</f>
        <v>Close</v>
      </c>
      <c r="L159" s="27" t="str">
        <f>IF(Table6[[#This Row],[Status]]="On process",IF($H$2&gt;Table6[[#This Row],[Target Date]],"Overdue","On time"),"Closed")</f>
        <v>Closed</v>
      </c>
      <c r="M159" s="27" t="str" cm="1">
        <f t="array" ref="M159">_xlfn.IFS(Table6[[#This Row],[Finish Date]]=0,"",Table6[[#This Row],[Finish Date]]&gt;Table6[[#This Row],[Target Date]],"Delay",Table6[[#This Row],[Finish Date]]&lt;=Table6[[#This Row],[Target Date]],"On Time")</f>
        <v>On Time</v>
      </c>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row>
    <row r="160" spans="1:41" ht="21" hidden="1" customHeight="1">
      <c r="A160" s="27">
        <f>WEEKNUM(Table6[[#This Row],[Start Date]])</f>
        <v>8</v>
      </c>
      <c r="B160" s="27" t="str">
        <f>TEXT(Table6[[#This Row],[Start Date]],"mmm")</f>
        <v>Feb</v>
      </c>
      <c r="C160" s="27" t="str">
        <f>_xlfn.IFNA(INDEX(Refer!$B$5:$B$103,MATCH(Table6[[#This Row],[TASK]],Refer!$C$5:$C$103,0)),"")</f>
        <v>NPI</v>
      </c>
      <c r="D160" s="79" t="s">
        <v>61</v>
      </c>
      <c r="E160" s="79" t="s">
        <v>239</v>
      </c>
      <c r="F160" s="82" t="s">
        <v>95</v>
      </c>
      <c r="G160" s="27" t="s">
        <v>169</v>
      </c>
      <c r="H160" s="41">
        <v>46072</v>
      </c>
      <c r="I160" s="41">
        <v>46072</v>
      </c>
      <c r="J160" s="41">
        <v>46072</v>
      </c>
      <c r="K160" s="27" t="str">
        <f>IF(Table6[[#This Row],[Finish Date]]=0,"On process","Close")</f>
        <v>Close</v>
      </c>
      <c r="L160" s="27" t="str">
        <f>IF(Table6[[#This Row],[Status]]="On process",IF($H$2&gt;Table6[[#This Row],[Target Date]],"Overdue","On time"),"Closed")</f>
        <v>Closed</v>
      </c>
      <c r="M160" s="27" t="str" cm="1">
        <f t="array" ref="M160">_xlfn.IFS(Table6[[#This Row],[Finish Date]]=0,"",Table6[[#This Row],[Finish Date]]&gt;Table6[[#This Row],[Target Date]],"Delay",Table6[[#This Row],[Finish Date]]&lt;=Table6[[#This Row],[Target Date]],"On Time")</f>
        <v>On Time</v>
      </c>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row>
    <row r="161" spans="1:41" ht="21" hidden="1" customHeight="1">
      <c r="A161" s="27">
        <f>WEEKNUM(Table6[[#This Row],[Start Date]])</f>
        <v>8</v>
      </c>
      <c r="B161" s="27" t="str">
        <f>TEXT(Table6[[#This Row],[Start Date]],"mmm")</f>
        <v>Feb</v>
      </c>
      <c r="C161" s="27" t="str">
        <f>_xlfn.IFNA(INDEX(Refer!$B$5:$B$103,MATCH(Table6[[#This Row],[TASK]],Refer!$C$5:$C$103,0)),"")</f>
        <v>RFQ</v>
      </c>
      <c r="D161" s="79" t="s">
        <v>123</v>
      </c>
      <c r="E161" s="79" t="s">
        <v>240</v>
      </c>
      <c r="F161" s="80" t="s">
        <v>241</v>
      </c>
      <c r="G161" s="27" t="s">
        <v>115</v>
      </c>
      <c r="H161" s="41">
        <v>46069</v>
      </c>
      <c r="I161" s="41">
        <v>46070</v>
      </c>
      <c r="J161" s="41">
        <v>46070</v>
      </c>
      <c r="K161" s="27" t="str">
        <f>IF(Table6[[#This Row],[Finish Date]]=0,"On process","Close")</f>
        <v>Close</v>
      </c>
      <c r="L161" s="27" t="str">
        <f>IF(Table6[[#This Row],[Status]]="On process",IF($H$2&gt;Table6[[#This Row],[Target Date]],"Overdue","On time"),"Closed")</f>
        <v>Closed</v>
      </c>
      <c r="M161" s="27" t="str" cm="1">
        <f t="array" ref="M161">_xlfn.IFS(Table6[[#This Row],[Finish Date]]=0,"",Table6[[#This Row],[Finish Date]]&gt;Table6[[#This Row],[Target Date]],"Delay",Table6[[#This Row],[Finish Date]]&lt;=Table6[[#This Row],[Target Date]],"On Time")</f>
        <v>On Time</v>
      </c>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row>
    <row r="162" spans="1:41" ht="21" hidden="1" customHeight="1">
      <c r="A162" s="27">
        <f>WEEKNUM(Table6[[#This Row],[Start Date]])</f>
        <v>8</v>
      </c>
      <c r="B162" s="27" t="str">
        <f>TEXT(Table6[[#This Row],[Start Date]],"mmm")</f>
        <v>Feb</v>
      </c>
      <c r="C162" s="27" t="str">
        <f>_xlfn.IFNA(INDEX(Refer!$B$5:$B$103,MATCH(Table6[[#This Row],[TASK]],Refer!$C$5:$C$103,0)),"")</f>
        <v>PACKING</v>
      </c>
      <c r="D162" s="79" t="s">
        <v>112</v>
      </c>
      <c r="E162" s="79" t="s">
        <v>242</v>
      </c>
      <c r="F162" s="80" t="s">
        <v>95</v>
      </c>
      <c r="G162" s="27" t="s">
        <v>115</v>
      </c>
      <c r="H162" s="41">
        <v>46069</v>
      </c>
      <c r="I162" s="41">
        <v>46070</v>
      </c>
      <c r="J162" s="41">
        <v>46070</v>
      </c>
      <c r="K162" s="27" t="str">
        <f>IF(Table6[[#This Row],[Finish Date]]=0,"On process","Close")</f>
        <v>Close</v>
      </c>
      <c r="L162" s="27" t="str">
        <f>IF(Table6[[#This Row],[Status]]="On process",IF($H$2&gt;Table6[[#This Row],[Target Date]],"Overdue","On time"),"Closed")</f>
        <v>Closed</v>
      </c>
      <c r="M162" s="27" t="str" cm="1">
        <f t="array" ref="M162">_xlfn.IFS(Table6[[#This Row],[Finish Date]]=0,"",Table6[[#This Row],[Finish Date]]&gt;Table6[[#This Row],[Target Date]],"Delay",Table6[[#This Row],[Finish Date]]&lt;=Table6[[#This Row],[Target Date]],"On Time")</f>
        <v>On Time</v>
      </c>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row>
    <row r="163" spans="1:41" ht="21" hidden="1" customHeight="1">
      <c r="A163" s="27">
        <f>WEEKNUM(Table6[[#This Row],[Start Date]])</f>
        <v>8</v>
      </c>
      <c r="B163" s="27" t="str">
        <f>TEXT(Table6[[#This Row],[Start Date]],"mmm")</f>
        <v>Feb</v>
      </c>
      <c r="C163" s="27" t="str">
        <f>_xlfn.IFNA(INDEX(Refer!$B$5:$B$103,MATCH(Table6[[#This Row],[TASK]],Refer!$C$5:$C$103,0)),"")</f>
        <v>PACKING</v>
      </c>
      <c r="D163" s="79" t="s">
        <v>112</v>
      </c>
      <c r="E163" s="79" t="s">
        <v>243</v>
      </c>
      <c r="F163" s="80" t="s">
        <v>63</v>
      </c>
      <c r="G163" s="27" t="s">
        <v>115</v>
      </c>
      <c r="H163" s="41">
        <v>46071</v>
      </c>
      <c r="I163" s="41">
        <v>46071</v>
      </c>
      <c r="J163" s="41">
        <v>46071</v>
      </c>
      <c r="K163" s="27" t="str">
        <f>IF(Table6[[#This Row],[Finish Date]]=0,"On process","Close")</f>
        <v>Close</v>
      </c>
      <c r="L163" s="27" t="str">
        <f>IF(Table6[[#This Row],[Status]]="On process",IF($H$2&gt;Table6[[#This Row],[Target Date]],"Overdue","On time"),"Closed")</f>
        <v>Closed</v>
      </c>
      <c r="M163" s="27" t="str" cm="1">
        <f t="array" ref="M163">_xlfn.IFS(Table6[[#This Row],[Finish Date]]=0,"",Table6[[#This Row],[Finish Date]]&gt;Table6[[#This Row],[Target Date]],"Delay",Table6[[#This Row],[Finish Date]]&lt;=Table6[[#This Row],[Target Date]],"On Time")</f>
        <v>On Time</v>
      </c>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row>
    <row r="164" spans="1:41" ht="21" hidden="1" customHeight="1">
      <c r="A164" s="27">
        <f>WEEKNUM(Table6[[#This Row],[Start Date]])</f>
        <v>8</v>
      </c>
      <c r="B164" s="27" t="str">
        <f>TEXT(Table6[[#This Row],[Start Date]],"mmm")</f>
        <v>Feb</v>
      </c>
      <c r="C164" s="27" t="str">
        <f>_xlfn.IFNA(INDEX(Refer!$B$5:$B$103,MATCH(Table6[[#This Row],[TASK]],Refer!$C$5:$C$103,0)),"")</f>
        <v>PACKING</v>
      </c>
      <c r="D164" s="79" t="s">
        <v>112</v>
      </c>
      <c r="E164" s="79" t="s">
        <v>244</v>
      </c>
      <c r="F164" s="80" t="s">
        <v>63</v>
      </c>
      <c r="G164" s="27" t="s">
        <v>115</v>
      </c>
      <c r="H164" s="41">
        <v>46071</v>
      </c>
      <c r="I164" s="41">
        <v>46071</v>
      </c>
      <c r="J164" s="41">
        <v>46071</v>
      </c>
      <c r="K164" s="27" t="str">
        <f>IF(Table6[[#This Row],[Finish Date]]=0,"On process","Close")</f>
        <v>Close</v>
      </c>
      <c r="L164" s="27" t="str">
        <f>IF(Table6[[#This Row],[Status]]="On process",IF($H$2&gt;Table6[[#This Row],[Target Date]],"Overdue","On time"),"Closed")</f>
        <v>Closed</v>
      </c>
      <c r="M164" s="27" t="str" cm="1">
        <f t="array" ref="M164">_xlfn.IFS(Table6[[#This Row],[Finish Date]]=0,"",Table6[[#This Row],[Finish Date]]&gt;Table6[[#This Row],[Target Date]],"Delay",Table6[[#This Row],[Finish Date]]&lt;=Table6[[#This Row],[Target Date]],"On Time")</f>
        <v>On Time</v>
      </c>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row>
    <row r="165" spans="1:41" ht="21" hidden="1" customHeight="1">
      <c r="A165" s="27">
        <f>WEEKNUM(Table6[[#This Row],[Start Date]])</f>
        <v>8</v>
      </c>
      <c r="B165" s="27" t="str">
        <f>TEXT(Table6[[#This Row],[Start Date]],"mmm")</f>
        <v>Feb</v>
      </c>
      <c r="C165" s="27" t="str">
        <f>_xlfn.IFNA(INDEX(Refer!$B$5:$B$103,MATCH(Table6[[#This Row],[TASK]],Refer!$C$5:$C$103,0)),"")</f>
        <v>RFQ</v>
      </c>
      <c r="D165" s="79" t="s">
        <v>123</v>
      </c>
      <c r="E165" s="79" t="s">
        <v>245</v>
      </c>
      <c r="F165" s="80" t="s">
        <v>246</v>
      </c>
      <c r="G165" s="27" t="s">
        <v>115</v>
      </c>
      <c r="H165" s="41">
        <v>46071</v>
      </c>
      <c r="I165" s="41">
        <v>46072</v>
      </c>
      <c r="J165" s="41">
        <v>46071</v>
      </c>
      <c r="K165" s="27" t="str">
        <f>IF(Table6[[#This Row],[Finish Date]]=0,"On process","Close")</f>
        <v>Close</v>
      </c>
      <c r="L165" s="27" t="str">
        <f>IF(Table6[[#This Row],[Status]]="On process",IF($H$2&gt;Table6[[#This Row],[Target Date]],"Overdue","On time"),"Closed")</f>
        <v>Closed</v>
      </c>
      <c r="M165" s="27" t="str" cm="1">
        <f t="array" ref="M165">_xlfn.IFS(Table6[[#This Row],[Finish Date]]=0,"",Table6[[#This Row],[Finish Date]]&gt;Table6[[#This Row],[Target Date]],"Delay",Table6[[#This Row],[Finish Date]]&lt;=Table6[[#This Row],[Target Date]],"On Time")</f>
        <v>On Time</v>
      </c>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row>
    <row r="166" spans="1:41" ht="21" hidden="1" customHeight="1">
      <c r="A166" s="27">
        <f>WEEKNUM(Table6[[#This Row],[Start Date]])</f>
        <v>8</v>
      </c>
      <c r="B166" s="27" t="str">
        <f>TEXT(Table6[[#This Row],[Start Date]],"mmm")</f>
        <v>Feb</v>
      </c>
      <c r="C166" s="27" t="str">
        <f>_xlfn.IFNA(INDEX(Refer!$B$5:$B$103,MATCH(Table6[[#This Row],[TASK]],Refer!$C$5:$C$103,0)),"")</f>
        <v>PACKING</v>
      </c>
      <c r="D166" s="79" t="s">
        <v>112</v>
      </c>
      <c r="E166" s="79" t="s">
        <v>247</v>
      </c>
      <c r="F166" s="82" t="s">
        <v>114</v>
      </c>
      <c r="G166" s="27" t="s">
        <v>115</v>
      </c>
      <c r="H166" s="41">
        <v>46071</v>
      </c>
      <c r="I166" s="41">
        <v>46072</v>
      </c>
      <c r="J166" s="41">
        <v>46072</v>
      </c>
      <c r="K166" s="27" t="str">
        <f>IF(Table6[[#This Row],[Finish Date]]=0,"On process","Close")</f>
        <v>Close</v>
      </c>
      <c r="L166" s="27" t="str">
        <f>IF(Table6[[#This Row],[Status]]="On process",IF($H$2&gt;Table6[[#This Row],[Target Date]],"Overdue","On time"),"Closed")</f>
        <v>Closed</v>
      </c>
      <c r="M166" s="27" t="str" cm="1">
        <f t="array" ref="M166">_xlfn.IFS(Table6[[#This Row],[Finish Date]]=0,"",Table6[[#This Row],[Finish Date]]&gt;Table6[[#This Row],[Target Date]],"Delay",Table6[[#This Row],[Finish Date]]&lt;=Table6[[#This Row],[Target Date]],"On Time")</f>
        <v>On Time</v>
      </c>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row>
    <row r="167" spans="1:41" ht="21" hidden="1" customHeight="1">
      <c r="A167" s="84">
        <f>WEEKNUM(Table6[[#This Row],[Start Date]])</f>
        <v>8</v>
      </c>
      <c r="B167" s="84" t="str">
        <f>TEXT(Table6[[#This Row],[Start Date]],"mmm")</f>
        <v>Feb</v>
      </c>
      <c r="C167" s="84" t="str">
        <f>_xlfn.IFNA(INDEX(Refer!$B$5:$B$103,MATCH(Table6[[#This Row],[TASK]],Refer!$C$5:$C$103,0)),"")</f>
        <v>PACKING</v>
      </c>
      <c r="D167" s="79" t="s">
        <v>112</v>
      </c>
      <c r="E167" s="85" t="s">
        <v>248</v>
      </c>
      <c r="F167" s="86" t="s">
        <v>95</v>
      </c>
      <c r="G167" s="84" t="s">
        <v>115</v>
      </c>
      <c r="H167" s="87">
        <v>46072</v>
      </c>
      <c r="I167" s="87">
        <v>46072</v>
      </c>
      <c r="J167" s="87">
        <v>46072</v>
      </c>
      <c r="K167" s="84" t="str">
        <f>IF(Table6[[#This Row],[Finish Date]]=0,"On process","Close")</f>
        <v>Close</v>
      </c>
      <c r="L167" s="84" t="str">
        <f>IF(Table6[[#This Row],[Status]]="On process",IF($H$2&gt;Table6[[#This Row],[Target Date]],"Overdue","On time"),"Closed")</f>
        <v>Closed</v>
      </c>
      <c r="M167" s="84" t="str" cm="1">
        <f t="array" ref="M167">_xlfn.IFS(Table6[[#This Row],[Finish Date]]=0,"",Table6[[#This Row],[Finish Date]]&gt;Table6[[#This Row],[Target Date]],"Delay",Table6[[#This Row],[Finish Date]]&lt;=Table6[[#This Row],[Target Date]],"On Time")</f>
        <v>On Time</v>
      </c>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row>
    <row r="168" spans="1:41" ht="21" hidden="1" customHeight="1">
      <c r="A168" s="27">
        <f>WEEKNUM(Table6[[#This Row],[Start Date]])</f>
        <v>8</v>
      </c>
      <c r="B168" s="27" t="str">
        <f>TEXT(Table6[[#This Row],[Start Date]],"mmm")</f>
        <v>Feb</v>
      </c>
      <c r="C168" s="27" t="str">
        <f>_xlfn.IFNA(INDEX(Refer!$B$5:$B$103,MATCH(Table6[[#This Row],[TASK]],Refer!$C$5:$C$103,0)),"")</f>
        <v>PACKING</v>
      </c>
      <c r="D168" s="79" t="s">
        <v>112</v>
      </c>
      <c r="E168" s="79" t="s">
        <v>249</v>
      </c>
      <c r="F168" s="82" t="s">
        <v>95</v>
      </c>
      <c r="G168" s="27" t="s">
        <v>115</v>
      </c>
      <c r="H168" s="41">
        <v>46072</v>
      </c>
      <c r="I168" s="41">
        <v>46073</v>
      </c>
      <c r="J168" s="41">
        <v>46073</v>
      </c>
      <c r="K168" s="27" t="str">
        <f>IF(Table6[[#This Row],[Finish Date]]=0,"On process","Close")</f>
        <v>Close</v>
      </c>
      <c r="L168" s="27" t="str">
        <f>IF(Table6[[#This Row],[Status]]="On process",IF($H$2&gt;Table6[[#This Row],[Target Date]],"Overdue","On time"),"Closed")</f>
        <v>Closed</v>
      </c>
      <c r="M168" s="27" t="str" cm="1">
        <f t="array" ref="M168">_xlfn.IFS(Table6[[#This Row],[Finish Date]]=0,"",Table6[[#This Row],[Finish Date]]&gt;Table6[[#This Row],[Target Date]],"Delay",Table6[[#This Row],[Finish Date]]&lt;=Table6[[#This Row],[Target Date]],"On Time")</f>
        <v>On Time</v>
      </c>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row>
    <row r="169" spans="1:41" ht="21" hidden="1" customHeight="1">
      <c r="A169" s="27">
        <f>WEEKNUM(Table6[[#This Row],[Start Date]])</f>
        <v>8</v>
      </c>
      <c r="B169" s="27" t="str">
        <f>TEXT(Table6[[#This Row],[Start Date]],"mmm")</f>
        <v>Feb</v>
      </c>
      <c r="C169" s="27" t="str">
        <f>_xlfn.IFNA(INDEX(Refer!$B$5:$B$103,MATCH(Table6[[#This Row],[TASK]],Refer!$C$5:$C$103,0)),"")</f>
        <v>NPI</v>
      </c>
      <c r="D169" s="79" t="s">
        <v>61</v>
      </c>
      <c r="E169" s="79" t="s">
        <v>250</v>
      </c>
      <c r="F169" s="82" t="s">
        <v>63</v>
      </c>
      <c r="G169" s="27" t="s">
        <v>115</v>
      </c>
      <c r="H169" s="41">
        <v>46072</v>
      </c>
      <c r="I169" s="41">
        <v>46073</v>
      </c>
      <c r="J169" s="41">
        <v>46073</v>
      </c>
      <c r="K169" s="27" t="str">
        <f>IF(Table6[[#This Row],[Finish Date]]=0,"On process","Close")</f>
        <v>Close</v>
      </c>
      <c r="L169" s="27" t="str">
        <f>IF(Table6[[#This Row],[Status]]="On process",IF($H$2&gt;Table6[[#This Row],[Target Date]],"Overdue","On time"),"Closed")</f>
        <v>Closed</v>
      </c>
      <c r="M169" s="27" t="str" cm="1">
        <f t="array" ref="M169">_xlfn.IFS(Table6[[#This Row],[Finish Date]]=0,"",Table6[[#This Row],[Finish Date]]&gt;Table6[[#This Row],[Target Date]],"Delay",Table6[[#This Row],[Finish Date]]&lt;=Table6[[#This Row],[Target Date]],"On Time")</f>
        <v>On Time</v>
      </c>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row>
    <row r="170" spans="1:41" ht="21" hidden="1" customHeight="1">
      <c r="A170" s="27">
        <f>WEEKNUM(Table6[[#This Row],[Start Date]])</f>
        <v>9</v>
      </c>
      <c r="B170" s="27" t="str">
        <f>TEXT(Table6[[#This Row],[Start Date]],"mmm")</f>
        <v>Feb</v>
      </c>
      <c r="C170" s="27" t="str">
        <f>_xlfn.IFNA(INDEX(Refer!$B$5:$B$103,MATCH(Table6[[#This Row],[TASK]],Refer!$C$5:$C$103,0)),"")</f>
        <v>PACKING</v>
      </c>
      <c r="D170" s="79" t="s">
        <v>112</v>
      </c>
      <c r="E170" s="79" t="s">
        <v>251</v>
      </c>
      <c r="F170" s="82" t="s">
        <v>95</v>
      </c>
      <c r="G170" s="27" t="s">
        <v>115</v>
      </c>
      <c r="H170" s="41">
        <v>46076</v>
      </c>
      <c r="I170" s="41">
        <v>46078</v>
      </c>
      <c r="J170" s="41">
        <v>46078</v>
      </c>
      <c r="K170" s="27" t="str">
        <f>IF(Table6[[#This Row],[Finish Date]]=0,"On process","Close")</f>
        <v>Close</v>
      </c>
      <c r="L170" s="27" t="str">
        <f>IF(Table6[[#This Row],[Status]]="On process",IF($H$2&gt;Table6[[#This Row],[Target Date]],"Overdue","On time"),"Closed")</f>
        <v>Closed</v>
      </c>
      <c r="M170" s="27" t="str" cm="1">
        <f t="array" ref="M170">_xlfn.IFS(Table6[[#This Row],[Finish Date]]=0,"",Table6[[#This Row],[Finish Date]]&gt;Table6[[#This Row],[Target Date]],"Delay",Table6[[#This Row],[Finish Date]]&lt;=Table6[[#This Row],[Target Date]],"On Time")</f>
        <v>On Time</v>
      </c>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row>
    <row r="171" spans="1:41" ht="21" hidden="1" customHeight="1">
      <c r="A171" s="27">
        <f>WEEKNUM(Table6[[#This Row],[Start Date]])</f>
        <v>9</v>
      </c>
      <c r="B171" s="27" t="str">
        <f>TEXT(Table6[[#This Row],[Start Date]],"mmm")</f>
        <v>Feb</v>
      </c>
      <c r="C171" s="27" t="str">
        <f>_xlfn.IFNA(INDEX(Refer!$B$5:$B$103,MATCH(Table6[[#This Row],[TASK]],Refer!$C$5:$C$103,0)),"")</f>
        <v>PACKING</v>
      </c>
      <c r="D171" s="79" t="s">
        <v>112</v>
      </c>
      <c r="E171" s="79" t="s">
        <v>252</v>
      </c>
      <c r="F171" s="82" t="s">
        <v>63</v>
      </c>
      <c r="G171" s="27" t="s">
        <v>115</v>
      </c>
      <c r="H171" s="41">
        <v>46076</v>
      </c>
      <c r="I171" s="41">
        <v>46077</v>
      </c>
      <c r="J171" s="41">
        <v>46077</v>
      </c>
      <c r="K171" s="27" t="str">
        <f>IF(Table6[[#This Row],[Finish Date]]=0,"On process","Close")</f>
        <v>Close</v>
      </c>
      <c r="L171" s="27" t="str">
        <f>IF(Table6[[#This Row],[Status]]="On process",IF($H$2&gt;Table6[[#This Row],[Target Date]],"Overdue","On time"),"Closed")</f>
        <v>Closed</v>
      </c>
      <c r="M171" s="27" t="str" cm="1">
        <f t="array" ref="M171">_xlfn.IFS(Table6[[#This Row],[Finish Date]]=0,"",Table6[[#This Row],[Finish Date]]&gt;Table6[[#This Row],[Target Date]],"Delay",Table6[[#This Row],[Finish Date]]&lt;=Table6[[#This Row],[Target Date]],"On Time")</f>
        <v>On Time</v>
      </c>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row>
    <row r="172" spans="1:41" ht="21" hidden="1" customHeight="1">
      <c r="A172" s="27">
        <f>WEEKNUM(Table6[[#This Row],[Start Date]])</f>
        <v>9</v>
      </c>
      <c r="B172" s="27" t="str">
        <f>TEXT(Table6[[#This Row],[Start Date]],"mmm")</f>
        <v>Feb</v>
      </c>
      <c r="C172" s="27" t="str">
        <f>_xlfn.IFNA(INDEX(Refer!$B$5:$B$103,MATCH(Table6[[#This Row],[TASK]],Refer!$C$5:$C$103,0)),"")</f>
        <v>RFQ</v>
      </c>
      <c r="D172" s="79" t="s">
        <v>123</v>
      </c>
      <c r="E172" s="79" t="s">
        <v>253</v>
      </c>
      <c r="F172" s="82" t="s">
        <v>254</v>
      </c>
      <c r="G172" s="27" t="s">
        <v>115</v>
      </c>
      <c r="H172" s="41">
        <v>46077</v>
      </c>
      <c r="I172" s="41">
        <v>46078</v>
      </c>
      <c r="J172" s="41">
        <v>46077</v>
      </c>
      <c r="K172" s="27" t="str">
        <f>IF(Table6[[#This Row],[Finish Date]]=0,"On process","Close")</f>
        <v>Close</v>
      </c>
      <c r="L172" s="27" t="str">
        <f>IF(Table6[[#This Row],[Status]]="On process",IF($H$2&gt;Table6[[#This Row],[Target Date]],"Overdue","On time"),"Closed")</f>
        <v>Closed</v>
      </c>
      <c r="M172" s="27" t="str" cm="1">
        <f t="array" ref="M172">_xlfn.IFS(Table6[[#This Row],[Finish Date]]=0,"",Table6[[#This Row],[Finish Date]]&gt;Table6[[#This Row],[Target Date]],"Delay",Table6[[#This Row],[Finish Date]]&lt;=Table6[[#This Row],[Target Date]],"On Time")</f>
        <v>On Time</v>
      </c>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row>
    <row r="173" spans="1:41" ht="21" hidden="1" customHeight="1">
      <c r="A173" s="27">
        <f>WEEKNUM(Table6[[#This Row],[Start Date]])</f>
        <v>9</v>
      </c>
      <c r="B173" s="27" t="str">
        <f>TEXT(Table6[[#This Row],[Start Date]],"mmm")</f>
        <v>Feb</v>
      </c>
      <c r="C173" s="27" t="str">
        <f>_xlfn.IFNA(INDEX(Refer!$B$5:$B$103,MATCH(Table6[[#This Row],[TASK]],Refer!$C$5:$C$103,0)),"")</f>
        <v>PACKING</v>
      </c>
      <c r="D173" s="79" t="s">
        <v>112</v>
      </c>
      <c r="E173" s="79" t="s">
        <v>255</v>
      </c>
      <c r="F173" s="82" t="s">
        <v>177</v>
      </c>
      <c r="G173" s="27" t="s">
        <v>115</v>
      </c>
      <c r="H173" s="41">
        <v>46077</v>
      </c>
      <c r="I173" s="41">
        <v>46078</v>
      </c>
      <c r="J173" s="41">
        <v>46078</v>
      </c>
      <c r="K173" s="27" t="str">
        <f>IF(Table6[[#This Row],[Finish Date]]=0,"On process","Close")</f>
        <v>Close</v>
      </c>
      <c r="L173" s="27" t="str">
        <f>IF(Table6[[#This Row],[Status]]="On process",IF($H$2&gt;Table6[[#This Row],[Target Date]],"Overdue","On time"),"Closed")</f>
        <v>Closed</v>
      </c>
      <c r="M173" s="27" t="str" cm="1">
        <f t="array" ref="M173">_xlfn.IFS(Table6[[#This Row],[Finish Date]]=0,"",Table6[[#This Row],[Finish Date]]&gt;Table6[[#This Row],[Target Date]],"Delay",Table6[[#This Row],[Finish Date]]&lt;=Table6[[#This Row],[Target Date]],"On Time")</f>
        <v>On Time</v>
      </c>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row>
    <row r="174" spans="1:41" ht="21" hidden="1" customHeight="1">
      <c r="A174" s="27">
        <f>WEEKNUM(Table6[[#This Row],[Start Date]])</f>
        <v>9</v>
      </c>
      <c r="B174" s="27" t="str">
        <f>TEXT(Table6[[#This Row],[Start Date]],"mmm")</f>
        <v>Feb</v>
      </c>
      <c r="C174" s="27" t="str">
        <f>_xlfn.IFNA(INDEX(Refer!$B$5:$B$103,MATCH(Table6[[#This Row],[TASK]],Refer!$C$5:$C$103,0)),"")</f>
        <v>RFQ</v>
      </c>
      <c r="D174" s="79" t="s">
        <v>123</v>
      </c>
      <c r="E174" s="79" t="s">
        <v>256</v>
      </c>
      <c r="F174" s="82" t="s">
        <v>206</v>
      </c>
      <c r="G174" s="27" t="s">
        <v>115</v>
      </c>
      <c r="H174" s="41">
        <v>46079</v>
      </c>
      <c r="I174" s="41">
        <v>46080</v>
      </c>
      <c r="J174" s="41">
        <v>46079</v>
      </c>
      <c r="K174" s="27" t="str">
        <f>IF(Table6[[#This Row],[Finish Date]]=0,"On process","Close")</f>
        <v>Close</v>
      </c>
      <c r="L174" s="27" t="str">
        <f>IF(Table6[[#This Row],[Status]]="On process",IF($H$2&gt;Table6[[#This Row],[Target Date]],"Overdue","On time"),"Closed")</f>
        <v>Closed</v>
      </c>
      <c r="M174" s="27" t="str" cm="1">
        <f t="array" ref="M174">_xlfn.IFS(Table6[[#This Row],[Finish Date]]=0,"",Table6[[#This Row],[Finish Date]]&gt;Table6[[#This Row],[Target Date]],"Delay",Table6[[#This Row],[Finish Date]]&lt;=Table6[[#This Row],[Target Date]],"On Time")</f>
        <v>On Time</v>
      </c>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row>
    <row r="175" spans="1:41" ht="21" hidden="1" customHeight="1">
      <c r="A175" s="27">
        <f>WEEKNUM(Table6[[#This Row],[Start Date]])</f>
        <v>9</v>
      </c>
      <c r="B175" s="27" t="str">
        <f>TEXT(Table6[[#This Row],[Start Date]],"mmm")</f>
        <v>Feb</v>
      </c>
      <c r="C175" s="27" t="str">
        <f>_xlfn.IFNA(INDEX(Refer!$B$5:$B$103,MATCH(Table6[[#This Row],[TASK]],Refer!$C$5:$C$103,0)),"")</f>
        <v>PACKING</v>
      </c>
      <c r="D175" s="79" t="s">
        <v>112</v>
      </c>
      <c r="E175" s="79" t="s">
        <v>257</v>
      </c>
      <c r="F175" s="82" t="s">
        <v>95</v>
      </c>
      <c r="G175" s="27" t="s">
        <v>115</v>
      </c>
      <c r="H175" s="41">
        <v>46080</v>
      </c>
      <c r="I175" s="41">
        <v>46080</v>
      </c>
      <c r="J175" s="41">
        <v>46080</v>
      </c>
      <c r="K175" s="27" t="str">
        <f>IF(Table6[[#This Row],[Finish Date]]=0,"On process","Close")</f>
        <v>Close</v>
      </c>
      <c r="L175" s="27" t="str">
        <f>IF(Table6[[#This Row],[Status]]="On process",IF($H$2&gt;Table6[[#This Row],[Target Date]],"Overdue","On time"),"Closed")</f>
        <v>Closed</v>
      </c>
      <c r="M175" s="27" t="str" cm="1">
        <f t="array" ref="M175">_xlfn.IFS(Table6[[#This Row],[Finish Date]]=0,"",Table6[[#This Row],[Finish Date]]&gt;Table6[[#This Row],[Target Date]],"Delay",Table6[[#This Row],[Finish Date]]&lt;=Table6[[#This Row],[Target Date]],"On Time")</f>
        <v>On Time</v>
      </c>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row>
    <row r="176" spans="1:41" ht="21" hidden="1" customHeight="1">
      <c r="A176" s="27">
        <f>WEEKNUM(Table6[[#This Row],[Start Date]])</f>
        <v>8</v>
      </c>
      <c r="B176" s="27" t="str">
        <f>TEXT(Table6[[#This Row],[Start Date]],"mmm")</f>
        <v>Feb</v>
      </c>
      <c r="C176" s="27" t="str">
        <f>_xlfn.IFNA(INDEX(Refer!$B$5:$B$103,MATCH(Table6[[#This Row],[TASK]],Refer!$C$5:$C$103,0)),"")</f>
        <v>MEETING</v>
      </c>
      <c r="D176" s="79" t="s">
        <v>72</v>
      </c>
      <c r="E176" s="79" t="s">
        <v>236</v>
      </c>
      <c r="F176" s="82" t="s">
        <v>66</v>
      </c>
      <c r="G176" s="27" t="s">
        <v>64</v>
      </c>
      <c r="H176" s="41">
        <v>46072</v>
      </c>
      <c r="I176" s="41">
        <v>46072</v>
      </c>
      <c r="J176" s="41">
        <v>46072</v>
      </c>
      <c r="K176" s="27" t="str">
        <f>IF(Table6[[#This Row],[Finish Date]]=0,"On process","Close")</f>
        <v>Close</v>
      </c>
      <c r="L176" s="27" t="str">
        <f>IF(Table6[[#This Row],[Status]]="On process",IF($H$2&gt;Table6[[#This Row],[Target Date]],"Overdue","On time"),"Closed")</f>
        <v>Closed</v>
      </c>
      <c r="M176" s="27" t="str" cm="1">
        <f t="array" ref="M176">_xlfn.IFS(Table6[[#This Row],[Finish Date]]=0,"",Table6[[#This Row],[Finish Date]]&gt;Table6[[#This Row],[Target Date]],"Delay",Table6[[#This Row],[Finish Date]]&lt;=Table6[[#This Row],[Target Date]],"On Time")</f>
        <v>On Time</v>
      </c>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row>
    <row r="177" spans="1:41" ht="21" hidden="1" customHeight="1">
      <c r="A177" s="27">
        <f>WEEKNUM(Table6[[#This Row],[Start Date]])</f>
        <v>8</v>
      </c>
      <c r="B177" s="27" t="str">
        <f>TEXT(Table6[[#This Row],[Start Date]],"mmm")</f>
        <v>Feb</v>
      </c>
      <c r="C177" s="27" t="str">
        <f>_xlfn.IFNA(INDEX(Refer!$B$5:$B$103,MATCH(Table6[[#This Row],[TASK]],Refer!$C$5:$C$103,0)),"")</f>
        <v>DFM Mold</v>
      </c>
      <c r="D177" s="79" t="s">
        <v>99</v>
      </c>
      <c r="E177" s="79" t="s">
        <v>258</v>
      </c>
      <c r="F177" s="82" t="s">
        <v>138</v>
      </c>
      <c r="G177" s="27" t="s">
        <v>64</v>
      </c>
      <c r="H177" s="41">
        <v>46071</v>
      </c>
      <c r="I177" s="41">
        <v>46071</v>
      </c>
      <c r="J177" s="41">
        <v>46071</v>
      </c>
      <c r="K177" s="27" t="str">
        <f>IF(Table6[[#This Row],[Finish Date]]=0,"On process","Close")</f>
        <v>Close</v>
      </c>
      <c r="L177" s="27" t="str">
        <f>IF(Table6[[#This Row],[Status]]="On process",IF($H$2&gt;Table6[[#This Row],[Target Date]],"Overdue","On time"),"Closed")</f>
        <v>Closed</v>
      </c>
      <c r="M177" s="27" t="str" cm="1">
        <f t="array" ref="M177">_xlfn.IFS(Table6[[#This Row],[Finish Date]]=0,"",Table6[[#This Row],[Finish Date]]&gt;Table6[[#This Row],[Target Date]],"Delay",Table6[[#This Row],[Finish Date]]&lt;=Table6[[#This Row],[Target Date]],"On Time")</f>
        <v>On Time</v>
      </c>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row>
    <row r="178" spans="1:41" ht="21" hidden="1" customHeight="1">
      <c r="A178" s="27">
        <f>WEEKNUM(Table6[[#This Row],[Start Date]])</f>
        <v>8</v>
      </c>
      <c r="B178" s="27" t="str">
        <f>TEXT(Table6[[#This Row],[Start Date]],"mmm")</f>
        <v>Feb</v>
      </c>
      <c r="C178" s="27" t="str">
        <f>_xlfn.IFNA(INDEX(Refer!$B$5:$B$103,MATCH(Table6[[#This Row],[TASK]],Refer!$C$5:$C$103,0)),"")</f>
        <v>NPI</v>
      </c>
      <c r="D178" s="79" t="s">
        <v>61</v>
      </c>
      <c r="E178" s="79" t="s">
        <v>259</v>
      </c>
      <c r="F178" s="82" t="s">
        <v>138</v>
      </c>
      <c r="G178" s="27" t="s">
        <v>64</v>
      </c>
      <c r="H178" s="41">
        <v>46071</v>
      </c>
      <c r="I178" s="41">
        <v>46071</v>
      </c>
      <c r="J178" s="41">
        <v>46071</v>
      </c>
      <c r="K178" s="27" t="str">
        <f>IF(Table6[[#This Row],[Finish Date]]=0,"On process","Close")</f>
        <v>Close</v>
      </c>
      <c r="L178" s="27" t="str">
        <f>IF(Table6[[#This Row],[Status]]="On process",IF($H$2&gt;Table6[[#This Row],[Target Date]],"Overdue","On time"),"Closed")</f>
        <v>Closed</v>
      </c>
      <c r="M178" s="27" t="str" cm="1">
        <f t="array" ref="M178">_xlfn.IFS(Table6[[#This Row],[Finish Date]]=0,"",Table6[[#This Row],[Finish Date]]&gt;Table6[[#This Row],[Target Date]],"Delay",Table6[[#This Row],[Finish Date]]&lt;=Table6[[#This Row],[Target Date]],"On Time")</f>
        <v>On Time</v>
      </c>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row>
    <row r="179" spans="1:41" ht="21" hidden="1" customHeight="1">
      <c r="A179" s="27">
        <f>WEEKNUM(Table6[[#This Row],[Start Date]])</f>
        <v>8</v>
      </c>
      <c r="B179" s="27" t="str">
        <f>TEXT(Table6[[#This Row],[Start Date]],"mmm")</f>
        <v>Feb</v>
      </c>
      <c r="C179" s="27" t="str">
        <f>_xlfn.IFNA(INDEX(Refer!$B$5:$B$103,MATCH(Table6[[#This Row],[TASK]],Refer!$C$5:$C$103,0)),"")</f>
        <v>NPI</v>
      </c>
      <c r="D179" s="79" t="s">
        <v>118</v>
      </c>
      <c r="E179" s="79" t="s">
        <v>260</v>
      </c>
      <c r="F179" s="82" t="s">
        <v>63</v>
      </c>
      <c r="G179" s="27" t="s">
        <v>64</v>
      </c>
      <c r="H179" s="41">
        <v>46071</v>
      </c>
      <c r="I179" s="41">
        <v>46071</v>
      </c>
      <c r="J179" s="41">
        <v>46071</v>
      </c>
      <c r="K179" s="27" t="str">
        <f>IF(Table6[[#This Row],[Finish Date]]=0,"On process","Close")</f>
        <v>Close</v>
      </c>
      <c r="L179" s="27" t="str">
        <f>IF(Table6[[#This Row],[Status]]="On process",IF($H$2&gt;Table6[[#This Row],[Target Date]],"Overdue","On time"),"Closed")</f>
        <v>Closed</v>
      </c>
      <c r="M179" s="27" t="str" cm="1">
        <f t="array" ref="M179">_xlfn.IFS(Table6[[#This Row],[Finish Date]]=0,"",Table6[[#This Row],[Finish Date]]&gt;Table6[[#This Row],[Target Date]],"Delay",Table6[[#This Row],[Finish Date]]&lt;=Table6[[#This Row],[Target Date]],"On Time")</f>
        <v>On Time</v>
      </c>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row>
    <row r="180" spans="1:41" ht="21" hidden="1" customHeight="1">
      <c r="A180" s="27">
        <f>WEEKNUM(Table6[[#This Row],[Start Date]])</f>
        <v>8</v>
      </c>
      <c r="B180" s="27" t="str">
        <f>TEXT(Table6[[#This Row],[Start Date]],"mmm")</f>
        <v>Feb</v>
      </c>
      <c r="C180" s="27" t="str">
        <f>_xlfn.IFNA(INDEX(Refer!$B$5:$B$103,MATCH(Table6[[#This Row],[TASK]],Refer!$C$5:$C$103,0)),"")</f>
        <v>NPI</v>
      </c>
      <c r="D180" s="79" t="s">
        <v>61</v>
      </c>
      <c r="E180" s="85" t="s">
        <v>261</v>
      </c>
      <c r="F180" s="82" t="s">
        <v>95</v>
      </c>
      <c r="G180" s="27" t="s">
        <v>64</v>
      </c>
      <c r="H180" s="41">
        <v>46071</v>
      </c>
      <c r="I180" s="41">
        <v>46071</v>
      </c>
      <c r="J180" s="41">
        <v>46071</v>
      </c>
      <c r="K180" s="27" t="str">
        <f>IF(Table6[[#This Row],[Finish Date]]=0,"On process","Close")</f>
        <v>Close</v>
      </c>
      <c r="L180" s="27" t="str">
        <f>IF(Table6[[#This Row],[Status]]="On process",IF($H$2&gt;Table6[[#This Row],[Target Date]],"Overdue","On time"),"Closed")</f>
        <v>Closed</v>
      </c>
      <c r="M180" s="27" t="str" cm="1">
        <f t="array" ref="M180">_xlfn.IFS(Table6[[#This Row],[Finish Date]]=0,"",Table6[[#This Row],[Finish Date]]&gt;Table6[[#This Row],[Target Date]],"Delay",Table6[[#This Row],[Finish Date]]&lt;=Table6[[#This Row],[Target Date]],"On Time")</f>
        <v>On Time</v>
      </c>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row>
    <row r="181" spans="1:41" ht="21" hidden="1" customHeight="1">
      <c r="A181" s="27">
        <f>WEEKNUM(Table6[[#This Row],[Start Date]])</f>
        <v>8</v>
      </c>
      <c r="B181" s="27" t="str">
        <f>TEXT(Table6[[#This Row],[Start Date]],"mmm")</f>
        <v>Feb</v>
      </c>
      <c r="C181" s="27" t="str">
        <f>_xlfn.IFNA(INDEX(Refer!$B$5:$B$103,MATCH(Table6[[#This Row],[TASK]],Refer!$C$5:$C$103,0)),"")</f>
        <v>OTHER</v>
      </c>
      <c r="D181" s="79" t="s">
        <v>262</v>
      </c>
      <c r="E181" s="79" t="s">
        <v>263</v>
      </c>
      <c r="F181" s="82"/>
      <c r="G181" s="27" t="s">
        <v>64</v>
      </c>
      <c r="H181" s="41">
        <v>46071</v>
      </c>
      <c r="I181" s="41">
        <v>46071</v>
      </c>
      <c r="J181" s="41">
        <v>46071</v>
      </c>
      <c r="K181" s="27" t="str">
        <f>IF(Table6[[#This Row],[Finish Date]]=0,"On process","Close")</f>
        <v>Close</v>
      </c>
      <c r="L181" s="27" t="str">
        <f>IF(Table6[[#This Row],[Status]]="On process",IF($H$2&gt;Table6[[#This Row],[Target Date]],"Overdue","On time"),"Closed")</f>
        <v>Closed</v>
      </c>
      <c r="M181" s="27" t="str" cm="1">
        <f t="array" ref="M181">_xlfn.IFS(Table6[[#This Row],[Finish Date]]=0,"",Table6[[#This Row],[Finish Date]]&gt;Table6[[#This Row],[Target Date]],"Delay",Table6[[#This Row],[Finish Date]]&lt;=Table6[[#This Row],[Target Date]],"On Time")</f>
        <v>On Time</v>
      </c>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row>
    <row r="182" spans="1:41" ht="21" hidden="1" customHeight="1">
      <c r="A182" s="27">
        <f>WEEKNUM(Table6[[#This Row],[Start Date]])</f>
        <v>8</v>
      </c>
      <c r="B182" s="27" t="str">
        <f>TEXT(Table6[[#This Row],[Start Date]],"mmm")</f>
        <v>Feb</v>
      </c>
      <c r="C182" s="27" t="str">
        <f>_xlfn.IFNA(INDEX(Refer!$B$5:$B$103,MATCH(Table6[[#This Row],[TASK]],Refer!$C$5:$C$103,0)),"")</f>
        <v>MEETING</v>
      </c>
      <c r="D182" s="79" t="s">
        <v>72</v>
      </c>
      <c r="E182" s="79" t="s">
        <v>98</v>
      </c>
      <c r="F182" s="82" t="s">
        <v>63</v>
      </c>
      <c r="G182" s="27" t="s">
        <v>64</v>
      </c>
      <c r="H182" s="41">
        <v>46072</v>
      </c>
      <c r="I182" s="41">
        <v>46072</v>
      </c>
      <c r="J182" s="41">
        <v>46072</v>
      </c>
      <c r="K182" s="27" t="str">
        <f>IF(Table6[[#This Row],[Finish Date]]=0,"On process","Close")</f>
        <v>Close</v>
      </c>
      <c r="L182" s="27" t="str">
        <f>IF(Table6[[#This Row],[Status]]="On process",IF($H$2&gt;Table6[[#This Row],[Target Date]],"Overdue","On time"),"Closed")</f>
        <v>Closed</v>
      </c>
      <c r="M182" s="27" t="str" cm="1">
        <f t="array" ref="M182">_xlfn.IFS(Table6[[#This Row],[Finish Date]]=0,"",Table6[[#This Row],[Finish Date]]&gt;Table6[[#This Row],[Target Date]],"Delay",Table6[[#This Row],[Finish Date]]&lt;=Table6[[#This Row],[Target Date]],"On Time")</f>
        <v>On Time</v>
      </c>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row>
    <row r="183" spans="1:41" ht="21" hidden="1" customHeight="1">
      <c r="A183" s="27">
        <f>WEEKNUM(Table6[[#This Row],[Start Date]])</f>
        <v>8</v>
      </c>
      <c r="B183" s="27" t="str">
        <f>TEXT(Table6[[#This Row],[Start Date]],"mmm")</f>
        <v>Feb</v>
      </c>
      <c r="C183" s="27" t="str">
        <f>_xlfn.IFNA(INDEX(Refer!$B$5:$B$103,MATCH(Table6[[#This Row],[TASK]],Refer!$C$5:$C$103,0)),"")</f>
        <v>DFA</v>
      </c>
      <c r="D183" s="79" t="s">
        <v>264</v>
      </c>
      <c r="E183" s="79" t="s">
        <v>265</v>
      </c>
      <c r="F183" s="82" t="s">
        <v>66</v>
      </c>
      <c r="G183" s="27" t="s">
        <v>64</v>
      </c>
      <c r="H183" s="41">
        <v>46071</v>
      </c>
      <c r="I183" s="41">
        <v>46073</v>
      </c>
      <c r="J183" s="41">
        <v>46073</v>
      </c>
      <c r="K183" s="27" t="str">
        <f>IF(Table6[[#This Row],[Finish Date]]=0,"On process","Close")</f>
        <v>Close</v>
      </c>
      <c r="L183" s="27" t="str">
        <f>IF(Table6[[#This Row],[Status]]="On process",IF($H$2&gt;Table6[[#This Row],[Target Date]],"Overdue","On time"),"Closed")</f>
        <v>Closed</v>
      </c>
      <c r="M183" s="27" t="str" cm="1">
        <f t="array" ref="M183">_xlfn.IFS(Table6[[#This Row],[Finish Date]]=0,"",Table6[[#This Row],[Finish Date]]&gt;Table6[[#This Row],[Target Date]],"Delay",Table6[[#This Row],[Finish Date]]&lt;=Table6[[#This Row],[Target Date]],"On Time")</f>
        <v>On Time</v>
      </c>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row>
    <row r="184" spans="1:41" ht="21" hidden="1" customHeight="1">
      <c r="A184" s="27">
        <f>WEEKNUM(Table6[[#This Row],[Start Date]])</f>
        <v>8</v>
      </c>
      <c r="B184" s="27" t="str">
        <f>TEXT(Table6[[#This Row],[Start Date]],"mmm")</f>
        <v>Feb</v>
      </c>
      <c r="C184" s="27" t="str">
        <f>_xlfn.IFNA(INDEX(Refer!$B$5:$B$103,MATCH(Table6[[#This Row],[TASK]],Refer!$C$5:$C$103,0)),"")</f>
        <v>DFM Mold</v>
      </c>
      <c r="D184" s="79" t="s">
        <v>99</v>
      </c>
      <c r="E184" s="79" t="s">
        <v>266</v>
      </c>
      <c r="F184" s="82" t="s">
        <v>66</v>
      </c>
      <c r="G184" s="27" t="s">
        <v>64</v>
      </c>
      <c r="H184" s="41">
        <v>46073</v>
      </c>
      <c r="I184" s="41">
        <v>46073</v>
      </c>
      <c r="J184" s="41">
        <v>46073</v>
      </c>
      <c r="K184" s="27" t="str">
        <f>IF(Table6[[#This Row],[Finish Date]]=0,"On process","Close")</f>
        <v>Close</v>
      </c>
      <c r="L184" s="27" t="str">
        <f>IF(Table6[[#This Row],[Status]]="On process",IF($H$2&gt;Table6[[#This Row],[Target Date]],"Overdue","On time"),"Closed")</f>
        <v>Closed</v>
      </c>
      <c r="M184" s="27" t="str" cm="1">
        <f t="array" ref="M184">_xlfn.IFS(Table6[[#This Row],[Finish Date]]=0,"",Table6[[#This Row],[Finish Date]]&gt;Table6[[#This Row],[Target Date]],"Delay",Table6[[#This Row],[Finish Date]]&lt;=Table6[[#This Row],[Target Date]],"On Time")</f>
        <v>On Time</v>
      </c>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row>
    <row r="185" spans="1:41" ht="21" hidden="1" customHeight="1">
      <c r="A185" s="27">
        <f>WEEKNUM(Table6[[#This Row],[Start Date]])</f>
        <v>9</v>
      </c>
      <c r="B185" s="27" t="str">
        <f>TEXT(Table6[[#This Row],[Start Date]],"mmm")</f>
        <v>Feb</v>
      </c>
      <c r="C185" s="27" t="str">
        <f>_xlfn.IFNA(INDEX(Refer!$B$5:$B$103,MATCH(Table6[[#This Row],[TASK]],Refer!$C$5:$C$103,0)),"")</f>
        <v>NPI</v>
      </c>
      <c r="D185" s="79" t="s">
        <v>61</v>
      </c>
      <c r="E185" s="79" t="s">
        <v>267</v>
      </c>
      <c r="F185" s="82" t="s">
        <v>95</v>
      </c>
      <c r="G185" s="27" t="s">
        <v>64</v>
      </c>
      <c r="H185" s="41">
        <v>46076</v>
      </c>
      <c r="I185" s="41">
        <v>46076</v>
      </c>
      <c r="J185" s="41">
        <v>46076</v>
      </c>
      <c r="K185" s="27" t="str">
        <f>IF(Table6[[#This Row],[Finish Date]]=0,"On process","Close")</f>
        <v>Close</v>
      </c>
      <c r="L185" s="27" t="str">
        <f>IF(Table6[[#This Row],[Status]]="On process",IF($H$2&gt;Table6[[#This Row],[Target Date]],"Overdue","On time"),"Closed")</f>
        <v>Closed</v>
      </c>
      <c r="M185" s="27" t="str" cm="1">
        <f t="array" ref="M185">_xlfn.IFS(Table6[[#This Row],[Finish Date]]=0,"",Table6[[#This Row],[Finish Date]]&gt;Table6[[#This Row],[Target Date]],"Delay",Table6[[#This Row],[Finish Date]]&lt;=Table6[[#This Row],[Target Date]],"On Time")</f>
        <v>On Time</v>
      </c>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row>
    <row r="186" spans="1:41" ht="21" hidden="1" customHeight="1">
      <c r="A186" s="27">
        <f>WEEKNUM(Table6[[#This Row],[Start Date]])</f>
        <v>9</v>
      </c>
      <c r="B186" s="27" t="str">
        <f>TEXT(Table6[[#This Row],[Start Date]],"mmm")</f>
        <v>Feb</v>
      </c>
      <c r="C186" s="27" t="str">
        <f>_xlfn.IFNA(INDEX(Refer!$B$5:$B$103,MATCH(Table6[[#This Row],[TASK]],Refer!$C$5:$C$103,0)),"")</f>
        <v>NPI</v>
      </c>
      <c r="D186" s="79" t="s">
        <v>61</v>
      </c>
      <c r="E186" s="79" t="s">
        <v>268</v>
      </c>
      <c r="F186" s="82" t="s">
        <v>66</v>
      </c>
      <c r="G186" s="27" t="s">
        <v>64</v>
      </c>
      <c r="H186" s="41">
        <v>46077</v>
      </c>
      <c r="I186" s="41">
        <v>46077</v>
      </c>
      <c r="J186" s="41">
        <v>46077</v>
      </c>
      <c r="K186" s="27" t="str">
        <f>IF(Table6[[#This Row],[Finish Date]]=0,"On process","Close")</f>
        <v>Close</v>
      </c>
      <c r="L186" s="27" t="str">
        <f>IF(Table6[[#This Row],[Status]]="On process",IF($H$2&gt;Table6[[#This Row],[Target Date]],"Overdue","On time"),"Closed")</f>
        <v>Closed</v>
      </c>
      <c r="M186" s="27" t="str" cm="1">
        <f t="array" ref="M186">_xlfn.IFS(Table6[[#This Row],[Finish Date]]=0,"",Table6[[#This Row],[Finish Date]]&gt;Table6[[#This Row],[Target Date]],"Delay",Table6[[#This Row],[Finish Date]]&lt;=Table6[[#This Row],[Target Date]],"On Time")</f>
        <v>On Time</v>
      </c>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row>
    <row r="187" spans="1:41" ht="21" hidden="1" customHeight="1">
      <c r="A187" s="27">
        <f>WEEKNUM(Table6[[#This Row],[Start Date]])</f>
        <v>9</v>
      </c>
      <c r="B187" s="27" t="str">
        <f>TEXT(Table6[[#This Row],[Start Date]],"mmm")</f>
        <v>Feb</v>
      </c>
      <c r="C187" s="27" t="str">
        <f>_xlfn.IFNA(INDEX(Refer!$B$5:$B$103,MATCH(Table6[[#This Row],[TASK]],Refer!$C$5:$C$103,0)),"")</f>
        <v>NPI</v>
      </c>
      <c r="D187" s="79" t="s">
        <v>61</v>
      </c>
      <c r="E187" s="79" t="s">
        <v>269</v>
      </c>
      <c r="F187" s="82" t="s">
        <v>138</v>
      </c>
      <c r="G187" s="27" t="s">
        <v>64</v>
      </c>
      <c r="H187" s="41">
        <v>46077</v>
      </c>
      <c r="I187" s="41">
        <v>46077</v>
      </c>
      <c r="J187" s="41">
        <v>46077</v>
      </c>
      <c r="K187" s="27" t="str">
        <f>IF(Table6[[#This Row],[Finish Date]]=0,"On process","Close")</f>
        <v>Close</v>
      </c>
      <c r="L187" s="27" t="str">
        <f>IF(Table6[[#This Row],[Status]]="On process",IF($H$2&gt;Table6[[#This Row],[Target Date]],"Overdue","On time"),"Closed")</f>
        <v>Closed</v>
      </c>
      <c r="M187" s="27" t="str" cm="1">
        <f t="array" ref="M187">_xlfn.IFS(Table6[[#This Row],[Finish Date]]=0,"",Table6[[#This Row],[Finish Date]]&gt;Table6[[#This Row],[Target Date]],"Delay",Table6[[#This Row],[Finish Date]]&lt;=Table6[[#This Row],[Target Date]],"On Time")</f>
        <v>On Time</v>
      </c>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row>
    <row r="188" spans="1:41" ht="21" hidden="1" customHeight="1">
      <c r="A188" s="27">
        <f>WEEKNUM(Table6[[#This Row],[Start Date]])</f>
        <v>9</v>
      </c>
      <c r="B188" s="27" t="str">
        <f>TEXT(Table6[[#This Row],[Start Date]],"mmm")</f>
        <v>Feb</v>
      </c>
      <c r="C188" s="27" t="str">
        <f>_xlfn.IFNA(INDEX(Refer!$B$5:$B$103,MATCH(Table6[[#This Row],[TASK]],Refer!$C$5:$C$103,0)),"")</f>
        <v>NPI</v>
      </c>
      <c r="D188" s="79" t="s">
        <v>61</v>
      </c>
      <c r="E188" s="79" t="s">
        <v>270</v>
      </c>
      <c r="F188" s="82" t="s">
        <v>66</v>
      </c>
      <c r="G188" s="27" t="s">
        <v>64</v>
      </c>
      <c r="H188" s="41">
        <v>46077</v>
      </c>
      <c r="I188" s="41">
        <v>46077</v>
      </c>
      <c r="J188" s="41">
        <v>46077</v>
      </c>
      <c r="K188" s="27" t="str">
        <f>IF(Table6[[#This Row],[Finish Date]]=0,"On process","Close")</f>
        <v>Close</v>
      </c>
      <c r="L188" s="27" t="str">
        <f>IF(Table6[[#This Row],[Status]]="On process",IF($H$2&gt;Table6[[#This Row],[Target Date]],"Overdue","On time"),"Closed")</f>
        <v>Closed</v>
      </c>
      <c r="M188" s="27" t="str" cm="1">
        <f t="array" ref="M188">_xlfn.IFS(Table6[[#This Row],[Finish Date]]=0,"",Table6[[#This Row],[Finish Date]]&gt;Table6[[#This Row],[Target Date]],"Delay",Table6[[#This Row],[Finish Date]]&lt;=Table6[[#This Row],[Target Date]],"On Time")</f>
        <v>On Time</v>
      </c>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row>
    <row r="189" spans="1:41" ht="21" hidden="1" customHeight="1">
      <c r="A189" s="27">
        <f>WEEKNUM(Table6[[#This Row],[Start Date]])</f>
        <v>9</v>
      </c>
      <c r="B189" s="27" t="str">
        <f>TEXT(Table6[[#This Row],[Start Date]],"mmm")</f>
        <v>Feb</v>
      </c>
      <c r="C189" s="27" t="str">
        <f>_xlfn.IFNA(INDEX(Refer!$B$5:$B$103,MATCH(Table6[[#This Row],[TASK]],Refer!$C$5:$C$103,0)),"")</f>
        <v>NPI</v>
      </c>
      <c r="D189" s="79" t="s">
        <v>61</v>
      </c>
      <c r="E189" s="79" t="s">
        <v>271</v>
      </c>
      <c r="F189" s="82" t="s">
        <v>63</v>
      </c>
      <c r="G189" s="27" t="s">
        <v>64</v>
      </c>
      <c r="H189" s="41">
        <v>46078</v>
      </c>
      <c r="I189" s="41">
        <v>46078</v>
      </c>
      <c r="J189" s="41">
        <v>46078</v>
      </c>
      <c r="K189" s="27" t="str">
        <f>IF(Table6[[#This Row],[Finish Date]]=0,"On process","Close")</f>
        <v>Close</v>
      </c>
      <c r="L189" s="27" t="str">
        <f>IF(Table6[[#This Row],[Status]]="On process",IF($H$2&gt;Table6[[#This Row],[Target Date]],"Overdue","On time"),"Closed")</f>
        <v>Closed</v>
      </c>
      <c r="M189" s="27" t="str" cm="1">
        <f t="array" ref="M189">_xlfn.IFS(Table6[[#This Row],[Finish Date]]=0,"",Table6[[#This Row],[Finish Date]]&gt;Table6[[#This Row],[Target Date]],"Delay",Table6[[#This Row],[Finish Date]]&lt;=Table6[[#This Row],[Target Date]],"On Time")</f>
        <v>On Time</v>
      </c>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row>
    <row r="190" spans="1:41" ht="21" hidden="1" customHeight="1">
      <c r="A190" s="27">
        <f>WEEKNUM(Table6[[#This Row],[Start Date]])</f>
        <v>9</v>
      </c>
      <c r="B190" s="27" t="str">
        <f>TEXT(Table6[[#This Row],[Start Date]],"mmm")</f>
        <v>Feb</v>
      </c>
      <c r="C190" s="27" t="str">
        <f>_xlfn.IFNA(INDEX(Refer!$B$5:$B$103,MATCH(Table6[[#This Row],[TASK]],Refer!$C$5:$C$103,0)),"")</f>
        <v>NPI</v>
      </c>
      <c r="D190" s="79" t="s">
        <v>61</v>
      </c>
      <c r="E190" s="79" t="s">
        <v>272</v>
      </c>
      <c r="F190" s="82" t="s">
        <v>63</v>
      </c>
      <c r="G190" s="27" t="s">
        <v>64</v>
      </c>
      <c r="H190" s="41">
        <v>46078</v>
      </c>
      <c r="I190" s="41">
        <v>46078</v>
      </c>
      <c r="J190" s="41">
        <v>46078</v>
      </c>
      <c r="K190" s="27" t="str">
        <f>IF(Table6[[#This Row],[Finish Date]]=0,"On process","Close")</f>
        <v>Close</v>
      </c>
      <c r="L190" s="27" t="str">
        <f>IF(Table6[[#This Row],[Status]]="On process",IF($H$2&gt;Table6[[#This Row],[Target Date]],"Overdue","On time"),"Closed")</f>
        <v>Closed</v>
      </c>
      <c r="M190" s="27" t="str" cm="1">
        <f t="array" ref="M190">_xlfn.IFS(Table6[[#This Row],[Finish Date]]=0,"",Table6[[#This Row],[Finish Date]]&gt;Table6[[#This Row],[Target Date]],"Delay",Table6[[#This Row],[Finish Date]]&lt;=Table6[[#This Row],[Target Date]],"On Time")</f>
        <v>On Time</v>
      </c>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row>
    <row r="191" spans="1:41" ht="21" hidden="1" customHeight="1">
      <c r="A191" s="27">
        <f>WEEKNUM(Table6[[#This Row],[Start Date]])</f>
        <v>9</v>
      </c>
      <c r="B191" s="27" t="str">
        <f>TEXT(Table6[[#This Row],[Start Date]],"mmm")</f>
        <v>Feb</v>
      </c>
      <c r="C191" s="27" t="str">
        <f>_xlfn.IFNA(INDEX(Refer!$B$5:$B$103,MATCH(Table6[[#This Row],[TASK]],Refer!$C$5:$C$103,0)),"")</f>
        <v>NPI</v>
      </c>
      <c r="D191" s="79" t="s">
        <v>61</v>
      </c>
      <c r="E191" s="79" t="s">
        <v>273</v>
      </c>
      <c r="F191" s="82" t="s">
        <v>63</v>
      </c>
      <c r="G191" s="27" t="s">
        <v>64</v>
      </c>
      <c r="H191" s="41">
        <v>46076</v>
      </c>
      <c r="I191" s="41">
        <v>46079</v>
      </c>
      <c r="J191" s="41">
        <v>46079</v>
      </c>
      <c r="K191" s="27" t="str">
        <f>IF(Table6[[#This Row],[Finish Date]]=0,"On process","Close")</f>
        <v>Close</v>
      </c>
      <c r="L191" s="27" t="str">
        <f>IF(Table6[[#This Row],[Status]]="On process",IF($H$2&gt;Table6[[#This Row],[Target Date]],"Overdue","On time"),"Closed")</f>
        <v>Closed</v>
      </c>
      <c r="M191" s="27" t="str" cm="1">
        <f t="array" ref="M191">_xlfn.IFS(Table6[[#This Row],[Finish Date]]=0,"",Table6[[#This Row],[Finish Date]]&gt;Table6[[#This Row],[Target Date]],"Delay",Table6[[#This Row],[Finish Date]]&lt;=Table6[[#This Row],[Target Date]],"On Time")</f>
        <v>On Time</v>
      </c>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row>
    <row r="192" spans="1:41" ht="21" hidden="1" customHeight="1">
      <c r="A192" s="27">
        <f>WEEKNUM(Table6[[#This Row],[Start Date]])</f>
        <v>9</v>
      </c>
      <c r="B192" s="27" t="str">
        <f>TEXT(Table6[[#This Row],[Start Date]],"mmm")</f>
        <v>Feb</v>
      </c>
      <c r="C192" s="27" t="str">
        <f>_xlfn.IFNA(INDEX(Refer!$B$5:$B$103,MATCH(Table6[[#This Row],[TASK]],Refer!$C$5:$C$103,0)),"")</f>
        <v>NPI</v>
      </c>
      <c r="D192" s="79" t="s">
        <v>274</v>
      </c>
      <c r="E192" s="79" t="s">
        <v>275</v>
      </c>
      <c r="F192" s="82" t="s">
        <v>63</v>
      </c>
      <c r="G192" s="27" t="s">
        <v>64</v>
      </c>
      <c r="H192" s="41">
        <v>46077</v>
      </c>
      <c r="I192" s="41">
        <v>46079</v>
      </c>
      <c r="J192" s="41">
        <v>46079</v>
      </c>
      <c r="K192" s="27" t="str">
        <f>IF(Table6[[#This Row],[Finish Date]]=0,"On process","Close")</f>
        <v>Close</v>
      </c>
      <c r="L192" s="27" t="str">
        <f>IF(Table6[[#This Row],[Status]]="On process",IF($H$2&gt;Table6[[#This Row],[Target Date]],"Overdue","On time"),"Closed")</f>
        <v>Closed</v>
      </c>
      <c r="M192" s="27" t="str" cm="1">
        <f t="array" ref="M192">_xlfn.IFS(Table6[[#This Row],[Finish Date]]=0,"",Table6[[#This Row],[Finish Date]]&gt;Table6[[#This Row],[Target Date]],"Delay",Table6[[#This Row],[Finish Date]]&lt;=Table6[[#This Row],[Target Date]],"On Time")</f>
        <v>On Time</v>
      </c>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row>
    <row r="193" spans="1:41" ht="21" hidden="1" customHeight="1">
      <c r="A193" s="27">
        <f>WEEKNUM(Table6[[#This Row],[Start Date]])</f>
        <v>9</v>
      </c>
      <c r="B193" s="27" t="str">
        <f>TEXT(Table6[[#This Row],[Start Date]],"mmm")</f>
        <v>Feb</v>
      </c>
      <c r="C193" s="27" t="str">
        <f>_xlfn.IFNA(INDEX(Refer!$B$5:$B$103,MATCH(Table6[[#This Row],[TASK]],Refer!$C$5:$C$103,0)),"")</f>
        <v>NPI</v>
      </c>
      <c r="D193" s="79" t="s">
        <v>61</v>
      </c>
      <c r="E193" s="79" t="s">
        <v>276</v>
      </c>
      <c r="F193" s="82" t="s">
        <v>63</v>
      </c>
      <c r="G193" s="27" t="s">
        <v>64</v>
      </c>
      <c r="H193" s="41">
        <v>46079</v>
      </c>
      <c r="I193" s="41">
        <v>46079</v>
      </c>
      <c r="J193" s="41">
        <v>46079</v>
      </c>
      <c r="K193" s="27" t="str">
        <f>IF(Table6[[#This Row],[Finish Date]]=0,"On process","Close")</f>
        <v>Close</v>
      </c>
      <c r="L193" s="27" t="str">
        <f>IF(Table6[[#This Row],[Status]]="On process",IF($H$2&gt;Table6[[#This Row],[Target Date]],"Overdue","On time"),"Closed")</f>
        <v>Closed</v>
      </c>
      <c r="M193" s="27" t="str" cm="1">
        <f t="array" ref="M193">_xlfn.IFS(Table6[[#This Row],[Finish Date]]=0,"",Table6[[#This Row],[Finish Date]]&gt;Table6[[#This Row],[Target Date]],"Delay",Table6[[#This Row],[Finish Date]]&lt;=Table6[[#This Row],[Target Date]],"On Time")</f>
        <v>On Time</v>
      </c>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row>
    <row r="194" spans="1:41" ht="21" hidden="1" customHeight="1">
      <c r="A194" s="27">
        <f>WEEKNUM(Table6[[#This Row],[Start Date]])</f>
        <v>9</v>
      </c>
      <c r="B194" s="27" t="str">
        <f>TEXT(Table6[[#This Row],[Start Date]],"mmm")</f>
        <v>Feb</v>
      </c>
      <c r="C194" s="27" t="str">
        <f>_xlfn.IFNA(INDEX(Refer!$B$5:$B$103,MATCH(Table6[[#This Row],[TASK]],Refer!$C$5:$C$103,0)),"")</f>
        <v>OTHER</v>
      </c>
      <c r="D194" s="79" t="s">
        <v>262</v>
      </c>
      <c r="E194" s="79" t="s">
        <v>263</v>
      </c>
      <c r="F194" s="82"/>
      <c r="G194" s="27" t="s">
        <v>64</v>
      </c>
      <c r="H194" s="41">
        <v>46079</v>
      </c>
      <c r="I194" s="41">
        <v>46079</v>
      </c>
      <c r="J194" s="41">
        <v>46079</v>
      </c>
      <c r="K194" s="27" t="str">
        <f>IF(Table6[[#This Row],[Finish Date]]=0,"On process","Close")</f>
        <v>Close</v>
      </c>
      <c r="L194" s="27" t="str">
        <f>IF(Table6[[#This Row],[Status]]="On process",IF($H$2&gt;Table6[[#This Row],[Target Date]],"Overdue","On time"),"Closed")</f>
        <v>Closed</v>
      </c>
      <c r="M194" s="27" t="str" cm="1">
        <f t="array" ref="M194">_xlfn.IFS(Table6[[#This Row],[Finish Date]]=0,"",Table6[[#This Row],[Finish Date]]&gt;Table6[[#This Row],[Target Date]],"Delay",Table6[[#This Row],[Finish Date]]&lt;=Table6[[#This Row],[Target Date]],"On Time")</f>
        <v>On Time</v>
      </c>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row>
    <row r="195" spans="1:41" ht="21" hidden="1" customHeight="1">
      <c r="A195" s="27">
        <f>WEEKNUM(Table6[[#This Row],[Start Date]])</f>
        <v>9</v>
      </c>
      <c r="B195" s="27" t="str">
        <f>TEXT(Table6[[#This Row],[Start Date]],"mmm")</f>
        <v>Feb</v>
      </c>
      <c r="C195" s="27" t="str">
        <f>_xlfn.IFNA(INDEX(Refer!$B$5:$B$103,MATCH(Table6[[#This Row],[TASK]],Refer!$C$5:$C$103,0)),"")</f>
        <v>MEETING</v>
      </c>
      <c r="D195" s="79" t="s">
        <v>72</v>
      </c>
      <c r="E195" s="79" t="s">
        <v>79</v>
      </c>
      <c r="F195" s="82" t="s">
        <v>66</v>
      </c>
      <c r="G195" s="27" t="s">
        <v>182</v>
      </c>
      <c r="H195" s="41">
        <v>46076</v>
      </c>
      <c r="I195" s="41">
        <v>46076</v>
      </c>
      <c r="J195" s="41">
        <v>46076</v>
      </c>
      <c r="K195" s="27" t="str">
        <f>IF(Table6[[#This Row],[Finish Date]]=0,"On process","Close")</f>
        <v>Close</v>
      </c>
      <c r="L195" s="27" t="str">
        <f>IF(Table6[[#This Row],[Status]]="On process",IF($H$2&gt;Table6[[#This Row],[Target Date]],"Overdue","On time"),"Closed")</f>
        <v>Closed</v>
      </c>
      <c r="M195" s="27" t="str" cm="1">
        <f t="array" ref="M195">_xlfn.IFS(Table6[[#This Row],[Finish Date]]=0,"",Table6[[#This Row],[Finish Date]]&gt;Table6[[#This Row],[Target Date]],"Delay",Table6[[#This Row],[Finish Date]]&lt;=Table6[[#This Row],[Target Date]],"On Time")</f>
        <v>On Time</v>
      </c>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row>
    <row r="196" spans="1:41" ht="21" hidden="1" customHeight="1">
      <c r="A196" s="27">
        <f>WEEKNUM(Table6[[#This Row],[Start Date]])</f>
        <v>9</v>
      </c>
      <c r="B196" s="27" t="str">
        <f>TEXT(Table6[[#This Row],[Start Date]],"mmm")</f>
        <v>Feb</v>
      </c>
      <c r="C196" s="27" t="str">
        <f>_xlfn.IFNA(INDEX(Refer!$B$5:$B$103,MATCH(Table6[[#This Row],[TASK]],Refer!$C$5:$C$103,0)),"")</f>
        <v>NPI</v>
      </c>
      <c r="D196" s="79" t="s">
        <v>61</v>
      </c>
      <c r="E196" s="79" t="s">
        <v>277</v>
      </c>
      <c r="F196" s="82" t="s">
        <v>95</v>
      </c>
      <c r="G196" s="27" t="s">
        <v>182</v>
      </c>
      <c r="H196" s="41">
        <v>46076</v>
      </c>
      <c r="I196" s="41">
        <v>46077</v>
      </c>
      <c r="J196" s="41">
        <v>46076</v>
      </c>
      <c r="K196" s="27" t="str">
        <f>IF(Table6[[#This Row],[Finish Date]]=0,"On process","Close")</f>
        <v>Close</v>
      </c>
      <c r="L196" s="27" t="str">
        <f>IF(Table6[[#This Row],[Status]]="On process",IF($H$2&gt;Table6[[#This Row],[Target Date]],"Overdue","On time"),"Closed")</f>
        <v>Closed</v>
      </c>
      <c r="M196" s="27" t="str" cm="1">
        <f t="array" ref="M196">_xlfn.IFS(Table6[[#This Row],[Finish Date]]=0,"",Table6[[#This Row],[Finish Date]]&gt;Table6[[#This Row],[Target Date]],"Delay",Table6[[#This Row],[Finish Date]]&lt;=Table6[[#This Row],[Target Date]],"On Time")</f>
        <v>On Time</v>
      </c>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row>
    <row r="197" spans="1:41" ht="21" hidden="1" customHeight="1">
      <c r="A197" s="27">
        <f>WEEKNUM(Table6[[#This Row],[Start Date]])</f>
        <v>9</v>
      </c>
      <c r="B197" s="27" t="str">
        <f>TEXT(Table6[[#This Row],[Start Date]],"mmm")</f>
        <v>Feb</v>
      </c>
      <c r="C197" s="27" t="str">
        <f>_xlfn.IFNA(INDEX(Refer!$B$5:$B$103,MATCH(Table6[[#This Row],[TASK]],Refer!$C$5:$C$103,0)),"")</f>
        <v>NPI</v>
      </c>
      <c r="D197" s="79" t="s">
        <v>61</v>
      </c>
      <c r="E197" s="79" t="s">
        <v>278</v>
      </c>
      <c r="F197" s="82" t="s">
        <v>66</v>
      </c>
      <c r="G197" s="27" t="s">
        <v>182</v>
      </c>
      <c r="H197" s="41">
        <v>46077</v>
      </c>
      <c r="I197" s="41">
        <v>46078</v>
      </c>
      <c r="J197" s="41">
        <v>46077</v>
      </c>
      <c r="K197" s="27" t="str">
        <f>IF(Table6[[#This Row],[Finish Date]]=0,"On process","Close")</f>
        <v>Close</v>
      </c>
      <c r="L197" s="27" t="str">
        <f>IF(Table6[[#This Row],[Status]]="On process",IF($H$2&gt;Table6[[#This Row],[Target Date]],"Overdue","On time"),"Closed")</f>
        <v>Closed</v>
      </c>
      <c r="M197" s="27" t="str" cm="1">
        <f t="array" ref="M197">_xlfn.IFS(Table6[[#This Row],[Finish Date]]=0,"",Table6[[#This Row],[Finish Date]]&gt;Table6[[#This Row],[Target Date]],"Delay",Table6[[#This Row],[Finish Date]]&lt;=Table6[[#This Row],[Target Date]],"On Time")</f>
        <v>On Time</v>
      </c>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row>
    <row r="198" spans="1:41" ht="21" hidden="1" customHeight="1">
      <c r="A198" s="27">
        <f>WEEKNUM(Table6[[#This Row],[Start Date]])</f>
        <v>9</v>
      </c>
      <c r="B198" s="27" t="str">
        <f>TEXT(Table6[[#This Row],[Start Date]],"mmm")</f>
        <v>Feb</v>
      </c>
      <c r="C198" s="27" t="str">
        <f>_xlfn.IFNA(INDEX(Refer!$B$5:$B$103,MATCH(Table6[[#This Row],[TASK]],Refer!$C$5:$C$103,0)),"")</f>
        <v>NPI</v>
      </c>
      <c r="D198" s="79" t="s">
        <v>61</v>
      </c>
      <c r="E198" s="79" t="s">
        <v>271</v>
      </c>
      <c r="F198" s="82" t="s">
        <v>63</v>
      </c>
      <c r="G198" s="27" t="s">
        <v>182</v>
      </c>
      <c r="H198" s="41">
        <v>46078</v>
      </c>
      <c r="I198" s="41">
        <v>46078</v>
      </c>
      <c r="J198" s="41">
        <v>46078</v>
      </c>
      <c r="K198" s="27" t="str">
        <f>IF(Table6[[#This Row],[Finish Date]]=0,"On process","Close")</f>
        <v>Close</v>
      </c>
      <c r="L198" s="27" t="str">
        <f>IF(Table6[[#This Row],[Status]]="On process",IF($H$2&gt;Table6[[#This Row],[Target Date]],"Overdue","On time"),"Closed")</f>
        <v>Closed</v>
      </c>
      <c r="M198" s="27" t="str" cm="1">
        <f t="array" ref="M198">_xlfn.IFS(Table6[[#This Row],[Finish Date]]=0,"",Table6[[#This Row],[Finish Date]]&gt;Table6[[#This Row],[Target Date]],"Delay",Table6[[#This Row],[Finish Date]]&lt;=Table6[[#This Row],[Target Date]],"On Time")</f>
        <v>On Time</v>
      </c>
      <c r="N198" s="78"/>
      <c r="O198" s="78"/>
      <c r="P198" s="78"/>
      <c r="Q198" s="78"/>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row>
    <row r="199" spans="1:41" ht="21" hidden="1" customHeight="1">
      <c r="A199" s="27">
        <f>WEEKNUM(Table6[[#This Row],[Start Date]])</f>
        <v>9</v>
      </c>
      <c r="B199" s="27" t="str">
        <f>TEXT(Table6[[#This Row],[Start Date]],"mmm")</f>
        <v>Feb</v>
      </c>
      <c r="C199" s="27" t="str">
        <f>_xlfn.IFNA(INDEX(Refer!$B$5:$B$103,MATCH(Table6[[#This Row],[TASK]],Refer!$C$5:$C$103,0)),"")</f>
        <v>NPI</v>
      </c>
      <c r="D199" s="79" t="s">
        <v>61</v>
      </c>
      <c r="E199" s="79" t="s">
        <v>272</v>
      </c>
      <c r="F199" s="82" t="s">
        <v>63</v>
      </c>
      <c r="G199" s="27" t="s">
        <v>182</v>
      </c>
      <c r="H199" s="41">
        <v>46078</v>
      </c>
      <c r="I199" s="41">
        <v>46078</v>
      </c>
      <c r="J199" s="41">
        <v>46078</v>
      </c>
      <c r="K199" s="27" t="str">
        <f>IF(Table6[[#This Row],[Finish Date]]=0,"On process","Close")</f>
        <v>Close</v>
      </c>
      <c r="L199" s="27" t="str">
        <f>IF(Table6[[#This Row],[Status]]="On process",IF($H$2&gt;Table6[[#This Row],[Target Date]],"Overdue","On time"),"Closed")</f>
        <v>Closed</v>
      </c>
      <c r="M199" s="27" t="str" cm="1">
        <f t="array" ref="M199">_xlfn.IFS(Table6[[#This Row],[Finish Date]]=0,"",Table6[[#This Row],[Finish Date]]&gt;Table6[[#This Row],[Target Date]],"Delay",Table6[[#This Row],[Finish Date]]&lt;=Table6[[#This Row],[Target Date]],"On Time")</f>
        <v>On Time</v>
      </c>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row>
    <row r="200" spans="1:41" ht="21" hidden="1" customHeight="1">
      <c r="A200" s="27">
        <f>WEEKNUM(Table6[[#This Row],[Start Date]])</f>
        <v>9</v>
      </c>
      <c r="B200" s="27" t="str">
        <f>TEXT(Table6[[#This Row],[Start Date]],"mmm")</f>
        <v>Feb</v>
      </c>
      <c r="C200" s="27" t="str">
        <f>_xlfn.IFNA(INDEX(Refer!$B$5:$B$103,MATCH(Table6[[#This Row],[TASK]],Refer!$C$5:$C$103,0)),"")</f>
        <v>NPI</v>
      </c>
      <c r="D200" s="79" t="s">
        <v>61</v>
      </c>
      <c r="E200" s="79" t="s">
        <v>276</v>
      </c>
      <c r="F200" s="82" t="s">
        <v>63</v>
      </c>
      <c r="G200" s="27" t="s">
        <v>182</v>
      </c>
      <c r="H200" s="41">
        <v>46079</v>
      </c>
      <c r="I200" s="41">
        <v>46079</v>
      </c>
      <c r="J200" s="41">
        <v>46079</v>
      </c>
      <c r="K200" s="27" t="str">
        <f>IF(Table6[[#This Row],[Finish Date]]=0,"On process","Close")</f>
        <v>Close</v>
      </c>
      <c r="L200" s="27" t="str">
        <f>IF(Table6[[#This Row],[Status]]="On process",IF($H$2&gt;Table6[[#This Row],[Target Date]],"Overdue","On time"),"Closed")</f>
        <v>Closed</v>
      </c>
      <c r="M200" s="27" t="str" cm="1">
        <f t="array" ref="M200">_xlfn.IFS(Table6[[#This Row],[Finish Date]]=0,"",Table6[[#This Row],[Finish Date]]&gt;Table6[[#This Row],[Target Date]],"Delay",Table6[[#This Row],[Finish Date]]&lt;=Table6[[#This Row],[Target Date]],"On Time")</f>
        <v>On Time</v>
      </c>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row>
    <row r="201" spans="1:41" ht="21" hidden="1" customHeight="1">
      <c r="A201" s="27">
        <f>WEEKNUM(Table6[[#This Row],[Start Date]])</f>
        <v>9</v>
      </c>
      <c r="B201" s="27" t="str">
        <f>TEXT(Table6[[#This Row],[Start Date]],"mmm")</f>
        <v>Feb</v>
      </c>
      <c r="C201" s="27" t="str">
        <f>_xlfn.IFNA(INDEX(Refer!$B$5:$B$103,MATCH(Table6[[#This Row],[TASK]],Refer!$C$5:$C$103,0)),"")</f>
        <v>NPI</v>
      </c>
      <c r="D201" s="79" t="s">
        <v>61</v>
      </c>
      <c r="E201" s="79" t="s">
        <v>279</v>
      </c>
      <c r="F201" s="82" t="s">
        <v>63</v>
      </c>
      <c r="G201" s="27" t="s">
        <v>182</v>
      </c>
      <c r="H201" s="41">
        <v>46079</v>
      </c>
      <c r="I201" s="41">
        <v>46080</v>
      </c>
      <c r="J201" s="41">
        <v>46080</v>
      </c>
      <c r="K201" s="27" t="str">
        <f>IF(Table6[[#This Row],[Finish Date]]=0,"On process","Close")</f>
        <v>Close</v>
      </c>
      <c r="L201" s="27" t="str">
        <f>IF(Table6[[#This Row],[Status]]="On process",IF($H$2&gt;Table6[[#This Row],[Target Date]],"Overdue","On time"),"Closed")</f>
        <v>Closed</v>
      </c>
      <c r="M201" s="27" t="str" cm="1">
        <f t="array" ref="M201">_xlfn.IFS(Table6[[#This Row],[Finish Date]]=0,"",Table6[[#This Row],[Finish Date]]&gt;Table6[[#This Row],[Target Date]],"Delay",Table6[[#This Row],[Finish Date]]&lt;=Table6[[#This Row],[Target Date]],"On Time")</f>
        <v>On Time</v>
      </c>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row>
    <row r="202" spans="1:41" ht="21" hidden="1" customHeight="1">
      <c r="A202" s="27">
        <f>WEEKNUM(Table6[[#This Row],[Start Date]])</f>
        <v>9</v>
      </c>
      <c r="B202" s="27" t="str">
        <f>TEXT(Table6[[#This Row],[Start Date]],"mmm")</f>
        <v>Feb</v>
      </c>
      <c r="C202" s="27" t="str">
        <f>_xlfn.IFNA(INDEX(Refer!$B$5:$B$103,MATCH(Table6[[#This Row],[TASK]],Refer!$C$5:$C$103,0)),"")</f>
        <v>NPI</v>
      </c>
      <c r="D202" s="79" t="s">
        <v>274</v>
      </c>
      <c r="E202" s="79" t="s">
        <v>280</v>
      </c>
      <c r="F202" s="82" t="s">
        <v>63</v>
      </c>
      <c r="G202" s="27" t="s">
        <v>182</v>
      </c>
      <c r="H202" s="41">
        <v>46080</v>
      </c>
      <c r="I202" s="41">
        <v>46080</v>
      </c>
      <c r="J202" s="41">
        <v>46080</v>
      </c>
      <c r="K202" s="27" t="str">
        <f>IF(Table6[[#This Row],[Finish Date]]=0,"On process","Close")</f>
        <v>Close</v>
      </c>
      <c r="L202" s="27" t="str">
        <f>IF(Table6[[#This Row],[Status]]="On process",IF($H$2&gt;Table6[[#This Row],[Target Date]],"Overdue","On time"),"Closed")</f>
        <v>Closed</v>
      </c>
      <c r="M202" s="27" t="str" cm="1">
        <f t="array" ref="M202">_xlfn.IFS(Table6[[#This Row],[Finish Date]]=0,"",Table6[[#This Row],[Finish Date]]&gt;Table6[[#This Row],[Target Date]],"Delay",Table6[[#This Row],[Finish Date]]&lt;=Table6[[#This Row],[Target Date]],"On Time")</f>
        <v>On Time</v>
      </c>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row>
    <row r="203" spans="1:41" ht="21" hidden="1" customHeight="1">
      <c r="A203" s="27">
        <f>WEEKNUM(Table6[[#This Row],[Start Date]])</f>
        <v>9</v>
      </c>
      <c r="B203" s="27" t="str">
        <f>TEXT(Table6[[#This Row],[Start Date]],"mmm")</f>
        <v>Feb</v>
      </c>
      <c r="C203" s="27" t="str">
        <f>_xlfn.IFNA(INDEX(Refer!$B$5:$B$103,MATCH(Table6[[#This Row],[TASK]],Refer!$C$5:$C$103,0)),"")</f>
        <v>NPI</v>
      </c>
      <c r="D203" s="79" t="s">
        <v>61</v>
      </c>
      <c r="E203" s="79" t="s">
        <v>281</v>
      </c>
      <c r="F203" s="82"/>
      <c r="G203" s="27" t="s">
        <v>169</v>
      </c>
      <c r="H203" s="41">
        <v>46077</v>
      </c>
      <c r="I203" s="41">
        <v>46077</v>
      </c>
      <c r="J203" s="41">
        <v>46077</v>
      </c>
      <c r="K203" s="27" t="str">
        <f>IF(Table6[[#This Row],[Finish Date]]=0,"On process","Close")</f>
        <v>Close</v>
      </c>
      <c r="L203" s="27" t="str">
        <f>IF(Table6[[#This Row],[Status]]="On process",IF($H$2&gt;Table6[[#This Row],[Target Date]],"Overdue","On time"),"Closed")</f>
        <v>Closed</v>
      </c>
      <c r="M203" s="27" t="str" cm="1">
        <f t="array" ref="M203">_xlfn.IFS(Table6[[#This Row],[Finish Date]]=0,"",Table6[[#This Row],[Finish Date]]&gt;Table6[[#This Row],[Target Date]],"Delay",Table6[[#This Row],[Finish Date]]&lt;=Table6[[#This Row],[Target Date]],"On Time")</f>
        <v>On Time</v>
      </c>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row>
    <row r="204" spans="1:41" ht="21" hidden="1" customHeight="1">
      <c r="A204" s="27">
        <f>WEEKNUM(Table6[[#This Row],[Start Date]])</f>
        <v>9</v>
      </c>
      <c r="B204" s="27" t="str">
        <f>TEXT(Table6[[#This Row],[Start Date]],"mmm")</f>
        <v>Feb</v>
      </c>
      <c r="C204" s="27" t="str">
        <f>_xlfn.IFNA(INDEX(Refer!$B$5:$B$103,MATCH(Table6[[#This Row],[TASK]],Refer!$C$5:$C$103,0)),"")</f>
        <v>NPI</v>
      </c>
      <c r="D204" s="79" t="s">
        <v>274</v>
      </c>
      <c r="E204" s="79" t="s">
        <v>275</v>
      </c>
      <c r="F204" s="82" t="s">
        <v>63</v>
      </c>
      <c r="G204" s="27" t="s">
        <v>169</v>
      </c>
      <c r="H204" s="41">
        <v>46077</v>
      </c>
      <c r="I204" s="41">
        <v>46079</v>
      </c>
      <c r="J204" s="41">
        <v>46079</v>
      </c>
      <c r="K204" s="27" t="str">
        <f>IF(Table6[[#This Row],[Finish Date]]=0,"On process","Close")</f>
        <v>Close</v>
      </c>
      <c r="L204" s="27" t="str">
        <f>IF(Table6[[#This Row],[Status]]="On process",IF($H$2&gt;Table6[[#This Row],[Target Date]],"Overdue","On time"),"Closed")</f>
        <v>Closed</v>
      </c>
      <c r="M204" s="27" t="str" cm="1">
        <f t="array" ref="M204">_xlfn.IFS(Table6[[#This Row],[Finish Date]]=0,"",Table6[[#This Row],[Finish Date]]&gt;Table6[[#This Row],[Target Date]],"Delay",Table6[[#This Row],[Finish Date]]&lt;=Table6[[#This Row],[Target Date]],"On Time")</f>
        <v>On Time</v>
      </c>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row>
    <row r="205" spans="1:41" ht="21" hidden="1" customHeight="1">
      <c r="A205" s="27">
        <f>WEEKNUM(Table6[[#This Row],[Start Date]])</f>
        <v>9</v>
      </c>
      <c r="B205" s="27" t="str">
        <f>TEXT(Table6[[#This Row],[Start Date]],"mmm")</f>
        <v>Feb</v>
      </c>
      <c r="C205" s="27" t="str">
        <f>_xlfn.IFNA(INDEX(Refer!$B$5:$B$103,MATCH(Table6[[#This Row],[TASK]],Refer!$C$5:$C$103,0)),"")</f>
        <v>NPI</v>
      </c>
      <c r="D205" s="79" t="s">
        <v>61</v>
      </c>
      <c r="E205" s="79" t="s">
        <v>282</v>
      </c>
      <c r="F205" s="82" t="s">
        <v>63</v>
      </c>
      <c r="G205" s="27" t="s">
        <v>169</v>
      </c>
      <c r="H205" s="41">
        <v>46077</v>
      </c>
      <c r="I205" s="41">
        <v>46079</v>
      </c>
      <c r="J205" s="41">
        <v>46078</v>
      </c>
      <c r="K205" s="27" t="str">
        <f>IF(Table6[[#This Row],[Finish Date]]=0,"On process","Close")</f>
        <v>Close</v>
      </c>
      <c r="L205" s="27" t="str">
        <f>IF(Table6[[#This Row],[Status]]="On process",IF($H$2&gt;Table6[[#This Row],[Target Date]],"Overdue","On time"),"Closed")</f>
        <v>Closed</v>
      </c>
      <c r="M205" s="27" t="str" cm="1">
        <f t="array" ref="M205">_xlfn.IFS(Table6[[#This Row],[Finish Date]]=0,"",Table6[[#This Row],[Finish Date]]&gt;Table6[[#This Row],[Target Date]],"Delay",Table6[[#This Row],[Finish Date]]&lt;=Table6[[#This Row],[Target Date]],"On Time")</f>
        <v>On Time</v>
      </c>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row>
    <row r="206" spans="1:41" ht="21" hidden="1" customHeight="1">
      <c r="A206" s="27">
        <f>WEEKNUM(Table6[[#This Row],[Start Date]])</f>
        <v>9</v>
      </c>
      <c r="B206" s="27" t="str">
        <f>TEXT(Table6[[#This Row],[Start Date]],"mmm")</f>
        <v>Feb</v>
      </c>
      <c r="C206" s="27" t="str">
        <f>_xlfn.IFNA(INDEX(Refer!$B$5:$B$103,MATCH(Table6[[#This Row],[TASK]],Refer!$C$5:$C$103,0)),"")</f>
        <v>PACKING</v>
      </c>
      <c r="D206" s="79" t="s">
        <v>112</v>
      </c>
      <c r="E206" s="79" t="s">
        <v>283</v>
      </c>
      <c r="F206" s="82" t="s">
        <v>138</v>
      </c>
      <c r="G206" s="27" t="s">
        <v>115</v>
      </c>
      <c r="H206" s="41">
        <v>46078</v>
      </c>
      <c r="I206" s="41">
        <v>46079</v>
      </c>
      <c r="J206" s="41">
        <v>46079</v>
      </c>
      <c r="K206" s="27" t="str">
        <f>IF(Table6[[#This Row],[Finish Date]]=0,"On process","Close")</f>
        <v>Close</v>
      </c>
      <c r="L206" s="27" t="str">
        <f>IF(Table6[[#This Row],[Status]]="On process",IF($H$2&gt;Table6[[#This Row],[Target Date]],"Overdue","On time"),"Closed")</f>
        <v>Closed</v>
      </c>
      <c r="M206" s="27" t="str" cm="1">
        <f t="array" ref="M206">_xlfn.IFS(Table6[[#This Row],[Finish Date]]=0,"",Table6[[#This Row],[Finish Date]]&gt;Table6[[#This Row],[Target Date]],"Delay",Table6[[#This Row],[Finish Date]]&lt;=Table6[[#This Row],[Target Date]],"On Time")</f>
        <v>On Time</v>
      </c>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row>
    <row r="207" spans="1:41" ht="21" hidden="1" customHeight="1">
      <c r="A207" s="84">
        <f>WEEKNUM(Table6[[#This Row],[Start Date]])</f>
        <v>10</v>
      </c>
      <c r="B207" s="84" t="str">
        <f>TEXT(Table6[[#This Row],[Start Date]],"mmm")</f>
        <v>Mar</v>
      </c>
      <c r="C207" s="84" t="str">
        <f>_xlfn.IFNA(INDEX(Refer!$B$5:$B$103,MATCH(Table6[[#This Row],[TASK]],Refer!$C$5:$C$103,0)),"")</f>
        <v>RFQ</v>
      </c>
      <c r="D207" s="92" t="s">
        <v>123</v>
      </c>
      <c r="E207" s="85" t="s">
        <v>284</v>
      </c>
      <c r="F207" s="86" t="s">
        <v>206</v>
      </c>
      <c r="G207" s="84" t="s">
        <v>115</v>
      </c>
      <c r="H207" s="87">
        <v>46083</v>
      </c>
      <c r="I207" s="87">
        <v>46084</v>
      </c>
      <c r="J207" s="87">
        <v>46084</v>
      </c>
      <c r="K207" s="84" t="str">
        <f>IF(Table6[[#This Row],[Finish Date]]=0,"On process","Close")</f>
        <v>Close</v>
      </c>
      <c r="L207" s="84" t="str">
        <f>IF(Table6[[#This Row],[Status]]="On process",IF($H$2&gt;Table6[[#This Row],[Target Date]],"Overdue","On time"),"Closed")</f>
        <v>Closed</v>
      </c>
      <c r="M207" s="84" t="str" cm="1">
        <f t="array" ref="M207">_xlfn.IFS(Table6[[#This Row],[Finish Date]]=0,"",Table6[[#This Row],[Finish Date]]&gt;Table6[[#This Row],[Target Date]],"Delay",Table6[[#This Row],[Finish Date]]&lt;=Table6[[#This Row],[Target Date]],"On Time")</f>
        <v>On Time</v>
      </c>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row>
    <row r="208" spans="1:41" ht="21" hidden="1" customHeight="1">
      <c r="A208" s="84">
        <f>WEEKNUM(Table6[[#This Row],[Start Date]])</f>
        <v>10</v>
      </c>
      <c r="B208" s="84" t="str">
        <f>TEXT(Table6[[#This Row],[Start Date]],"mmm")</f>
        <v>Mar</v>
      </c>
      <c r="C208" s="84" t="str">
        <f>_xlfn.IFNA(INDEX(Refer!$B$5:$B$103,MATCH(Table6[[#This Row],[TASK]],Refer!$C$5:$C$103,0)),"")</f>
        <v>RFQ</v>
      </c>
      <c r="D208" s="92" t="s">
        <v>123</v>
      </c>
      <c r="E208" s="85" t="s">
        <v>285</v>
      </c>
      <c r="F208" s="82" t="s">
        <v>95</v>
      </c>
      <c r="G208" s="84" t="s">
        <v>115</v>
      </c>
      <c r="H208" s="87">
        <v>46084</v>
      </c>
      <c r="I208" s="87">
        <v>46087</v>
      </c>
      <c r="J208" s="87">
        <v>46084</v>
      </c>
      <c r="K208" s="84" t="str">
        <f>IF(Table6[[#This Row],[Finish Date]]=0,"On process","Close")</f>
        <v>Close</v>
      </c>
      <c r="L208" s="84" t="str">
        <f>IF(Table6[[#This Row],[Status]]="On process",IF($H$2&gt;Table6[[#This Row],[Target Date]],"Overdue","On time"),"Closed")</f>
        <v>Closed</v>
      </c>
      <c r="M208" s="84" t="str" cm="1">
        <f t="array" ref="M208">_xlfn.IFS(Table6[[#This Row],[Finish Date]]=0,"",Table6[[#This Row],[Finish Date]]&gt;Table6[[#This Row],[Target Date]],"Delay",Table6[[#This Row],[Finish Date]]&lt;=Table6[[#This Row],[Target Date]],"On Time")</f>
        <v>On Time</v>
      </c>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row>
    <row r="209" spans="1:41" ht="21" hidden="1" customHeight="1">
      <c r="A209" s="27">
        <f>WEEKNUM(Table6[[#This Row],[Start Date]])</f>
        <v>10</v>
      </c>
      <c r="B209" s="27" t="str">
        <f>TEXT(Table6[[#This Row],[Start Date]],"mmm")</f>
        <v>Mar</v>
      </c>
      <c r="C209" s="27" t="str">
        <f>_xlfn.IFNA(INDEX(Refer!$B$5:$B$103,MATCH(Table6[[#This Row],[TASK]],Refer!$C$5:$C$103,0)),"")</f>
        <v>RFQ</v>
      </c>
      <c r="D209" s="93" t="s">
        <v>123</v>
      </c>
      <c r="E209" s="79" t="s">
        <v>286</v>
      </c>
      <c r="F209" s="82" t="s">
        <v>287</v>
      </c>
      <c r="G209" s="27" t="s">
        <v>115</v>
      </c>
      <c r="H209" s="41">
        <v>46084</v>
      </c>
      <c r="I209" s="41">
        <v>46085</v>
      </c>
      <c r="J209" s="41">
        <v>46084</v>
      </c>
      <c r="K209" s="27" t="str">
        <f>IF(Table6[[#This Row],[Finish Date]]=0,"On process","Close")</f>
        <v>Close</v>
      </c>
      <c r="L209" s="27" t="str">
        <f>IF(Table6[[#This Row],[Status]]="On process",IF($H$2&gt;Table6[[#This Row],[Target Date]],"Overdue","On time"),"Closed")</f>
        <v>Closed</v>
      </c>
      <c r="M209" s="27" t="str" cm="1">
        <f t="array" ref="M209">_xlfn.IFS(Table6[[#This Row],[Finish Date]]=0,"",Table6[[#This Row],[Finish Date]]&gt;Table6[[#This Row],[Target Date]],"Delay",Table6[[#This Row],[Finish Date]]&lt;=Table6[[#This Row],[Target Date]],"On Time")</f>
        <v>On Time</v>
      </c>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row>
    <row r="210" spans="1:41" ht="21" hidden="1" customHeight="1">
      <c r="A210" s="27">
        <f>WEEKNUM(Table6[[#This Row],[Start Date]])</f>
        <v>10</v>
      </c>
      <c r="B210" s="27" t="str">
        <f>TEXT(Table6[[#This Row],[Start Date]],"mmm")</f>
        <v>Mar</v>
      </c>
      <c r="C210" s="27" t="str">
        <f>_xlfn.IFNA(INDEX(Refer!$B$5:$B$103,MATCH(Table6[[#This Row],[TASK]],Refer!$C$5:$C$103,0)),"")</f>
        <v>OTHER</v>
      </c>
      <c r="D210" s="93" t="s">
        <v>108</v>
      </c>
      <c r="E210" s="79" t="s">
        <v>288</v>
      </c>
      <c r="F210" s="82"/>
      <c r="G210" s="27" t="s">
        <v>115</v>
      </c>
      <c r="H210" s="41">
        <v>46085</v>
      </c>
      <c r="I210" s="41">
        <v>46087</v>
      </c>
      <c r="J210" s="41">
        <v>46087</v>
      </c>
      <c r="K210" s="27" t="str">
        <f>IF(Table6[[#This Row],[Finish Date]]=0,"On process","Close")</f>
        <v>Close</v>
      </c>
      <c r="L210" s="27" t="str">
        <f>IF(Table6[[#This Row],[Status]]="On process",IF($H$2&gt;Table6[[#This Row],[Target Date]],"Overdue","On time"),"Closed")</f>
        <v>Closed</v>
      </c>
      <c r="M210" s="27" t="str" cm="1">
        <f t="array" ref="M210">_xlfn.IFS(Table6[[#This Row],[Finish Date]]=0,"",Table6[[#This Row],[Finish Date]]&gt;Table6[[#This Row],[Target Date]],"Delay",Table6[[#This Row],[Finish Date]]&lt;=Table6[[#This Row],[Target Date]],"On Time")</f>
        <v>On Time</v>
      </c>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row>
    <row r="211" spans="1:41" ht="21" hidden="1" customHeight="1">
      <c r="A211" s="27">
        <f>WEEKNUM(Table6[[#This Row],[Start Date]])</f>
        <v>10</v>
      </c>
      <c r="B211" s="27" t="str">
        <f>TEXT(Table6[[#This Row],[Start Date]],"mmm")</f>
        <v>Mar</v>
      </c>
      <c r="C211" s="27" t="str">
        <f>_xlfn.IFNA(INDEX(Refer!$B$5:$B$103,MATCH(Table6[[#This Row],[TASK]],Refer!$C$5:$C$103,0)),"")</f>
        <v>PACKING</v>
      </c>
      <c r="D211" s="79" t="s">
        <v>120</v>
      </c>
      <c r="E211" s="79" t="s">
        <v>289</v>
      </c>
      <c r="F211" s="82"/>
      <c r="G211" s="27" t="s">
        <v>115</v>
      </c>
      <c r="H211" s="41">
        <v>46086</v>
      </c>
      <c r="I211" s="41">
        <v>46087</v>
      </c>
      <c r="J211" s="41">
        <v>46087</v>
      </c>
      <c r="K211" s="27" t="str">
        <f>IF(Table6[[#This Row],[Finish Date]]=0,"On process","Close")</f>
        <v>Close</v>
      </c>
      <c r="L211" s="27" t="str">
        <f>IF(Table6[[#This Row],[Status]]="On process",IF($H$2&gt;Table6[[#This Row],[Target Date]],"Overdue","On time"),"Closed")</f>
        <v>Closed</v>
      </c>
      <c r="M211" s="27" t="str" cm="1">
        <f t="array" ref="M211">_xlfn.IFS(Table6[[#This Row],[Finish Date]]=0,"",Table6[[#This Row],[Finish Date]]&gt;Table6[[#This Row],[Target Date]],"Delay",Table6[[#This Row],[Finish Date]]&lt;=Table6[[#This Row],[Target Date]],"On Time")</f>
        <v>On Time</v>
      </c>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row>
    <row r="212" spans="1:41" ht="21" hidden="1" customHeight="1">
      <c r="A212" s="84">
        <f>WEEKNUM(Table6[[#This Row],[Start Date]])</f>
        <v>10</v>
      </c>
      <c r="B212" s="27" t="str">
        <f>TEXT(Table6[[#This Row],[Start Date]],"mmm")</f>
        <v>Mar</v>
      </c>
      <c r="C212" s="27" t="str">
        <f>_xlfn.IFNA(INDEX(Refer!$B$5:$B$103,MATCH(Table6[[#This Row],[TASK]],Refer!$C$5:$C$103,0)),"")</f>
        <v>RFQ</v>
      </c>
      <c r="D212" s="93" t="s">
        <v>123</v>
      </c>
      <c r="E212" s="79" t="s">
        <v>290</v>
      </c>
      <c r="F212" s="82"/>
      <c r="G212" s="27" t="s">
        <v>115</v>
      </c>
      <c r="H212" s="41">
        <v>46085</v>
      </c>
      <c r="I212" s="41">
        <v>46087</v>
      </c>
      <c r="J212" s="41">
        <v>46085</v>
      </c>
      <c r="K212" s="27" t="str">
        <f>IF(Table6[[#This Row],[Finish Date]]=0,"On process","Close")</f>
        <v>Close</v>
      </c>
      <c r="L212" s="27" t="str">
        <f>IF(Table6[[#This Row],[Status]]="On process",IF($H$2&gt;Table6[[#This Row],[Target Date]],"Overdue","On time"),"Closed")</f>
        <v>Closed</v>
      </c>
      <c r="M212" s="27" t="str" cm="1">
        <f t="array" ref="M212">_xlfn.IFS(Table6[[#This Row],[Finish Date]]=0,"",Table6[[#This Row],[Finish Date]]&gt;Table6[[#This Row],[Target Date]],"Delay",Table6[[#This Row],[Finish Date]]&lt;=Table6[[#This Row],[Target Date]],"On Time")</f>
        <v>On Time</v>
      </c>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row>
    <row r="213" spans="1:41" ht="21" hidden="1" customHeight="1">
      <c r="A213" s="84">
        <f>WEEKNUM(Table6[[#This Row],[Start Date]])</f>
        <v>10</v>
      </c>
      <c r="B213" s="84" t="str">
        <f>TEXT(Table6[[#This Row],[Start Date]],"mmm")</f>
        <v>Mar</v>
      </c>
      <c r="C213" s="84" t="str">
        <f>_xlfn.IFNA(INDEX(Refer!$B$5:$B$103,MATCH(Table6[[#This Row],[TASK]],Refer!$C$5:$C$103,0)),"")</f>
        <v>NPI</v>
      </c>
      <c r="D213" s="92" t="s">
        <v>61</v>
      </c>
      <c r="E213" s="85" t="s">
        <v>291</v>
      </c>
      <c r="F213" s="86"/>
      <c r="G213" s="84" t="s">
        <v>292</v>
      </c>
      <c r="H213" s="87">
        <v>46083</v>
      </c>
      <c r="I213" s="87">
        <v>46083</v>
      </c>
      <c r="J213" s="87">
        <v>46083</v>
      </c>
      <c r="K213" s="84" t="str">
        <f>IF(Table6[[#This Row],[Finish Date]]=0,"On process","Close")</f>
        <v>Close</v>
      </c>
      <c r="L213" s="84" t="str">
        <f>IF(Table6[[#This Row],[Status]]="On process",IF($H$2&gt;Table6[[#This Row],[Target Date]],"Overdue","On time"),"Closed")</f>
        <v>Closed</v>
      </c>
      <c r="M213" s="84" t="str" cm="1">
        <f t="array" ref="M213">_xlfn.IFS(Table6[[#This Row],[Finish Date]]=0,"",Table6[[#This Row],[Finish Date]]&gt;Table6[[#This Row],[Target Date]],"Delay",Table6[[#This Row],[Finish Date]]&lt;=Table6[[#This Row],[Target Date]],"On Time")</f>
        <v>On Time</v>
      </c>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row>
    <row r="214" spans="1:41" ht="21" hidden="1" customHeight="1">
      <c r="A214" s="84">
        <f>WEEKNUM(Table6[[#This Row],[Start Date]])</f>
        <v>10</v>
      </c>
      <c r="B214" s="84" t="str">
        <f>TEXT(Table6[[#This Row],[Start Date]],"mmm")</f>
        <v>Mar</v>
      </c>
      <c r="C214" s="84" t="str">
        <f>_xlfn.IFNA(INDEX(Refer!$B$5:$B$103,MATCH(Table6[[#This Row],[TASK]],Refer!$C$5:$C$103,0)),"")</f>
        <v>NPI</v>
      </c>
      <c r="D214" s="92" t="s">
        <v>61</v>
      </c>
      <c r="E214" s="85" t="s">
        <v>293</v>
      </c>
      <c r="F214" s="86"/>
      <c r="G214" s="84" t="s">
        <v>292</v>
      </c>
      <c r="H214" s="87">
        <v>46083</v>
      </c>
      <c r="I214" s="87">
        <v>46084</v>
      </c>
      <c r="J214" s="87">
        <v>46084</v>
      </c>
      <c r="K214" s="84" t="str">
        <f>IF(Table6[[#This Row],[Finish Date]]=0,"On process","Close")</f>
        <v>Close</v>
      </c>
      <c r="L214" s="84" t="str">
        <f>IF(Table6[[#This Row],[Status]]="On process",IF($H$2&gt;Table6[[#This Row],[Target Date]],"Overdue","On time"),"Closed")</f>
        <v>Closed</v>
      </c>
      <c r="M214" s="84" t="str" cm="1">
        <f t="array" ref="M214">_xlfn.IFS(Table6[[#This Row],[Finish Date]]=0,"",Table6[[#This Row],[Finish Date]]&gt;Table6[[#This Row],[Target Date]],"Delay",Table6[[#This Row],[Finish Date]]&lt;=Table6[[#This Row],[Target Date]],"On Time")</f>
        <v>On Time</v>
      </c>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row>
    <row r="215" spans="1:41" ht="21" hidden="1" customHeight="1">
      <c r="A215" s="84">
        <f>WEEKNUM(Table6[[#This Row],[Start Date]])</f>
        <v>10</v>
      </c>
      <c r="B215" s="84" t="str">
        <f>TEXT(Table6[[#This Row],[Start Date]],"mmm")</f>
        <v>Mar</v>
      </c>
      <c r="C215" s="84" t="str">
        <f>_xlfn.IFNA(INDEX(Refer!$B$5:$B$103,MATCH(Table6[[#This Row],[TASK]],Refer!$C$5:$C$103,0)),"")</f>
        <v>NPI</v>
      </c>
      <c r="D215" s="92" t="s">
        <v>61</v>
      </c>
      <c r="E215" s="85" t="s">
        <v>294</v>
      </c>
      <c r="F215" s="86"/>
      <c r="G215" s="84" t="s">
        <v>292</v>
      </c>
      <c r="H215" s="87">
        <v>46083</v>
      </c>
      <c r="I215" s="87">
        <v>46084</v>
      </c>
      <c r="J215" s="87">
        <v>46084</v>
      </c>
      <c r="K215" s="84" t="str">
        <f>IF(Table6[[#This Row],[Finish Date]]=0,"On process","Close")</f>
        <v>Close</v>
      </c>
      <c r="L215" s="84" t="str">
        <f>IF(Table6[[#This Row],[Status]]="On process",IF($H$2&gt;Table6[[#This Row],[Target Date]],"Overdue","On time"),"Closed")</f>
        <v>Closed</v>
      </c>
      <c r="M215" s="84" t="str" cm="1">
        <f t="array" ref="M215">_xlfn.IFS(Table6[[#This Row],[Finish Date]]=0,"",Table6[[#This Row],[Finish Date]]&gt;Table6[[#This Row],[Target Date]],"Delay",Table6[[#This Row],[Finish Date]]&lt;=Table6[[#This Row],[Target Date]],"On Time")</f>
        <v>On Time</v>
      </c>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row>
    <row r="216" spans="1:41" ht="21" hidden="1" customHeight="1">
      <c r="A216" s="27">
        <f>WEEKNUM(Table6[[#This Row],[Start Date]])</f>
        <v>10</v>
      </c>
      <c r="B216" s="27" t="str">
        <f>TEXT(Table6[[#This Row],[Start Date]],"mmm")</f>
        <v>Mar</v>
      </c>
      <c r="C216" s="27" t="str">
        <f>_xlfn.IFNA(INDEX(Refer!$B$5:$B$103,MATCH(Table6[[#This Row],[TASK]],Refer!$C$5:$C$103,0)),"")</f>
        <v>NPI</v>
      </c>
      <c r="D216" s="93" t="s">
        <v>61</v>
      </c>
      <c r="E216" s="79" t="s">
        <v>295</v>
      </c>
      <c r="F216" s="82" t="s">
        <v>95</v>
      </c>
      <c r="G216" s="27" t="s">
        <v>169</v>
      </c>
      <c r="H216" s="41">
        <v>46084</v>
      </c>
      <c r="I216" s="41">
        <v>46084</v>
      </c>
      <c r="J216" s="41">
        <v>46084</v>
      </c>
      <c r="K216" s="27" t="str">
        <f>IF(Table6[[#This Row],[Finish Date]]=0,"On process","Close")</f>
        <v>Close</v>
      </c>
      <c r="L216" s="27" t="str">
        <f>IF(Table6[[#This Row],[Status]]="On process",IF($H$2&gt;Table6[[#This Row],[Target Date]],"Overdue","On time"),"Closed")</f>
        <v>Closed</v>
      </c>
      <c r="M216" s="27" t="str" cm="1">
        <f t="array" ref="M216">_xlfn.IFS(Table6[[#This Row],[Finish Date]]=0,"",Table6[[#This Row],[Finish Date]]&gt;Table6[[#This Row],[Target Date]],"Delay",Table6[[#This Row],[Finish Date]]&lt;=Table6[[#This Row],[Target Date]],"On Time")</f>
        <v>On Time</v>
      </c>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row>
    <row r="217" spans="1:41" ht="21" hidden="1" customHeight="1">
      <c r="A217" s="84">
        <f>WEEKNUM(Table6[[#This Row],[Start Date]])</f>
        <v>10</v>
      </c>
      <c r="B217" s="84" t="str">
        <f>TEXT(Table6[[#This Row],[Start Date]],"mmm")</f>
        <v>Mar</v>
      </c>
      <c r="C217" s="84" t="str">
        <f>_xlfn.IFNA(INDEX(Refer!$B$5:$B$103,MATCH(Table6[[#This Row],[TASK]],Refer!$C$5:$C$103,0)),"")</f>
        <v>OTHER</v>
      </c>
      <c r="D217" s="92" t="s">
        <v>108</v>
      </c>
      <c r="E217" s="85" t="s">
        <v>117</v>
      </c>
      <c r="F217" s="86"/>
      <c r="G217" s="84" t="s">
        <v>292</v>
      </c>
      <c r="H217" s="87">
        <v>46085</v>
      </c>
      <c r="I217" s="87">
        <v>46086</v>
      </c>
      <c r="J217" s="87">
        <v>46086</v>
      </c>
      <c r="K217" s="84" t="str">
        <f>IF(Table6[[#This Row],[Finish Date]]=0,"On process","Close")</f>
        <v>Close</v>
      </c>
      <c r="L217" s="84" t="str">
        <f>IF(Table6[[#This Row],[Status]]="On process",IF($H$2&gt;Table6[[#This Row],[Target Date]],"Overdue","On time"),"Closed")</f>
        <v>Closed</v>
      </c>
      <c r="M217" s="84" t="str" cm="1">
        <f t="array" ref="M217">_xlfn.IFS(Table6[[#This Row],[Finish Date]]=0,"",Table6[[#This Row],[Finish Date]]&gt;Table6[[#This Row],[Target Date]],"Delay",Table6[[#This Row],[Finish Date]]&lt;=Table6[[#This Row],[Target Date]],"On Time")</f>
        <v>On Time</v>
      </c>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row>
    <row r="218" spans="1:41" ht="21" hidden="1" customHeight="1">
      <c r="A218" s="27">
        <f>WEEKNUM(Table6[[#This Row],[Start Date]])</f>
        <v>10</v>
      </c>
      <c r="B218" s="27" t="str">
        <f>TEXT(Table6[[#This Row],[Start Date]],"mmm")</f>
        <v>Mar</v>
      </c>
      <c r="C218" s="27" t="str">
        <f>_xlfn.IFNA(INDEX(Refer!$B$5:$B$103,MATCH(Table6[[#This Row],[TASK]],Refer!$C$5:$C$103,0)),"")</f>
        <v>OTHER</v>
      </c>
      <c r="D218" s="93" t="s">
        <v>108</v>
      </c>
      <c r="E218" s="79" t="s">
        <v>288</v>
      </c>
      <c r="F218" s="82"/>
      <c r="G218" s="27" t="s">
        <v>64</v>
      </c>
      <c r="H218" s="41">
        <v>46085</v>
      </c>
      <c r="I218" s="41">
        <v>46086</v>
      </c>
      <c r="J218" s="41">
        <v>46086</v>
      </c>
      <c r="K218" s="27" t="str">
        <f>IF(Table6[[#This Row],[Finish Date]]=0,"On process","Close")</f>
        <v>Close</v>
      </c>
      <c r="L218" s="27" t="str">
        <f>IF(Table6[[#This Row],[Status]]="On process",IF($H$2&gt;Table6[[#This Row],[Target Date]],"Overdue","On time"),"Closed")</f>
        <v>Closed</v>
      </c>
      <c r="M218" s="27" t="str" cm="1">
        <f t="array" ref="M218">_xlfn.IFS(Table6[[#This Row],[Finish Date]]=0,"",Table6[[#This Row],[Finish Date]]&gt;Table6[[#This Row],[Target Date]],"Delay",Table6[[#This Row],[Finish Date]]&lt;=Table6[[#This Row],[Target Date]],"On Time")</f>
        <v>On Time</v>
      </c>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row>
    <row r="219" spans="1:41" ht="21" hidden="1" customHeight="1">
      <c r="A219" s="27">
        <f>WEEKNUM(Table6[[#This Row],[Start Date]])</f>
        <v>10</v>
      </c>
      <c r="B219" s="27" t="str">
        <f>TEXT(Table6[[#This Row],[Start Date]],"mmm")</f>
        <v>Mar</v>
      </c>
      <c r="C219" s="27" t="str">
        <f>_xlfn.IFNA(INDEX(Refer!$B$5:$B$103,MATCH(Table6[[#This Row],[TASK]],Refer!$C$5:$C$103,0)),"")</f>
        <v>NPI</v>
      </c>
      <c r="D219" s="93" t="s">
        <v>61</v>
      </c>
      <c r="E219" s="79" t="s">
        <v>296</v>
      </c>
      <c r="F219" s="82" t="s">
        <v>63</v>
      </c>
      <c r="G219" s="27" t="s">
        <v>64</v>
      </c>
      <c r="H219" s="41">
        <v>46087</v>
      </c>
      <c r="I219" s="41">
        <v>46087</v>
      </c>
      <c r="J219" s="41">
        <v>46087</v>
      </c>
      <c r="K219" s="27" t="str">
        <f>IF(Table6[[#This Row],[Finish Date]]=0,"On process","Close")</f>
        <v>Close</v>
      </c>
      <c r="L219" s="27" t="str">
        <f>IF(Table6[[#This Row],[Status]]="On process",IF($H$2&gt;Table6[[#This Row],[Target Date]],"Overdue","On time"),"Closed")</f>
        <v>Closed</v>
      </c>
      <c r="M219" s="27" t="str" cm="1">
        <f t="array" ref="M219">_xlfn.IFS(Table6[[#This Row],[Finish Date]]=0,"",Table6[[#This Row],[Finish Date]]&gt;Table6[[#This Row],[Target Date]],"Delay",Table6[[#This Row],[Finish Date]]&lt;=Table6[[#This Row],[Target Date]],"On Time")</f>
        <v>On Time</v>
      </c>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row>
    <row r="220" spans="1:41" ht="21" hidden="1" customHeight="1">
      <c r="A220" s="27">
        <f>WEEKNUM(Table6[[#This Row],[Start Date]])</f>
        <v>10</v>
      </c>
      <c r="B220" s="27" t="str">
        <f>TEXT(Table6[[#This Row],[Start Date]],"mmm")</f>
        <v>Mar</v>
      </c>
      <c r="C220" s="27" t="str">
        <f>_xlfn.IFNA(INDEX(Refer!$B$5:$B$103,MATCH(Table6[[#This Row],[TASK]],Refer!$C$5:$C$103,0)),"")</f>
        <v>MEETING</v>
      </c>
      <c r="D220" s="93" t="s">
        <v>72</v>
      </c>
      <c r="E220" s="79" t="s">
        <v>297</v>
      </c>
      <c r="F220" s="82" t="s">
        <v>63</v>
      </c>
      <c r="G220" s="27" t="s">
        <v>182</v>
      </c>
      <c r="H220" s="41">
        <v>46086</v>
      </c>
      <c r="I220" s="41">
        <v>46086</v>
      </c>
      <c r="J220" s="41">
        <v>46086</v>
      </c>
      <c r="K220" s="27" t="str">
        <f>IF(Table6[[#This Row],[Finish Date]]=0,"On process","Close")</f>
        <v>Close</v>
      </c>
      <c r="L220" s="27" t="str">
        <f>IF(Table6[[#This Row],[Status]]="On process",IF($H$2&gt;Table6[[#This Row],[Target Date]],"Overdue","On time"),"Closed")</f>
        <v>Closed</v>
      </c>
      <c r="M220" s="27" t="str" cm="1">
        <f t="array" ref="M220">_xlfn.IFS(Table6[[#This Row],[Finish Date]]=0,"",Table6[[#This Row],[Finish Date]]&gt;Table6[[#This Row],[Target Date]],"Delay",Table6[[#This Row],[Finish Date]]&lt;=Table6[[#This Row],[Target Date]],"On Time")</f>
        <v>On Time</v>
      </c>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row>
    <row r="221" spans="1:41" ht="21" hidden="1" customHeight="1">
      <c r="A221" s="84">
        <f>WEEKNUM(Table6[[#This Row],[Start Date]])</f>
        <v>10</v>
      </c>
      <c r="B221" s="84" t="str">
        <f>TEXT(Table6[[#This Row],[Start Date]],"mmm")</f>
        <v>Mar</v>
      </c>
      <c r="C221" s="84" t="str">
        <f>_xlfn.IFNA(INDEX(Refer!$B$5:$B$103,MATCH(Table6[[#This Row],[TASK]],Refer!$C$5:$C$103,0)),"")</f>
        <v>OTHER</v>
      </c>
      <c r="D221" s="92" t="s">
        <v>298</v>
      </c>
      <c r="E221" s="85" t="s">
        <v>299</v>
      </c>
      <c r="F221" s="86"/>
      <c r="G221" s="84" t="s">
        <v>182</v>
      </c>
      <c r="H221" s="87">
        <v>46086</v>
      </c>
      <c r="I221" s="87">
        <v>46086</v>
      </c>
      <c r="J221" s="87">
        <v>46086</v>
      </c>
      <c r="K221" s="84" t="str">
        <f>IF(Table6[[#This Row],[Finish Date]]=0,"On process","Close")</f>
        <v>Close</v>
      </c>
      <c r="L221" s="84" t="str">
        <f>IF(Table6[[#This Row],[Status]]="On process",IF($H$2&gt;Table6[[#This Row],[Target Date]],"Overdue","On time"),"Closed")</f>
        <v>Closed</v>
      </c>
      <c r="M221" s="84" t="str" cm="1">
        <f t="array" ref="M221">_xlfn.IFS(Table6[[#This Row],[Finish Date]]=0,"",Table6[[#This Row],[Finish Date]]&gt;Table6[[#This Row],[Target Date]],"Delay",Table6[[#This Row],[Finish Date]]&lt;=Table6[[#This Row],[Target Date]],"On Time")</f>
        <v>On Time</v>
      </c>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row>
    <row r="222" spans="1:41" ht="21" hidden="1" customHeight="1">
      <c r="A222" s="84">
        <f>WEEKNUM(Table6[[#This Row],[Start Date]])</f>
        <v>10</v>
      </c>
      <c r="B222" s="27" t="str">
        <f>TEXT(Table6[[#This Row],[Start Date]],"mmm")</f>
        <v>Mar</v>
      </c>
      <c r="C222" s="27" t="str">
        <f>_xlfn.IFNA(INDEX(Refer!$B$5:$B$103,MATCH(Table6[[#This Row],[TASK]],Refer!$C$5:$C$103,0)),"")</f>
        <v>OTHER</v>
      </c>
      <c r="D222" s="93" t="s">
        <v>104</v>
      </c>
      <c r="E222" s="79" t="s">
        <v>300</v>
      </c>
      <c r="F222" s="82"/>
      <c r="G222" s="27" t="s">
        <v>182</v>
      </c>
      <c r="H222" s="41">
        <v>46086</v>
      </c>
      <c r="I222" s="41">
        <v>46087</v>
      </c>
      <c r="J222" s="41">
        <v>46087</v>
      </c>
      <c r="K222" s="27" t="str">
        <f>IF(Table6[[#This Row],[Finish Date]]=0,"On process","Close")</f>
        <v>Close</v>
      </c>
      <c r="L222" s="27" t="str">
        <f>IF(Table6[[#This Row],[Status]]="On process",IF($H$2&gt;Table6[[#This Row],[Target Date]],"Overdue","On time"),"Closed")</f>
        <v>Closed</v>
      </c>
      <c r="M222" s="27" t="str" cm="1">
        <f t="array" ref="M222">_xlfn.IFS(Table6[[#This Row],[Finish Date]]=0,"",Table6[[#This Row],[Finish Date]]&gt;Table6[[#This Row],[Target Date]],"Delay",Table6[[#This Row],[Finish Date]]&lt;=Table6[[#This Row],[Target Date]],"On Time")</f>
        <v>On Time</v>
      </c>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row>
    <row r="223" spans="1:41" ht="21" hidden="1" customHeight="1">
      <c r="A223" s="84">
        <f>WEEKNUM(Table6[[#This Row],[Start Date]])</f>
        <v>10</v>
      </c>
      <c r="B223" s="27" t="str">
        <f>TEXT(Table6[[#This Row],[Start Date]],"mmm")</f>
        <v>Mar</v>
      </c>
      <c r="C223" s="27" t="str">
        <f>_xlfn.IFNA(INDEX(Refer!$B$5:$B$103,MATCH(Table6[[#This Row],[TASK]],Refer!$C$5:$C$103,0)),"")</f>
        <v>NPI</v>
      </c>
      <c r="D223" s="93" t="s">
        <v>61</v>
      </c>
      <c r="E223" s="79" t="s">
        <v>301</v>
      </c>
      <c r="F223" s="82" t="s">
        <v>95</v>
      </c>
      <c r="G223" s="27" t="s">
        <v>64</v>
      </c>
      <c r="H223" s="41">
        <v>46087</v>
      </c>
      <c r="I223" s="41">
        <v>46087</v>
      </c>
      <c r="J223" s="41">
        <v>46087</v>
      </c>
      <c r="K223" s="27" t="str">
        <f>IF(Table6[[#This Row],[Finish Date]]=0,"On process","Close")</f>
        <v>Close</v>
      </c>
      <c r="L223" s="27" t="str">
        <f>IF(Table6[[#This Row],[Status]]="On process",IF($H$2&gt;Table6[[#This Row],[Target Date]],"Overdue","On time"),"Closed")</f>
        <v>Closed</v>
      </c>
      <c r="M223" s="27" t="str" cm="1">
        <f t="array" ref="M223">_xlfn.IFS(Table6[[#This Row],[Finish Date]]=0,"",Table6[[#This Row],[Finish Date]]&gt;Table6[[#This Row],[Target Date]],"Delay",Table6[[#This Row],[Finish Date]]&lt;=Table6[[#This Row],[Target Date]],"On Time")</f>
        <v>On Time</v>
      </c>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row>
    <row r="224" spans="1:41" ht="21" hidden="1" customHeight="1">
      <c r="A224" s="84">
        <f>WEEKNUM(Table6[[#This Row],[Start Date]])</f>
        <v>10</v>
      </c>
      <c r="B224" s="27" t="str">
        <f>TEXT(Table6[[#This Row],[Start Date]],"mmm")</f>
        <v>Mar</v>
      </c>
      <c r="C224" s="27" t="str">
        <f>_xlfn.IFNA(INDEX(Refer!$B$5:$B$103,MATCH(Table6[[#This Row],[TASK]],Refer!$C$5:$C$103,0)),"")</f>
        <v>NPI</v>
      </c>
      <c r="D224" s="93" t="s">
        <v>61</v>
      </c>
      <c r="E224" s="79" t="s">
        <v>302</v>
      </c>
      <c r="F224" s="82" t="s">
        <v>66</v>
      </c>
      <c r="G224" s="27" t="s">
        <v>64</v>
      </c>
      <c r="H224" s="41">
        <v>46087</v>
      </c>
      <c r="I224" s="41">
        <v>46087</v>
      </c>
      <c r="J224" s="41">
        <v>46087</v>
      </c>
      <c r="K224" s="27" t="str">
        <f>IF(Table6[[#This Row],[Finish Date]]=0,"On process","Close")</f>
        <v>Close</v>
      </c>
      <c r="L224" s="27" t="str">
        <f>IF(Table6[[#This Row],[Status]]="On process",IF($H$2&gt;Table6[[#This Row],[Target Date]],"Overdue","On time"),"Closed")</f>
        <v>Closed</v>
      </c>
      <c r="M224" s="27" t="str" cm="1">
        <f t="array" ref="M224">_xlfn.IFS(Table6[[#This Row],[Finish Date]]=0,"",Table6[[#This Row],[Finish Date]]&gt;Table6[[#This Row],[Target Date]],"Delay",Table6[[#This Row],[Finish Date]]&lt;=Table6[[#This Row],[Target Date]],"On Time")</f>
        <v>On Time</v>
      </c>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row>
    <row r="225" spans="1:41" ht="21" hidden="1" customHeight="1">
      <c r="A225" s="84">
        <f>WEEKNUM(Table6[[#This Row],[Start Date]])</f>
        <v>11</v>
      </c>
      <c r="B225" s="27" t="str">
        <f>TEXT(Table6[[#This Row],[Start Date]],"mmm")</f>
        <v>Mar</v>
      </c>
      <c r="C225" s="27" t="str">
        <f>_xlfn.IFNA(INDEX(Refer!$B$5:$B$103,MATCH(Table6[[#This Row],[TASK]],Refer!$C$5:$C$103,0)),"")</f>
        <v>MEETING</v>
      </c>
      <c r="D225" s="93" t="s">
        <v>72</v>
      </c>
      <c r="E225" s="79" t="s">
        <v>303</v>
      </c>
      <c r="F225" s="82" t="s">
        <v>66</v>
      </c>
      <c r="G225" s="27" t="s">
        <v>64</v>
      </c>
      <c r="H225" s="41">
        <v>46090</v>
      </c>
      <c r="I225" s="41">
        <v>46090</v>
      </c>
      <c r="J225" s="41">
        <v>46090</v>
      </c>
      <c r="K225" s="27" t="str">
        <f>IF(Table6[[#This Row],[Finish Date]]=0,"On process","Close")</f>
        <v>Close</v>
      </c>
      <c r="L225" s="27" t="str">
        <f>IF(Table6[[#This Row],[Status]]="On process",IF($H$2&gt;Table6[[#This Row],[Target Date]],"Overdue","On time"),"Closed")</f>
        <v>Closed</v>
      </c>
      <c r="M225" s="27" t="str" cm="1">
        <f t="array" ref="M225">_xlfn.IFS(Table6[[#This Row],[Finish Date]]=0,"",Table6[[#This Row],[Finish Date]]&gt;Table6[[#This Row],[Target Date]],"Delay",Table6[[#This Row],[Finish Date]]&lt;=Table6[[#This Row],[Target Date]],"On Time")</f>
        <v>On Time</v>
      </c>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row>
    <row r="226" spans="1:41" ht="21" hidden="1" customHeight="1">
      <c r="A226" s="84">
        <f>WEEKNUM(Table6[[#This Row],[Start Date]])</f>
        <v>11</v>
      </c>
      <c r="B226" s="27" t="str">
        <f>TEXT(Table6[[#This Row],[Start Date]],"mmm")</f>
        <v>Mar</v>
      </c>
      <c r="C226" s="27" t="str">
        <f>_xlfn.IFNA(INDEX(Refer!$B$5:$B$103,MATCH(Table6[[#This Row],[TASK]],Refer!$C$5:$C$103,0)),"")</f>
        <v>NPI</v>
      </c>
      <c r="D226" s="93" t="s">
        <v>70</v>
      </c>
      <c r="E226" s="79" t="s">
        <v>304</v>
      </c>
      <c r="F226" s="82" t="s">
        <v>63</v>
      </c>
      <c r="G226" s="27" t="s">
        <v>64</v>
      </c>
      <c r="H226" s="41">
        <v>46090</v>
      </c>
      <c r="I226" s="41">
        <v>46090</v>
      </c>
      <c r="J226" s="41">
        <v>46090</v>
      </c>
      <c r="K226" s="27" t="str">
        <f>IF(Table6[[#This Row],[Finish Date]]=0,"On process","Close")</f>
        <v>Close</v>
      </c>
      <c r="L226" s="27" t="str">
        <f>IF(Table6[[#This Row],[Status]]="On process",IF($H$2&gt;Table6[[#This Row],[Target Date]],"Overdue","On time"),"Closed")</f>
        <v>Closed</v>
      </c>
      <c r="M226" s="27" t="str" cm="1">
        <f t="array" ref="M226">_xlfn.IFS(Table6[[#This Row],[Finish Date]]=0,"",Table6[[#This Row],[Finish Date]]&gt;Table6[[#This Row],[Target Date]],"Delay",Table6[[#This Row],[Finish Date]]&lt;=Table6[[#This Row],[Target Date]],"On Time")</f>
        <v>On Time</v>
      </c>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row>
    <row r="227" spans="1:41" ht="21" hidden="1" customHeight="1">
      <c r="A227" s="84">
        <f>WEEKNUM(Table6[[#This Row],[Start Date]])</f>
        <v>11</v>
      </c>
      <c r="B227" s="27" t="str">
        <f>TEXT(Table6[[#This Row],[Start Date]],"mmm")</f>
        <v>Mar</v>
      </c>
      <c r="C227" s="27" t="str">
        <f>_xlfn.IFNA(INDEX(Refer!$B$5:$B$103,MATCH(Table6[[#This Row],[TASK]],Refer!$C$5:$C$103,0)),"")</f>
        <v>NPI</v>
      </c>
      <c r="D227" s="93" t="s">
        <v>61</v>
      </c>
      <c r="E227" s="79" t="s">
        <v>305</v>
      </c>
      <c r="F227" s="82" t="s">
        <v>63</v>
      </c>
      <c r="G227" s="27" t="s">
        <v>64</v>
      </c>
      <c r="H227" s="41">
        <v>46090</v>
      </c>
      <c r="I227" s="41">
        <v>46090</v>
      </c>
      <c r="J227" s="41">
        <v>46090</v>
      </c>
      <c r="K227" s="27" t="str">
        <f>IF(Table6[[#This Row],[Finish Date]]=0,"On process","Close")</f>
        <v>Close</v>
      </c>
      <c r="L227" s="27" t="str">
        <f>IF(Table6[[#This Row],[Status]]="On process",IF($H$2&gt;Table6[[#This Row],[Target Date]],"Overdue","On time"),"Closed")</f>
        <v>Closed</v>
      </c>
      <c r="M227" s="27" t="str" cm="1">
        <f t="array" ref="M227">_xlfn.IFS(Table6[[#This Row],[Finish Date]]=0,"",Table6[[#This Row],[Finish Date]]&gt;Table6[[#This Row],[Target Date]],"Delay",Table6[[#This Row],[Finish Date]]&lt;=Table6[[#This Row],[Target Date]],"On Time")</f>
        <v>On Time</v>
      </c>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row>
    <row r="228" spans="1:41" ht="21" hidden="1" customHeight="1">
      <c r="A228" s="84">
        <f>WEEKNUM(Table6[[#This Row],[Start Date]])</f>
        <v>11</v>
      </c>
      <c r="B228" s="84" t="str">
        <f>TEXT(Table6[[#This Row],[Start Date]],"mmm")</f>
        <v>Mar</v>
      </c>
      <c r="C228" s="84" t="str">
        <f>_xlfn.IFNA(INDEX(Refer!$B$5:$B$103,MATCH(Table6[[#This Row],[TASK]],Refer!$C$5:$C$103,0)),"")</f>
        <v>NPI</v>
      </c>
      <c r="D228" s="92" t="s">
        <v>61</v>
      </c>
      <c r="E228" s="85" t="s">
        <v>306</v>
      </c>
      <c r="F228" s="86" t="s">
        <v>95</v>
      </c>
      <c r="G228" s="84" t="s">
        <v>64</v>
      </c>
      <c r="H228" s="87">
        <v>46090</v>
      </c>
      <c r="I228" s="87">
        <v>46090</v>
      </c>
      <c r="J228" s="87">
        <v>46090</v>
      </c>
      <c r="K228" s="84" t="str">
        <f>IF(Table6[[#This Row],[Finish Date]]=0,"On process","Close")</f>
        <v>Close</v>
      </c>
      <c r="L228" s="84" t="str">
        <f>IF(Table6[[#This Row],[Status]]="On process",IF($H$2&gt;Table6[[#This Row],[Target Date]],"Overdue","On time"),"Closed")</f>
        <v>Closed</v>
      </c>
      <c r="M228" s="84" t="str" cm="1">
        <f t="array" ref="M228">_xlfn.IFS(Table6[[#This Row],[Finish Date]]=0,"",Table6[[#This Row],[Finish Date]]&gt;Table6[[#This Row],[Target Date]],"Delay",Table6[[#This Row],[Finish Date]]&lt;=Table6[[#This Row],[Target Date]],"On Time")</f>
        <v>On Time</v>
      </c>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row>
    <row r="229" spans="1:41" ht="21" hidden="1" customHeight="1">
      <c r="A229" s="84">
        <f>WEEKNUM(Table6[[#This Row],[Start Date]])</f>
        <v>11</v>
      </c>
      <c r="B229" s="27" t="str">
        <f>TEXT(Table6[[#This Row],[Start Date]],"mmm")</f>
        <v>Mar</v>
      </c>
      <c r="C229" s="27" t="str">
        <f>_xlfn.IFNA(INDEX(Refer!$B$5:$B$103,MATCH(Table6[[#This Row],[TASK]],Refer!$C$5:$C$103,0)),"")</f>
        <v>NPI</v>
      </c>
      <c r="D229" s="93" t="s">
        <v>61</v>
      </c>
      <c r="E229" s="79" t="s">
        <v>307</v>
      </c>
      <c r="F229" s="82" t="s">
        <v>308</v>
      </c>
      <c r="G229" s="27" t="s">
        <v>64</v>
      </c>
      <c r="H229" s="41">
        <v>46091</v>
      </c>
      <c r="I229" s="41">
        <v>46091</v>
      </c>
      <c r="J229" s="41">
        <v>46091</v>
      </c>
      <c r="K229" s="27" t="str">
        <f>IF(Table6[[#This Row],[Finish Date]]=0,"On process","Close")</f>
        <v>Close</v>
      </c>
      <c r="L229" s="27" t="str">
        <f>IF(Table6[[#This Row],[Status]]="On process",IF($H$2&gt;Table6[[#This Row],[Target Date]],"Overdue","On time"),"Closed")</f>
        <v>Closed</v>
      </c>
      <c r="M229" s="27" t="str" cm="1">
        <f t="array" ref="M229">_xlfn.IFS(Table6[[#This Row],[Finish Date]]=0,"",Table6[[#This Row],[Finish Date]]&gt;Table6[[#This Row],[Target Date]],"Delay",Table6[[#This Row],[Finish Date]]&lt;=Table6[[#This Row],[Target Date]],"On Time")</f>
        <v>On Time</v>
      </c>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row>
    <row r="230" spans="1:41" ht="21" hidden="1" customHeight="1">
      <c r="A230" s="84">
        <f>WEEKNUM(Table6[[#This Row],[Start Date]])</f>
        <v>11</v>
      </c>
      <c r="B230" s="27" t="str">
        <f>TEXT(Table6[[#This Row],[Start Date]],"mmm")</f>
        <v>Mar</v>
      </c>
      <c r="C230" s="27" t="str">
        <f>_xlfn.IFNA(INDEX(Refer!$B$5:$B$103,MATCH(Table6[[#This Row],[TASK]],Refer!$C$5:$C$103,0)),"")</f>
        <v>NPI</v>
      </c>
      <c r="D230" s="93" t="s">
        <v>61</v>
      </c>
      <c r="E230" s="79" t="s">
        <v>309</v>
      </c>
      <c r="F230" s="82" t="s">
        <v>63</v>
      </c>
      <c r="G230" s="27" t="s">
        <v>64</v>
      </c>
      <c r="H230" s="41">
        <v>46091</v>
      </c>
      <c r="I230" s="41">
        <v>46091</v>
      </c>
      <c r="J230" s="41">
        <v>46091</v>
      </c>
      <c r="K230" s="27" t="str">
        <f>IF(Table6[[#This Row],[Finish Date]]=0,"On process","Close")</f>
        <v>Close</v>
      </c>
      <c r="L230" s="27" t="str">
        <f>IF(Table6[[#This Row],[Status]]="On process",IF($H$2&gt;Table6[[#This Row],[Target Date]],"Overdue","On time"),"Closed")</f>
        <v>Closed</v>
      </c>
      <c r="M230" s="27" t="str" cm="1">
        <f t="array" ref="M230">_xlfn.IFS(Table6[[#This Row],[Finish Date]]=0,"",Table6[[#This Row],[Finish Date]]&gt;Table6[[#This Row],[Target Date]],"Delay",Table6[[#This Row],[Finish Date]]&lt;=Table6[[#This Row],[Target Date]],"On Time")</f>
        <v>On Time</v>
      </c>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row>
    <row r="231" spans="1:41" ht="21" hidden="1" customHeight="1">
      <c r="A231" s="84">
        <f>WEEKNUM(Table6[[#This Row],[Start Date]])</f>
        <v>11</v>
      </c>
      <c r="B231" s="27" t="str">
        <f>TEXT(Table6[[#This Row],[Start Date]],"mmm")</f>
        <v>Mar</v>
      </c>
      <c r="C231" s="27" t="str">
        <f>_xlfn.IFNA(INDEX(Refer!$B$5:$B$103,MATCH(Table6[[#This Row],[TASK]],Refer!$C$5:$C$103,0)),"")</f>
        <v>NPI</v>
      </c>
      <c r="D231" s="93" t="s">
        <v>61</v>
      </c>
      <c r="E231" s="79" t="s">
        <v>310</v>
      </c>
      <c r="F231" s="82" t="s">
        <v>63</v>
      </c>
      <c r="G231" s="27" t="s">
        <v>64</v>
      </c>
      <c r="H231" s="41">
        <v>46091</v>
      </c>
      <c r="I231" s="41">
        <v>46091</v>
      </c>
      <c r="J231" s="41">
        <v>46091</v>
      </c>
      <c r="K231" s="27" t="str">
        <f>IF(Table6[[#This Row],[Finish Date]]=0,"On process","Close")</f>
        <v>Close</v>
      </c>
      <c r="L231" s="27" t="str">
        <f>IF(Table6[[#This Row],[Status]]="On process",IF($H$2&gt;Table6[[#This Row],[Target Date]],"Overdue","On time"),"Closed")</f>
        <v>Closed</v>
      </c>
      <c r="M231" s="27" t="str" cm="1">
        <f t="array" ref="M231">_xlfn.IFS(Table6[[#This Row],[Finish Date]]=0,"",Table6[[#This Row],[Finish Date]]&gt;Table6[[#This Row],[Target Date]],"Delay",Table6[[#This Row],[Finish Date]]&lt;=Table6[[#This Row],[Target Date]],"On Time")</f>
        <v>On Time</v>
      </c>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row>
    <row r="232" spans="1:41" ht="21" hidden="1" customHeight="1">
      <c r="A232" s="84">
        <f>WEEKNUM(Table6[[#This Row],[Start Date]])</f>
        <v>11</v>
      </c>
      <c r="B232" s="27" t="str">
        <f>TEXT(Table6[[#This Row],[Start Date]],"mmm")</f>
        <v>Mar</v>
      </c>
      <c r="C232" s="27" t="str">
        <f>_xlfn.IFNA(INDEX(Refer!$B$5:$B$103,MATCH(Table6[[#This Row],[TASK]],Refer!$C$5:$C$103,0)),"")</f>
        <v>NPI</v>
      </c>
      <c r="D232" s="93" t="s">
        <v>61</v>
      </c>
      <c r="E232" s="79" t="s">
        <v>311</v>
      </c>
      <c r="F232" s="82" t="s">
        <v>63</v>
      </c>
      <c r="G232" s="27" t="s">
        <v>64</v>
      </c>
      <c r="H232" s="41">
        <v>46092</v>
      </c>
      <c r="I232" s="41">
        <v>46092</v>
      </c>
      <c r="J232" s="41">
        <v>46092</v>
      </c>
      <c r="K232" s="27" t="str">
        <f>IF(Table6[[#This Row],[Finish Date]]=0,"On process","Close")</f>
        <v>Close</v>
      </c>
      <c r="L232" s="27" t="str">
        <f>IF(Table6[[#This Row],[Status]]="On process",IF($H$2&gt;Table6[[#This Row],[Target Date]],"Overdue","On time"),"Closed")</f>
        <v>Closed</v>
      </c>
      <c r="M232" s="27" t="str" cm="1">
        <f t="array" ref="M232">_xlfn.IFS(Table6[[#This Row],[Finish Date]]=0,"",Table6[[#This Row],[Finish Date]]&gt;Table6[[#This Row],[Target Date]],"Delay",Table6[[#This Row],[Finish Date]]&lt;=Table6[[#This Row],[Target Date]],"On Time")</f>
        <v>On Time</v>
      </c>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row>
    <row r="233" spans="1:41" ht="21" hidden="1" customHeight="1">
      <c r="A233" s="84">
        <f>WEEKNUM(Table6[[#This Row],[Start Date]])</f>
        <v>11</v>
      </c>
      <c r="B233" s="27" t="str">
        <f>TEXT(Table6[[#This Row],[Start Date]],"mmm")</f>
        <v>Mar</v>
      </c>
      <c r="C233" s="27" t="str">
        <f>_xlfn.IFNA(INDEX(Refer!$B$5:$B$103,MATCH(Table6[[#This Row],[TASK]],Refer!$C$5:$C$103,0)),"")</f>
        <v>NPI</v>
      </c>
      <c r="D233" s="93" t="s">
        <v>61</v>
      </c>
      <c r="E233" s="79" t="s">
        <v>312</v>
      </c>
      <c r="F233" s="82" t="s">
        <v>63</v>
      </c>
      <c r="G233" s="27" t="s">
        <v>64</v>
      </c>
      <c r="H233" s="41">
        <v>46092</v>
      </c>
      <c r="I233" s="41">
        <v>46092</v>
      </c>
      <c r="J233" s="41">
        <v>46092</v>
      </c>
      <c r="K233" s="27" t="str">
        <f>IF(Table6[[#This Row],[Finish Date]]=0,"On process","Close")</f>
        <v>Close</v>
      </c>
      <c r="L233" s="27" t="str">
        <f>IF(Table6[[#This Row],[Status]]="On process",IF($H$2&gt;Table6[[#This Row],[Target Date]],"Overdue","On time"),"Closed")</f>
        <v>Closed</v>
      </c>
      <c r="M233" s="27" t="str" cm="1">
        <f t="array" ref="M233">_xlfn.IFS(Table6[[#This Row],[Finish Date]]=0,"",Table6[[#This Row],[Finish Date]]&gt;Table6[[#This Row],[Target Date]],"Delay",Table6[[#This Row],[Finish Date]]&lt;=Table6[[#This Row],[Target Date]],"On Time")</f>
        <v>On Time</v>
      </c>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row>
    <row r="234" spans="1:41" ht="21" hidden="1" customHeight="1">
      <c r="A234" s="84">
        <f>WEEKNUM(Table6[[#This Row],[Start Date]])</f>
        <v>11</v>
      </c>
      <c r="B234" s="27" t="str">
        <f>TEXT(Table6[[#This Row],[Start Date]],"mmm")</f>
        <v>Mar</v>
      </c>
      <c r="C234" s="27" t="str">
        <f>_xlfn.IFNA(INDEX(Refer!$B$5:$B$103,MATCH(Table6[[#This Row],[TASK]],Refer!$C$5:$C$103,0)),"")</f>
        <v>MEETING</v>
      </c>
      <c r="D234" s="93" t="s">
        <v>72</v>
      </c>
      <c r="E234" s="79" t="s">
        <v>98</v>
      </c>
      <c r="F234" s="82" t="s">
        <v>63</v>
      </c>
      <c r="G234" s="27" t="s">
        <v>64</v>
      </c>
      <c r="H234" s="41">
        <v>46093</v>
      </c>
      <c r="I234" s="41">
        <v>46093</v>
      </c>
      <c r="J234" s="41">
        <v>46093</v>
      </c>
      <c r="K234" s="27" t="str">
        <f>IF(Table6[[#This Row],[Finish Date]]=0,"On process","Close")</f>
        <v>Close</v>
      </c>
      <c r="L234" s="27" t="str">
        <f>IF(Table6[[#This Row],[Status]]="On process",IF($H$2&gt;Table6[[#This Row],[Target Date]],"Overdue","On time"),"Closed")</f>
        <v>Closed</v>
      </c>
      <c r="M234" s="27" t="str" cm="1">
        <f t="array" ref="M234">_xlfn.IFS(Table6[[#This Row],[Finish Date]]=0,"",Table6[[#This Row],[Finish Date]]&gt;Table6[[#This Row],[Target Date]],"Delay",Table6[[#This Row],[Finish Date]]&lt;=Table6[[#This Row],[Target Date]],"On Time")</f>
        <v>On Time</v>
      </c>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row>
    <row r="235" spans="1:41" ht="21" hidden="1" customHeight="1">
      <c r="A235" s="84">
        <f>WEEKNUM(Table6[[#This Row],[Start Date]])</f>
        <v>11</v>
      </c>
      <c r="B235" s="27" t="str">
        <f>TEXT(Table6[[#This Row],[Start Date]],"mmm")</f>
        <v>Mar</v>
      </c>
      <c r="C235" s="27" t="str">
        <f>_xlfn.IFNA(INDEX(Refer!$B$5:$B$103,MATCH(Table6[[#This Row],[TASK]],Refer!$C$5:$C$103,0)),"")</f>
        <v>NPI</v>
      </c>
      <c r="D235" s="93" t="s">
        <v>61</v>
      </c>
      <c r="E235" s="79" t="s">
        <v>313</v>
      </c>
      <c r="F235" s="82" t="s">
        <v>63</v>
      </c>
      <c r="G235" s="27" t="s">
        <v>64</v>
      </c>
      <c r="H235" s="41">
        <v>46094</v>
      </c>
      <c r="I235" s="41">
        <v>46094</v>
      </c>
      <c r="J235" s="41">
        <v>46094</v>
      </c>
      <c r="K235" s="27" t="str">
        <f>IF(Table6[[#This Row],[Finish Date]]=0,"On process","Close")</f>
        <v>Close</v>
      </c>
      <c r="L235" s="27" t="str">
        <f>IF(Table6[[#This Row],[Status]]="On process",IF($H$2&gt;Table6[[#This Row],[Target Date]],"Overdue","On time"),"Closed")</f>
        <v>Closed</v>
      </c>
      <c r="M235" s="27" t="str" cm="1">
        <f t="array" ref="M235">_xlfn.IFS(Table6[[#This Row],[Finish Date]]=0,"",Table6[[#This Row],[Finish Date]]&gt;Table6[[#This Row],[Target Date]],"Delay",Table6[[#This Row],[Finish Date]]&lt;=Table6[[#This Row],[Target Date]],"On Time")</f>
        <v>On Time</v>
      </c>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row>
    <row r="236" spans="1:41" ht="21" hidden="1" customHeight="1">
      <c r="A236" s="84">
        <f>WEEKNUM(Table6[[#This Row],[Start Date]])</f>
        <v>11</v>
      </c>
      <c r="B236" s="27" t="str">
        <f>TEXT(Table6[[#This Row],[Start Date]],"mmm")</f>
        <v>Mar</v>
      </c>
      <c r="C236" s="27" t="str">
        <f>_xlfn.IFNA(INDEX(Refer!$B$5:$B$103,MATCH(Table6[[#This Row],[TASK]],Refer!$C$5:$C$103,0)),"")</f>
        <v>MEETING</v>
      </c>
      <c r="D236" s="93" t="s">
        <v>314</v>
      </c>
      <c r="E236" s="79" t="s">
        <v>315</v>
      </c>
      <c r="F236" s="82" t="s">
        <v>63</v>
      </c>
      <c r="G236" s="27" t="s">
        <v>64</v>
      </c>
      <c r="H236" s="41">
        <v>46094</v>
      </c>
      <c r="I236" s="41">
        <v>46094</v>
      </c>
      <c r="J236" s="41">
        <v>46094</v>
      </c>
      <c r="K236" s="27" t="str">
        <f>IF(Table6[[#This Row],[Finish Date]]=0,"On process","Close")</f>
        <v>Close</v>
      </c>
      <c r="L236" s="27" t="str">
        <f>IF(Table6[[#This Row],[Status]]="On process",IF($H$2&gt;Table6[[#This Row],[Target Date]],"Overdue","On time"),"Closed")</f>
        <v>Closed</v>
      </c>
      <c r="M236" s="27" t="str" cm="1">
        <f t="array" ref="M236">_xlfn.IFS(Table6[[#This Row],[Finish Date]]=0,"",Table6[[#This Row],[Finish Date]]&gt;Table6[[#This Row],[Target Date]],"Delay",Table6[[#This Row],[Finish Date]]&lt;=Table6[[#This Row],[Target Date]],"On Time")</f>
        <v>On Time</v>
      </c>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row>
    <row r="237" spans="1:41" ht="21" hidden="1" customHeight="1">
      <c r="A237" s="84">
        <f>WEEKNUM(Table6[[#This Row],[Start Date]])</f>
        <v>11</v>
      </c>
      <c r="B237" s="27" t="str">
        <f>TEXT(Table6[[#This Row],[Start Date]],"mmm")</f>
        <v>Mar</v>
      </c>
      <c r="C237" s="27" t="str">
        <f>_xlfn.IFNA(INDEX(Refer!$B$5:$B$103,MATCH(Table6[[#This Row],[TASK]],Refer!$C$5:$C$103,0)),"")</f>
        <v>NPI</v>
      </c>
      <c r="D237" s="93" t="s">
        <v>61</v>
      </c>
      <c r="E237" s="79" t="s">
        <v>316</v>
      </c>
      <c r="F237" s="82" t="s">
        <v>63</v>
      </c>
      <c r="G237" s="27" t="s">
        <v>64</v>
      </c>
      <c r="H237" s="41">
        <v>46094</v>
      </c>
      <c r="I237" s="41">
        <v>46094</v>
      </c>
      <c r="J237" s="41">
        <v>46094</v>
      </c>
      <c r="K237" s="27" t="str">
        <f>IF(Table6[[#This Row],[Finish Date]]=0,"On process","Close")</f>
        <v>Close</v>
      </c>
      <c r="L237" s="27" t="str">
        <f>IF(Table6[[#This Row],[Status]]="On process",IF($H$2&gt;Table6[[#This Row],[Target Date]],"Overdue","On time"),"Closed")</f>
        <v>Closed</v>
      </c>
      <c r="M237" s="27" t="str" cm="1">
        <f t="array" ref="M237">_xlfn.IFS(Table6[[#This Row],[Finish Date]]=0,"",Table6[[#This Row],[Finish Date]]&gt;Table6[[#This Row],[Target Date]],"Delay",Table6[[#This Row],[Finish Date]]&lt;=Table6[[#This Row],[Target Date]],"On Time")</f>
        <v>On Time</v>
      </c>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row>
    <row r="238" spans="1:41" ht="21" hidden="1" customHeight="1">
      <c r="A238" s="84">
        <f>WEEKNUM(Table6[[#This Row],[Start Date]])</f>
        <v>11</v>
      </c>
      <c r="B238" s="27" t="str">
        <f>TEXT(Table6[[#This Row],[Start Date]],"mmm")</f>
        <v>Mar</v>
      </c>
      <c r="C238" s="27" t="str">
        <f>_xlfn.IFNA(INDEX(Refer!$B$5:$B$103,MATCH(Table6[[#This Row],[TASK]],Refer!$C$5:$C$103,0)),"")</f>
        <v>NPI</v>
      </c>
      <c r="D238" s="93" t="s">
        <v>61</v>
      </c>
      <c r="E238" s="79" t="s">
        <v>317</v>
      </c>
      <c r="F238" s="82" t="s">
        <v>63</v>
      </c>
      <c r="G238" s="27" t="s">
        <v>64</v>
      </c>
      <c r="H238" s="41">
        <v>46094</v>
      </c>
      <c r="I238" s="41">
        <v>46094</v>
      </c>
      <c r="J238" s="41">
        <v>46094</v>
      </c>
      <c r="K238" s="27" t="str">
        <f>IF(Table6[[#This Row],[Finish Date]]=0,"On process","Close")</f>
        <v>Close</v>
      </c>
      <c r="L238" s="27" t="str">
        <f>IF(Table6[[#This Row],[Status]]="On process",IF($H$2&gt;Table6[[#This Row],[Target Date]],"Overdue","On time"),"Closed")</f>
        <v>Closed</v>
      </c>
      <c r="M238" s="27" t="str" cm="1">
        <f t="array" ref="M238">_xlfn.IFS(Table6[[#This Row],[Finish Date]]=0,"",Table6[[#This Row],[Finish Date]]&gt;Table6[[#This Row],[Target Date]],"Delay",Table6[[#This Row],[Finish Date]]&lt;=Table6[[#This Row],[Target Date]],"On Time")</f>
        <v>On Time</v>
      </c>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row>
    <row r="239" spans="1:41" ht="21" hidden="1" customHeight="1">
      <c r="A239" s="84">
        <f>WEEKNUM(Table6[[#This Row],[Start Date]])</f>
        <v>11</v>
      </c>
      <c r="B239" s="27" t="str">
        <f>TEXT(Table6[[#This Row],[Start Date]],"mmm")</f>
        <v>Mar</v>
      </c>
      <c r="C239" s="27" t="str">
        <f>_xlfn.IFNA(INDEX(Refer!$B$5:$B$103,MATCH(Table6[[#This Row],[TASK]],Refer!$C$5:$C$103,0)),"")</f>
        <v>PACKING</v>
      </c>
      <c r="D239" s="93" t="s">
        <v>120</v>
      </c>
      <c r="E239" s="79" t="s">
        <v>318</v>
      </c>
      <c r="F239" s="82" t="s">
        <v>63</v>
      </c>
      <c r="G239" s="27" t="s">
        <v>115</v>
      </c>
      <c r="H239" s="41">
        <v>46092</v>
      </c>
      <c r="I239" s="41">
        <v>46092</v>
      </c>
      <c r="J239" s="41">
        <v>46092</v>
      </c>
      <c r="K239" s="27" t="str">
        <f>IF(Table6[[#This Row],[Finish Date]]=0,"On process","Close")</f>
        <v>Close</v>
      </c>
      <c r="L239" s="27" t="str">
        <f>IF(Table6[[#This Row],[Status]]="On process",IF($H$2&gt;Table6[[#This Row],[Target Date]],"Overdue","On time"),"Closed")</f>
        <v>Closed</v>
      </c>
      <c r="M239" s="27" t="str" cm="1">
        <f t="array" ref="M239">_xlfn.IFS(Table6[[#This Row],[Finish Date]]=0,"",Table6[[#This Row],[Finish Date]]&gt;Table6[[#This Row],[Target Date]],"Delay",Table6[[#This Row],[Finish Date]]&lt;=Table6[[#This Row],[Target Date]],"On Time")</f>
        <v>On Time</v>
      </c>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row>
    <row r="240" spans="1:41" ht="21" hidden="1" customHeight="1">
      <c r="A240" s="84">
        <f>WEEKNUM(Table6[[#This Row],[Start Date]])</f>
        <v>11</v>
      </c>
      <c r="B240" s="27" t="str">
        <f>TEXT(Table6[[#This Row],[Start Date]],"mmm")</f>
        <v>Mar</v>
      </c>
      <c r="C240" s="27" t="str">
        <f>_xlfn.IFNA(INDEX(Refer!$B$5:$B$103,MATCH(Table6[[#This Row],[TASK]],Refer!$C$5:$C$103,0)),"")</f>
        <v>RFQ</v>
      </c>
      <c r="D240" s="93" t="s">
        <v>123</v>
      </c>
      <c r="E240" s="79" t="s">
        <v>319</v>
      </c>
      <c r="F240" s="82" t="s">
        <v>320</v>
      </c>
      <c r="G240" s="27" t="s">
        <v>115</v>
      </c>
      <c r="H240" s="41">
        <v>46093</v>
      </c>
      <c r="I240" s="41">
        <v>46094</v>
      </c>
      <c r="J240" s="41">
        <v>46094</v>
      </c>
      <c r="K240" s="27" t="str">
        <f>IF(Table6[[#This Row],[Finish Date]]=0,"On process","Close")</f>
        <v>Close</v>
      </c>
      <c r="L240" s="27" t="str">
        <f>IF(Table6[[#This Row],[Status]]="On process",IF($H$2&gt;Table6[[#This Row],[Target Date]],"Overdue","On time"),"Closed")</f>
        <v>Closed</v>
      </c>
      <c r="M240" s="27" t="str" cm="1">
        <f t="array" ref="M240">_xlfn.IFS(Table6[[#This Row],[Finish Date]]=0,"",Table6[[#This Row],[Finish Date]]&gt;Table6[[#This Row],[Target Date]],"Delay",Table6[[#This Row],[Finish Date]]&lt;=Table6[[#This Row],[Target Date]],"On Time")</f>
        <v>On Time</v>
      </c>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row>
    <row r="241" spans="1:41" ht="21" hidden="1" customHeight="1">
      <c r="A241" s="84">
        <f>WEEKNUM(Table6[[#This Row],[Start Date]])</f>
        <v>11</v>
      </c>
      <c r="B241" s="27" t="str">
        <f>TEXT(Table6[[#This Row],[Start Date]],"mmm")</f>
        <v>Mar</v>
      </c>
      <c r="C241" s="27" t="str">
        <f>_xlfn.IFNA(INDEX(Refer!$B$5:$B$103,MATCH(Table6[[#This Row],[TASK]],Refer!$C$5:$C$103,0)),"")</f>
        <v>PACKING</v>
      </c>
      <c r="D241" s="93" t="s">
        <v>120</v>
      </c>
      <c r="E241" s="79" t="s">
        <v>321</v>
      </c>
      <c r="F241" s="82" t="s">
        <v>95</v>
      </c>
      <c r="G241" s="27" t="s">
        <v>115</v>
      </c>
      <c r="H241" s="41">
        <v>46094</v>
      </c>
      <c r="I241" s="41">
        <v>46094</v>
      </c>
      <c r="J241" s="41">
        <v>46094</v>
      </c>
      <c r="K241" s="27" t="str">
        <f>IF(Table6[[#This Row],[Finish Date]]=0,"On process","Close")</f>
        <v>Close</v>
      </c>
      <c r="L241" s="27" t="str">
        <f>IF(Table6[[#This Row],[Status]]="On process",IF($H$2&gt;Table6[[#This Row],[Target Date]],"Overdue","On time"),"Closed")</f>
        <v>Closed</v>
      </c>
      <c r="M241" s="27" t="str" cm="1">
        <f t="array" ref="M241">_xlfn.IFS(Table6[[#This Row],[Finish Date]]=0,"",Table6[[#This Row],[Finish Date]]&gt;Table6[[#This Row],[Target Date]],"Delay",Table6[[#This Row],[Finish Date]]&lt;=Table6[[#This Row],[Target Date]],"On Time")</f>
        <v>On Time</v>
      </c>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row>
    <row r="242" spans="1:41" ht="21" hidden="1" customHeight="1">
      <c r="A242" s="84">
        <f>WEEKNUM(Table6[[#This Row],[Start Date]])</f>
        <v>11</v>
      </c>
      <c r="B242" s="27" t="str">
        <f>TEXT(Table6[[#This Row],[Start Date]],"mmm")</f>
        <v>Mar</v>
      </c>
      <c r="C242" s="27" t="str">
        <f>_xlfn.IFNA(INDEX(Refer!$B$5:$B$103,MATCH(Table6[[#This Row],[TASK]],Refer!$C$5:$C$103,0)),"")</f>
        <v>PACKING</v>
      </c>
      <c r="D242" s="93" t="s">
        <v>112</v>
      </c>
      <c r="E242" s="79" t="s">
        <v>322</v>
      </c>
      <c r="F242" s="82"/>
      <c r="G242" s="27" t="s">
        <v>115</v>
      </c>
      <c r="H242" s="41">
        <v>46094</v>
      </c>
      <c r="I242" s="41">
        <v>46094</v>
      </c>
      <c r="J242" s="41">
        <v>46094</v>
      </c>
      <c r="K242" s="27" t="str">
        <f>IF(Table6[[#This Row],[Finish Date]]=0,"On process","Close")</f>
        <v>Close</v>
      </c>
      <c r="L242" s="27" t="str">
        <f>IF(Table6[[#This Row],[Status]]="On process",IF($H$2&gt;Table6[[#This Row],[Target Date]],"Overdue","On time"),"Closed")</f>
        <v>Closed</v>
      </c>
      <c r="M242" s="27" t="str" cm="1">
        <f t="array" ref="M242">_xlfn.IFS(Table6[[#This Row],[Finish Date]]=0,"",Table6[[#This Row],[Finish Date]]&gt;Table6[[#This Row],[Target Date]],"Delay",Table6[[#This Row],[Finish Date]]&lt;=Table6[[#This Row],[Target Date]],"On Time")</f>
        <v>On Time</v>
      </c>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row>
    <row r="243" spans="1:41" ht="21" hidden="1" customHeight="1">
      <c r="A243" s="84">
        <f>WEEKNUM(Table6[[#This Row],[Start Date]])</f>
        <v>11</v>
      </c>
      <c r="B243" s="27" t="str">
        <f>TEXT(Table6[[#This Row],[Start Date]],"mmm")</f>
        <v>Mar</v>
      </c>
      <c r="C243" s="27" t="str">
        <f>_xlfn.IFNA(INDEX(Refer!$B$5:$B$103,MATCH(Table6[[#This Row],[TASK]],Refer!$C$5:$C$103,0)),"")</f>
        <v>RFQ</v>
      </c>
      <c r="D243" s="93" t="s">
        <v>123</v>
      </c>
      <c r="E243" s="79" t="s">
        <v>323</v>
      </c>
      <c r="F243" s="82" t="s">
        <v>95</v>
      </c>
      <c r="G243" s="27" t="s">
        <v>115</v>
      </c>
      <c r="H243" s="41">
        <v>46094</v>
      </c>
      <c r="I243" s="41">
        <v>46094</v>
      </c>
      <c r="J243" s="41">
        <v>46094</v>
      </c>
      <c r="K243" s="27" t="str">
        <f>IF(Table6[[#This Row],[Finish Date]]=0,"On process","Close")</f>
        <v>Close</v>
      </c>
      <c r="L243" s="27" t="str">
        <f>IF(Table6[[#This Row],[Status]]="On process",IF($H$2&gt;Table6[[#This Row],[Target Date]],"Overdue","On time"),"Closed")</f>
        <v>Closed</v>
      </c>
      <c r="M243" s="27" t="str" cm="1">
        <f t="array" ref="M243">_xlfn.IFS(Table6[[#This Row],[Finish Date]]=0,"",Table6[[#This Row],[Finish Date]]&gt;Table6[[#This Row],[Target Date]],"Delay",Table6[[#This Row],[Finish Date]]&lt;=Table6[[#This Row],[Target Date]],"On Time")</f>
        <v>On Time</v>
      </c>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row>
    <row r="244" spans="1:41" ht="21" hidden="1" customHeight="1">
      <c r="A244" s="84">
        <f>WEEKNUM(Table6[[#This Row],[Start Date]])</f>
        <v>11</v>
      </c>
      <c r="B244" s="27" t="str">
        <f>TEXT(Table6[[#This Row],[Start Date]],"mmm")</f>
        <v>Mar</v>
      </c>
      <c r="C244" s="27" t="str">
        <f>_xlfn.IFNA(INDEX(Refer!$B$5:$B$103,MATCH(Table6[[#This Row],[TASK]],Refer!$C$5:$C$103,0)),"")</f>
        <v>PACKING</v>
      </c>
      <c r="D244" s="93" t="s">
        <v>112</v>
      </c>
      <c r="E244" s="79" t="s">
        <v>324</v>
      </c>
      <c r="F244" s="82"/>
      <c r="G244" s="27" t="s">
        <v>115</v>
      </c>
      <c r="H244" s="41">
        <v>46093</v>
      </c>
      <c r="I244" s="41">
        <v>46094</v>
      </c>
      <c r="J244" s="41">
        <v>46094</v>
      </c>
      <c r="K244" s="27" t="str">
        <f>IF(Table6[[#This Row],[Finish Date]]=0,"On process","Close")</f>
        <v>Close</v>
      </c>
      <c r="L244" s="27" t="str">
        <f>IF(Table6[[#This Row],[Status]]="On process",IF($H$2&gt;Table6[[#This Row],[Target Date]],"Overdue","On time"),"Closed")</f>
        <v>Closed</v>
      </c>
      <c r="M244" s="27" t="str" cm="1">
        <f t="array" ref="M244">_xlfn.IFS(Table6[[#This Row],[Finish Date]]=0,"",Table6[[#This Row],[Finish Date]]&gt;Table6[[#This Row],[Target Date]],"Delay",Table6[[#This Row],[Finish Date]]&lt;=Table6[[#This Row],[Target Date]],"On Time")</f>
        <v>On Time</v>
      </c>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row>
    <row r="245" spans="1:41" ht="21" hidden="1" customHeight="1">
      <c r="A245" s="84">
        <f>WEEKNUM(Table6[[#This Row],[Start Date]])</f>
        <v>11</v>
      </c>
      <c r="B245" s="27" t="str">
        <f>TEXT(Table6[[#This Row],[Start Date]],"mmm")</f>
        <v>Mar</v>
      </c>
      <c r="C245" s="27" t="str">
        <f>_xlfn.IFNA(INDEX(Refer!$B$5:$B$103,MATCH(Table6[[#This Row],[TASK]],Refer!$C$5:$C$103,0)),"")</f>
        <v>MEETING</v>
      </c>
      <c r="D245" s="93" t="s">
        <v>72</v>
      </c>
      <c r="E245" s="79" t="s">
        <v>303</v>
      </c>
      <c r="F245" s="82" t="s">
        <v>66</v>
      </c>
      <c r="G245" s="27" t="s">
        <v>182</v>
      </c>
      <c r="H245" s="41">
        <v>46090</v>
      </c>
      <c r="I245" s="41">
        <v>46090</v>
      </c>
      <c r="J245" s="41">
        <v>46090</v>
      </c>
      <c r="K245" s="27" t="str">
        <f>IF(Table6[[#This Row],[Finish Date]]=0,"On process","Close")</f>
        <v>Close</v>
      </c>
      <c r="L245" s="27" t="str">
        <f>IF(Table6[[#This Row],[Status]]="On process",IF($H$2&gt;Table6[[#This Row],[Target Date]],"Overdue","On time"),"Closed")</f>
        <v>Closed</v>
      </c>
      <c r="M245" s="27" t="str" cm="1">
        <f t="array" ref="M245">_xlfn.IFS(Table6[[#This Row],[Finish Date]]=0,"",Table6[[#This Row],[Finish Date]]&gt;Table6[[#This Row],[Target Date]],"Delay",Table6[[#This Row],[Finish Date]]&lt;=Table6[[#This Row],[Target Date]],"On Time")</f>
        <v>On Time</v>
      </c>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row>
    <row r="246" spans="1:41" ht="21" hidden="1" customHeight="1">
      <c r="A246" s="84">
        <f>WEEKNUM(Table6[[#This Row],[Start Date]])</f>
        <v>11</v>
      </c>
      <c r="B246" s="27" t="str">
        <f>TEXT(Table6[[#This Row],[Start Date]],"mmm")</f>
        <v>Mar</v>
      </c>
      <c r="C246" s="27" t="str">
        <f>_xlfn.IFNA(INDEX(Refer!$B$5:$B$103,MATCH(Table6[[#This Row],[TASK]],Refer!$C$5:$C$103,0)),"")</f>
        <v>OTHER</v>
      </c>
      <c r="D246" s="93" t="s">
        <v>325</v>
      </c>
      <c r="E246" s="79" t="s">
        <v>326</v>
      </c>
      <c r="F246" s="82"/>
      <c r="G246" s="27" t="s">
        <v>182</v>
      </c>
      <c r="H246" s="41">
        <v>46091</v>
      </c>
      <c r="I246" s="41">
        <v>46091</v>
      </c>
      <c r="J246" s="41">
        <v>46091</v>
      </c>
      <c r="K246" s="27" t="str">
        <f>IF(Table6[[#This Row],[Finish Date]]=0,"On process","Close")</f>
        <v>Close</v>
      </c>
      <c r="L246" s="27" t="str">
        <f>IF(Table6[[#This Row],[Status]]="On process",IF($H$2&gt;Table6[[#This Row],[Target Date]],"Overdue","On time"),"Closed")</f>
        <v>Closed</v>
      </c>
      <c r="M246" s="27" t="str" cm="1">
        <f t="array" ref="M246">_xlfn.IFS(Table6[[#This Row],[Finish Date]]=0,"",Table6[[#This Row],[Finish Date]]&gt;Table6[[#This Row],[Target Date]],"Delay",Table6[[#This Row],[Finish Date]]&lt;=Table6[[#This Row],[Target Date]],"On Time")</f>
        <v>On Time</v>
      </c>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row>
    <row r="247" spans="1:41" ht="21" hidden="1" customHeight="1">
      <c r="A247" s="84">
        <f>WEEKNUM(Table6[[#This Row],[Start Date]])</f>
        <v>11</v>
      </c>
      <c r="B247" s="27" t="str">
        <f>TEXT(Table6[[#This Row],[Start Date]],"mmm")</f>
        <v>Mar</v>
      </c>
      <c r="C247" s="27" t="str">
        <f>_xlfn.IFNA(INDEX(Refer!$B$5:$B$103,MATCH(Table6[[#This Row],[TASK]],Refer!$C$5:$C$103,0)),"")</f>
        <v>NPI</v>
      </c>
      <c r="D247" s="93" t="s">
        <v>61</v>
      </c>
      <c r="E247" s="79" t="s">
        <v>327</v>
      </c>
      <c r="F247" s="82" t="s">
        <v>63</v>
      </c>
      <c r="G247" s="27" t="s">
        <v>182</v>
      </c>
      <c r="H247" s="41">
        <v>46092</v>
      </c>
      <c r="I247" s="41">
        <v>46093</v>
      </c>
      <c r="J247" s="41">
        <v>46093</v>
      </c>
      <c r="K247" s="27" t="str">
        <f>IF(Table6[[#This Row],[Finish Date]]=0,"On process","Close")</f>
        <v>Close</v>
      </c>
      <c r="L247" s="27" t="str">
        <f>IF(Table6[[#This Row],[Status]]="On process",IF($H$2&gt;Table6[[#This Row],[Target Date]],"Overdue","On time"),"Closed")</f>
        <v>Closed</v>
      </c>
      <c r="M247" s="27" t="str" cm="1">
        <f t="array" ref="M247">_xlfn.IFS(Table6[[#This Row],[Finish Date]]=0,"",Table6[[#This Row],[Finish Date]]&gt;Table6[[#This Row],[Target Date]],"Delay",Table6[[#This Row],[Finish Date]]&lt;=Table6[[#This Row],[Target Date]],"On Time")</f>
        <v>On Time</v>
      </c>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row>
    <row r="248" spans="1:41" ht="21" hidden="1" customHeight="1">
      <c r="A248" s="27">
        <f>WEEKNUM(Table6[[#This Row],[Start Date]])</f>
        <v>11</v>
      </c>
      <c r="B248" s="27" t="str">
        <f>TEXT(Table6[[#This Row],[Start Date]],"mmm")</f>
        <v>Mar</v>
      </c>
      <c r="C248" s="27" t="str">
        <f>_xlfn.IFNA(INDEX(Refer!$B$5:$B$103,MATCH(Table6[[#This Row],[TASK]],Refer!$C$5:$C$103,0)),"")</f>
        <v>MEETING</v>
      </c>
      <c r="D248" s="93" t="s">
        <v>72</v>
      </c>
      <c r="E248" s="79" t="s">
        <v>328</v>
      </c>
      <c r="F248" s="82" t="s">
        <v>329</v>
      </c>
      <c r="G248" s="27" t="s">
        <v>182</v>
      </c>
      <c r="H248" s="41">
        <v>46094</v>
      </c>
      <c r="I248" s="41">
        <v>46094</v>
      </c>
      <c r="J248" s="41">
        <v>46094</v>
      </c>
      <c r="K248" s="27" t="str">
        <f>IF(Table6[[#This Row],[Finish Date]]=0,"On process","Close")</f>
        <v>Close</v>
      </c>
      <c r="L248" s="27" t="str">
        <f>IF(Table6[[#This Row],[Status]]="On process",IF($H$2&gt;Table6[[#This Row],[Target Date]],"Overdue","On time"),"Closed")</f>
        <v>Closed</v>
      </c>
      <c r="M248" s="27" t="str" cm="1">
        <f t="array" ref="M248">_xlfn.IFS(Table6[[#This Row],[Finish Date]]=0,"",Table6[[#This Row],[Finish Date]]&gt;Table6[[#This Row],[Target Date]],"Delay",Table6[[#This Row],[Finish Date]]&lt;=Table6[[#This Row],[Target Date]],"On Time")</f>
        <v>On Time</v>
      </c>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row>
    <row r="249" spans="1:41" ht="21" hidden="1" customHeight="1">
      <c r="A249" s="84">
        <f>WEEKNUM(Table6[[#This Row],[Start Date]])</f>
        <v>11</v>
      </c>
      <c r="B249" s="27" t="str">
        <f>TEXT(Table6[[#This Row],[Start Date]],"mmm")</f>
        <v>Mar</v>
      </c>
      <c r="C249" s="27" t="str">
        <f>_xlfn.IFNA(INDEX(Refer!$B$5:$B$103,MATCH(Table6[[#This Row],[TASK]],Refer!$C$5:$C$103,0)),"")</f>
        <v>RFQ</v>
      </c>
      <c r="D249" s="93" t="s">
        <v>21</v>
      </c>
      <c r="E249" s="79" t="s">
        <v>330</v>
      </c>
      <c r="F249" s="82" t="s">
        <v>320</v>
      </c>
      <c r="G249" s="27" t="s">
        <v>182</v>
      </c>
      <c r="H249" s="41">
        <v>46093</v>
      </c>
      <c r="I249" s="41">
        <v>46094</v>
      </c>
      <c r="J249" s="41">
        <v>46094</v>
      </c>
      <c r="K249" s="27" t="str">
        <f>IF(Table6[[#This Row],[Finish Date]]=0,"On process","Close")</f>
        <v>Close</v>
      </c>
      <c r="L249" s="27" t="str">
        <f>IF(Table6[[#This Row],[Status]]="On process",IF($H$2&gt;Table6[[#This Row],[Target Date]],"Overdue","On time"),"Closed")</f>
        <v>Closed</v>
      </c>
      <c r="M249" s="27" t="str" cm="1">
        <f t="array" ref="M249">_xlfn.IFS(Table6[[#This Row],[Finish Date]]=0,"",Table6[[#This Row],[Finish Date]]&gt;Table6[[#This Row],[Target Date]],"Delay",Table6[[#This Row],[Finish Date]]&lt;=Table6[[#This Row],[Target Date]],"On Time")</f>
        <v>On Time</v>
      </c>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row>
    <row r="250" spans="1:41" ht="21" hidden="1" customHeight="1">
      <c r="A250" s="27">
        <f>WEEKNUM(Table6[[#This Row],[Start Date]])</f>
        <v>11</v>
      </c>
      <c r="B250" s="27" t="str">
        <f>TEXT(Table6[[#This Row],[Start Date]],"mmm")</f>
        <v>Mar</v>
      </c>
      <c r="C250" s="27" t="str">
        <f>_xlfn.IFNA(INDEX(Refer!$B$5:$B$103,MATCH(Table6[[#This Row],[TASK]],Refer!$C$5:$C$103,0)),"")</f>
        <v>MEETING</v>
      </c>
      <c r="D250" s="93" t="s">
        <v>72</v>
      </c>
      <c r="E250" s="79" t="s">
        <v>328</v>
      </c>
      <c r="F250" s="82" t="s">
        <v>329</v>
      </c>
      <c r="G250" s="27" t="s">
        <v>182</v>
      </c>
      <c r="H250" s="41">
        <v>46093</v>
      </c>
      <c r="I250" s="41">
        <v>46093</v>
      </c>
      <c r="J250" s="41">
        <v>46093</v>
      </c>
      <c r="K250" s="27" t="str">
        <f>IF(Table6[[#This Row],[Finish Date]]=0,"On process","Close")</f>
        <v>Close</v>
      </c>
      <c r="L250" s="27" t="str">
        <f>IF(Table6[[#This Row],[Status]]="On process",IF($H$2&gt;Table6[[#This Row],[Target Date]],"Overdue","On time"),"Closed")</f>
        <v>Closed</v>
      </c>
      <c r="M250" s="27" t="str" cm="1">
        <f t="array" ref="M250">_xlfn.IFS(Table6[[#This Row],[Finish Date]]=0,"",Table6[[#This Row],[Finish Date]]&gt;Table6[[#This Row],[Target Date]],"Delay",Table6[[#This Row],[Finish Date]]&lt;=Table6[[#This Row],[Target Date]],"On Time")</f>
        <v>On Time</v>
      </c>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row>
    <row r="251" spans="1:41" ht="21" hidden="1" customHeight="1">
      <c r="A251" s="84">
        <f>WEEKNUM(Table6[[#This Row],[Start Date]])</f>
        <v>10</v>
      </c>
      <c r="B251" s="27" t="str">
        <f>TEXT(Table6[[#This Row],[Start Date]],"mmm")</f>
        <v>Mar</v>
      </c>
      <c r="C251" s="27" t="str">
        <f>_xlfn.IFNA(INDEX(Refer!$B$5:$B$103,MATCH(Table6[[#This Row],[TASK]],Refer!$C$5:$C$103,0)),"")</f>
        <v>NPI</v>
      </c>
      <c r="D251" s="93" t="s">
        <v>61</v>
      </c>
      <c r="E251" s="79" t="s">
        <v>331</v>
      </c>
      <c r="F251" s="82" t="s">
        <v>114</v>
      </c>
      <c r="G251" s="27" t="s">
        <v>169</v>
      </c>
      <c r="H251" s="41">
        <v>46087</v>
      </c>
      <c r="I251" s="41">
        <v>46087</v>
      </c>
      <c r="J251" s="41">
        <v>46087</v>
      </c>
      <c r="K251" s="27" t="str">
        <f>IF(Table6[[#This Row],[Finish Date]]=0,"On process","Close")</f>
        <v>Close</v>
      </c>
      <c r="L251" s="27" t="str">
        <f>IF(Table6[[#This Row],[Status]]="On process",IF($H$2&gt;Table6[[#This Row],[Target Date]],"Overdue","On time"),"Closed")</f>
        <v>Closed</v>
      </c>
      <c r="M251" s="27" t="str" cm="1">
        <f t="array" ref="M251">_xlfn.IFS(Table6[[#This Row],[Finish Date]]=0,"",Table6[[#This Row],[Finish Date]]&gt;Table6[[#This Row],[Target Date]],"Delay",Table6[[#This Row],[Finish Date]]&lt;=Table6[[#This Row],[Target Date]],"On Time")</f>
        <v>On Time</v>
      </c>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row>
    <row r="252" spans="1:41" ht="21" hidden="1" customHeight="1">
      <c r="A252" s="84">
        <f>WEEKNUM(Table6[[#This Row],[Start Date]])</f>
        <v>11</v>
      </c>
      <c r="B252" s="27" t="str">
        <f>TEXT(Table6[[#This Row],[Start Date]],"mmm")</f>
        <v>Mar</v>
      </c>
      <c r="C252" s="27" t="str">
        <f>_xlfn.IFNA(INDEX(Refer!$B$5:$B$103,MATCH(Table6[[#This Row],[TASK]],Refer!$C$5:$C$103,0)),"")</f>
        <v>OTHER</v>
      </c>
      <c r="D252" s="93" t="s">
        <v>325</v>
      </c>
      <c r="E252" s="79" t="s">
        <v>326</v>
      </c>
      <c r="F252" s="82"/>
      <c r="G252" s="27" t="s">
        <v>169</v>
      </c>
      <c r="H252" s="41">
        <v>46091</v>
      </c>
      <c r="I252" s="41">
        <v>46091</v>
      </c>
      <c r="J252" s="41">
        <v>46091</v>
      </c>
      <c r="K252" s="27" t="str">
        <f>IF(Table6[[#This Row],[Finish Date]]=0,"On process","Close")</f>
        <v>Close</v>
      </c>
      <c r="L252" s="27" t="str">
        <f>IF(Table6[[#This Row],[Status]]="On process",IF($H$2&gt;Table6[[#This Row],[Target Date]],"Overdue","On time"),"Closed")</f>
        <v>Closed</v>
      </c>
      <c r="M252" s="27" t="str" cm="1">
        <f t="array" ref="M252">_xlfn.IFS(Table6[[#This Row],[Finish Date]]=0,"",Table6[[#This Row],[Finish Date]]&gt;Table6[[#This Row],[Target Date]],"Delay",Table6[[#This Row],[Finish Date]]&lt;=Table6[[#This Row],[Target Date]],"On Time")</f>
        <v>On Time</v>
      </c>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row>
    <row r="253" spans="1:41" ht="21" hidden="1" customHeight="1">
      <c r="A253" s="84">
        <f>WEEKNUM(Table6[[#This Row],[Start Date]])</f>
        <v>11</v>
      </c>
      <c r="B253" s="27" t="str">
        <f>TEXT(Table6[[#This Row],[Start Date]],"mmm")</f>
        <v>Mar</v>
      </c>
      <c r="C253" s="27" t="str">
        <f>_xlfn.IFNA(INDEX(Refer!$B$5:$B$103,MATCH(Table6[[#This Row],[TASK]],Refer!$C$5:$C$103,0)),"")</f>
        <v>MEETING</v>
      </c>
      <c r="D253" s="93" t="s">
        <v>72</v>
      </c>
      <c r="E253" s="79" t="s">
        <v>332</v>
      </c>
      <c r="F253" s="82" t="s">
        <v>329</v>
      </c>
      <c r="G253" s="27" t="s">
        <v>169</v>
      </c>
      <c r="H253" s="41">
        <v>46093</v>
      </c>
      <c r="I253" s="41">
        <v>46094</v>
      </c>
      <c r="J253" s="41">
        <v>46094</v>
      </c>
      <c r="K253" s="27" t="str">
        <f>IF(Table6[[#This Row],[Finish Date]]=0,"On process","Close")</f>
        <v>Close</v>
      </c>
      <c r="L253" s="27" t="str">
        <f>IF(Table6[[#This Row],[Status]]="On process",IF($H$2&gt;Table6[[#This Row],[Target Date]],"Overdue","On time"),"Closed")</f>
        <v>Closed</v>
      </c>
      <c r="M253" s="27" t="str" cm="1">
        <f t="array" ref="M253">_xlfn.IFS(Table6[[#This Row],[Finish Date]]=0,"",Table6[[#This Row],[Finish Date]]&gt;Table6[[#This Row],[Target Date]],"Delay",Table6[[#This Row],[Finish Date]]&lt;=Table6[[#This Row],[Target Date]],"On Time")</f>
        <v>On Time</v>
      </c>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row>
    <row r="254" spans="1:41" ht="21" hidden="1" customHeight="1">
      <c r="A254" s="84">
        <f>WEEKNUM(Table6[[#This Row],[Start Date]])</f>
        <v>11</v>
      </c>
      <c r="B254" s="27" t="str">
        <f>TEXT(Table6[[#This Row],[Start Date]],"mmm")</f>
        <v>Mar</v>
      </c>
      <c r="C254" s="27" t="str">
        <f>_xlfn.IFNA(INDEX(Refer!$B$5:$B$103,MATCH(Table6[[#This Row],[TASK]],Refer!$C$5:$C$103,0)),"")</f>
        <v>MEETING</v>
      </c>
      <c r="D254" s="93" t="s">
        <v>72</v>
      </c>
      <c r="E254" s="79" t="s">
        <v>328</v>
      </c>
      <c r="F254" s="82" t="s">
        <v>329</v>
      </c>
      <c r="G254" s="27" t="s">
        <v>169</v>
      </c>
      <c r="H254" s="41">
        <v>46093</v>
      </c>
      <c r="I254" s="41">
        <v>46093</v>
      </c>
      <c r="J254" s="41">
        <v>46093</v>
      </c>
      <c r="K254" s="27" t="str">
        <f>IF(Table6[[#This Row],[Finish Date]]=0,"On process","Close")</f>
        <v>Close</v>
      </c>
      <c r="L254" s="27" t="str">
        <f>IF(Table6[[#This Row],[Status]]="On process",IF($H$2&gt;Table6[[#This Row],[Target Date]],"Overdue","On time"),"Closed")</f>
        <v>Closed</v>
      </c>
      <c r="M254" s="27" t="str" cm="1">
        <f t="array" ref="M254">_xlfn.IFS(Table6[[#This Row],[Finish Date]]=0,"",Table6[[#This Row],[Finish Date]]&gt;Table6[[#This Row],[Target Date]],"Delay",Table6[[#This Row],[Finish Date]]&lt;=Table6[[#This Row],[Target Date]],"On Time")</f>
        <v>On Time</v>
      </c>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row>
    <row r="255" spans="1:41" ht="21" hidden="1" customHeight="1">
      <c r="A255" s="27">
        <f>WEEKNUM(Table6[[#This Row],[Start Date]])</f>
        <v>11</v>
      </c>
      <c r="B255" s="27" t="str">
        <f>TEXT(Table6[[#This Row],[Start Date]],"mmm")</f>
        <v>Mar</v>
      </c>
      <c r="C255" s="27" t="str">
        <f>_xlfn.IFNA(INDEX(Refer!$B$5:$B$103,MATCH(Table6[[#This Row],[TASK]],Refer!$C$5:$C$103,0)),"")</f>
        <v>MEETING</v>
      </c>
      <c r="D255" s="93" t="s">
        <v>72</v>
      </c>
      <c r="E255" s="79" t="s">
        <v>328</v>
      </c>
      <c r="F255" s="82" t="s">
        <v>329</v>
      </c>
      <c r="G255" s="27" t="s">
        <v>169</v>
      </c>
      <c r="H255" s="41">
        <v>46094</v>
      </c>
      <c r="I255" s="41">
        <v>46094</v>
      </c>
      <c r="J255" s="41">
        <v>46094</v>
      </c>
      <c r="K255" s="27" t="str">
        <f>IF(Table6[[#This Row],[Finish Date]]=0,"On process","Close")</f>
        <v>Close</v>
      </c>
      <c r="L255" s="27" t="str">
        <f>IF(Table6[[#This Row],[Status]]="On process",IF($H$2&gt;Table6[[#This Row],[Target Date]],"Overdue","On time"),"Closed")</f>
        <v>Closed</v>
      </c>
      <c r="M255" s="27" t="str" cm="1">
        <f t="array" ref="M255">_xlfn.IFS(Table6[[#This Row],[Finish Date]]=0,"",Table6[[#This Row],[Finish Date]]&gt;Table6[[#This Row],[Target Date]],"Delay",Table6[[#This Row],[Finish Date]]&lt;=Table6[[#This Row],[Target Date]],"On Time")</f>
        <v>On Time</v>
      </c>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row>
    <row r="256" spans="1:41" ht="21" hidden="1" customHeight="1">
      <c r="A256" s="84">
        <f>WEEKNUM(Table6[[#This Row],[Start Date]])</f>
        <v>12</v>
      </c>
      <c r="B256" s="27" t="str">
        <f>TEXT(Table6[[#This Row],[Start Date]],"mmm")</f>
        <v>Mar</v>
      </c>
      <c r="C256" s="27" t="str">
        <f>_xlfn.IFNA(INDEX(Refer!$B$5:$B$103,MATCH(Table6[[#This Row],[TASK]],Refer!$C$5:$C$103,0)),"")</f>
        <v>NPI</v>
      </c>
      <c r="D256" s="93" t="s">
        <v>61</v>
      </c>
      <c r="E256" s="79" t="s">
        <v>333</v>
      </c>
      <c r="F256" s="82"/>
      <c r="G256" s="27" t="s">
        <v>169</v>
      </c>
      <c r="H256" s="41">
        <v>46099</v>
      </c>
      <c r="I256" s="41">
        <v>46099</v>
      </c>
      <c r="J256" s="41">
        <v>46099</v>
      </c>
      <c r="K256" s="27" t="str">
        <f>IF(Table6[[#This Row],[Finish Date]]=0,"On process","Close")</f>
        <v>Close</v>
      </c>
      <c r="L256" s="27" t="str">
        <f>IF(Table6[[#This Row],[Status]]="On process",IF($H$2&gt;Table6[[#This Row],[Target Date]],"Overdue","On time"),"Closed")</f>
        <v>Closed</v>
      </c>
      <c r="M256" s="27" t="str" cm="1">
        <f t="array" ref="M256">_xlfn.IFS(Table6[[#This Row],[Finish Date]]=0,"",Table6[[#This Row],[Finish Date]]&gt;Table6[[#This Row],[Target Date]],"Delay",Table6[[#This Row],[Finish Date]]&lt;=Table6[[#This Row],[Target Date]],"On Time")</f>
        <v>On Time</v>
      </c>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row>
    <row r="257" spans="1:41" ht="21" hidden="1" customHeight="1">
      <c r="A257" s="84">
        <f>WEEKNUM(Table6[[#This Row],[Start Date]])</f>
        <v>12</v>
      </c>
      <c r="B257" s="27" t="str">
        <f>TEXT(Table6[[#This Row],[Start Date]],"mmm")</f>
        <v>Mar</v>
      </c>
      <c r="C257" s="27" t="str">
        <f>_xlfn.IFNA(INDEX(Refer!$B$5:$B$103,MATCH(Table6[[#This Row],[TASK]],Refer!$C$5:$C$103,0)),"")</f>
        <v>NPI</v>
      </c>
      <c r="D257" s="93" t="s">
        <v>61</v>
      </c>
      <c r="E257" s="79" t="s">
        <v>334</v>
      </c>
      <c r="F257" s="82" t="s">
        <v>63</v>
      </c>
      <c r="G257" s="27" t="s">
        <v>64</v>
      </c>
      <c r="H257" s="41">
        <v>46097</v>
      </c>
      <c r="I257" s="41">
        <v>46097</v>
      </c>
      <c r="J257" s="41">
        <v>46097</v>
      </c>
      <c r="K257" s="27" t="str">
        <f>IF(Table6[[#This Row],[Finish Date]]=0,"On process","Close")</f>
        <v>Close</v>
      </c>
      <c r="L257" s="27" t="str">
        <f>IF(Table6[[#This Row],[Status]]="On process",IF($H$2&gt;Table6[[#This Row],[Target Date]],"Overdue","On time"),"Closed")</f>
        <v>Closed</v>
      </c>
      <c r="M257" s="27" t="str" cm="1">
        <f t="array" ref="M257">_xlfn.IFS(Table6[[#This Row],[Finish Date]]=0,"",Table6[[#This Row],[Finish Date]]&gt;Table6[[#This Row],[Target Date]],"Delay",Table6[[#This Row],[Finish Date]]&lt;=Table6[[#This Row],[Target Date]],"On Time")</f>
        <v>On Time</v>
      </c>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row>
    <row r="258" spans="1:41" ht="21" hidden="1" customHeight="1">
      <c r="A258" s="84">
        <f>WEEKNUM(Table6[[#This Row],[Start Date]])</f>
        <v>12</v>
      </c>
      <c r="B258" s="27" t="str">
        <f>TEXT(Table6[[#This Row],[Start Date]],"mmm")</f>
        <v>Mar</v>
      </c>
      <c r="C258" s="27" t="str">
        <f>_xlfn.IFNA(INDEX(Refer!$B$5:$B$103,MATCH(Table6[[#This Row],[TASK]],Refer!$C$5:$C$103,0)),"")</f>
        <v>NPI</v>
      </c>
      <c r="D258" s="93" t="s">
        <v>61</v>
      </c>
      <c r="E258" s="79" t="s">
        <v>334</v>
      </c>
      <c r="F258" s="82" t="s">
        <v>63</v>
      </c>
      <c r="G258" s="27" t="s">
        <v>182</v>
      </c>
      <c r="H258" s="41">
        <v>46097</v>
      </c>
      <c r="I258" s="41">
        <v>46097</v>
      </c>
      <c r="J258" s="41">
        <v>46097</v>
      </c>
      <c r="K258" s="27" t="str">
        <f>IF(Table6[[#This Row],[Finish Date]]=0,"On process","Close")</f>
        <v>Close</v>
      </c>
      <c r="L258" s="27" t="str">
        <f>IF(Table6[[#This Row],[Status]]="On process",IF($H$2&gt;Table6[[#This Row],[Target Date]],"Overdue","On time"),"Closed")</f>
        <v>Closed</v>
      </c>
      <c r="M258" s="27" t="str" cm="1">
        <f t="array" ref="M258">_xlfn.IFS(Table6[[#This Row],[Finish Date]]=0,"",Table6[[#This Row],[Finish Date]]&gt;Table6[[#This Row],[Target Date]],"Delay",Table6[[#This Row],[Finish Date]]&lt;=Table6[[#This Row],[Target Date]],"On Time")</f>
        <v>On Time</v>
      </c>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row>
    <row r="259" spans="1:41" ht="21" hidden="1" customHeight="1">
      <c r="A259" s="84">
        <f>WEEKNUM(Table6[[#This Row],[Start Date]])</f>
        <v>12</v>
      </c>
      <c r="B259" s="27" t="str">
        <f>TEXT(Table6[[#This Row],[Start Date]],"mmm")</f>
        <v>Mar</v>
      </c>
      <c r="C259" s="27" t="str">
        <f>_xlfn.IFNA(INDEX(Refer!$B$5:$B$103,MATCH(Table6[[#This Row],[TASK]],Refer!$C$5:$C$103,0)),"")</f>
        <v>NPI</v>
      </c>
      <c r="D259" s="93" t="s">
        <v>61</v>
      </c>
      <c r="E259" s="79" t="s">
        <v>334</v>
      </c>
      <c r="F259" s="82" t="s">
        <v>63</v>
      </c>
      <c r="G259" s="27" t="s">
        <v>169</v>
      </c>
      <c r="H259" s="41">
        <v>46097</v>
      </c>
      <c r="I259" s="41">
        <v>46097</v>
      </c>
      <c r="J259" s="41">
        <v>46097</v>
      </c>
      <c r="K259" s="27" t="str">
        <f>IF(Table6[[#This Row],[Finish Date]]=0,"On process","Close")</f>
        <v>Close</v>
      </c>
      <c r="L259" s="27" t="str">
        <f>IF(Table6[[#This Row],[Status]]="On process",IF($H$2&gt;Table6[[#This Row],[Target Date]],"Overdue","On time"),"Closed")</f>
        <v>Closed</v>
      </c>
      <c r="M259" s="27" t="str" cm="1">
        <f t="array" ref="M259">_xlfn.IFS(Table6[[#This Row],[Finish Date]]=0,"",Table6[[#This Row],[Finish Date]]&gt;Table6[[#This Row],[Target Date]],"Delay",Table6[[#This Row],[Finish Date]]&lt;=Table6[[#This Row],[Target Date]],"On Time")</f>
        <v>On Time</v>
      </c>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row>
    <row r="260" spans="1:41" ht="21" hidden="1" customHeight="1">
      <c r="A260" s="84">
        <f>WEEKNUM(Table6[[#This Row],[Start Date]])</f>
        <v>11</v>
      </c>
      <c r="B260" s="27" t="str">
        <f>TEXT(Table6[[#This Row],[Start Date]],"mmm")</f>
        <v>Mar</v>
      </c>
      <c r="C260" s="27" t="str">
        <f>_xlfn.IFNA(INDEX(Refer!$B$5:$B$103,MATCH(Table6[[#This Row],[TASK]],Refer!$C$5:$C$103,0)),"")</f>
        <v>PACKING</v>
      </c>
      <c r="D260" s="93" t="s">
        <v>120</v>
      </c>
      <c r="E260" s="79" t="s">
        <v>335</v>
      </c>
      <c r="F260" s="82" t="s">
        <v>149</v>
      </c>
      <c r="G260" s="27" t="s">
        <v>115</v>
      </c>
      <c r="H260" s="41">
        <v>46091</v>
      </c>
      <c r="I260" s="41">
        <v>46091</v>
      </c>
      <c r="J260" s="41">
        <v>46091</v>
      </c>
      <c r="K260" s="27" t="str">
        <f>IF(Table6[[#This Row],[Finish Date]]=0,"On process","Close")</f>
        <v>Close</v>
      </c>
      <c r="L260" s="27" t="str">
        <f>IF(Table6[[#This Row],[Status]]="On process",IF($H$2&gt;Table6[[#This Row],[Target Date]],"Overdue","On time"),"Closed")</f>
        <v>Closed</v>
      </c>
      <c r="M260" s="27" t="str" cm="1">
        <f t="array" ref="M260">_xlfn.IFS(Table6[[#This Row],[Finish Date]]=0,"",Table6[[#This Row],[Finish Date]]&gt;Table6[[#This Row],[Target Date]],"Delay",Table6[[#This Row],[Finish Date]]&lt;=Table6[[#This Row],[Target Date]],"On Time")</f>
        <v>On Time</v>
      </c>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row>
    <row r="261" spans="1:41" ht="21" hidden="1" customHeight="1">
      <c r="A261" s="84">
        <f>WEEKNUM(Table6[[#This Row],[Start Date]])</f>
        <v>11</v>
      </c>
      <c r="B261" s="27" t="str">
        <f>TEXT(Table6[[#This Row],[Start Date]],"mmm")</f>
        <v>Mar</v>
      </c>
      <c r="C261" s="27" t="str">
        <f>_xlfn.IFNA(INDEX(Refer!$B$5:$B$103,MATCH(Table6[[#This Row],[TASK]],Refer!$C$5:$C$103,0)),"")</f>
        <v>PACKING</v>
      </c>
      <c r="D261" s="93" t="s">
        <v>120</v>
      </c>
      <c r="E261" s="79" t="s">
        <v>336</v>
      </c>
      <c r="F261" s="82"/>
      <c r="G261" s="27" t="s">
        <v>115</v>
      </c>
      <c r="H261" s="41">
        <v>46091</v>
      </c>
      <c r="I261" s="41">
        <v>46093</v>
      </c>
      <c r="J261" s="41">
        <v>46093</v>
      </c>
      <c r="K261" s="27" t="str">
        <f>IF(Table6[[#This Row],[Finish Date]]=0,"On process","Close")</f>
        <v>Close</v>
      </c>
      <c r="L261" s="27" t="str">
        <f>IF(Table6[[#This Row],[Status]]="On process",IF($H$2&gt;Table6[[#This Row],[Target Date]],"Overdue","On time"),"Closed")</f>
        <v>Closed</v>
      </c>
      <c r="M261" s="27" t="str" cm="1">
        <f t="array" ref="M261">_xlfn.IFS(Table6[[#This Row],[Finish Date]]=0,"",Table6[[#This Row],[Finish Date]]&gt;Table6[[#This Row],[Target Date]],"Delay",Table6[[#This Row],[Finish Date]]&lt;=Table6[[#This Row],[Target Date]],"On Time")</f>
        <v>On Time</v>
      </c>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row>
    <row r="262" spans="1:41" ht="21" hidden="1" customHeight="1">
      <c r="A262" s="84">
        <f>WEEKNUM(Table6[[#This Row],[Start Date]])</f>
        <v>11</v>
      </c>
      <c r="B262" s="27" t="str">
        <f>TEXT(Table6[[#This Row],[Start Date]],"mmm")</f>
        <v>Mar</v>
      </c>
      <c r="C262" s="27" t="str">
        <f>_xlfn.IFNA(INDEX(Refer!$B$5:$B$103,MATCH(Table6[[#This Row],[TASK]],Refer!$C$5:$C$103,0)),"")</f>
        <v>PACKING</v>
      </c>
      <c r="D262" s="93" t="s">
        <v>120</v>
      </c>
      <c r="E262" s="79" t="s">
        <v>337</v>
      </c>
      <c r="F262" s="82"/>
      <c r="G262" s="27" t="s">
        <v>115</v>
      </c>
      <c r="H262" s="41">
        <v>46093</v>
      </c>
      <c r="I262" s="41">
        <v>46093</v>
      </c>
      <c r="J262" s="41">
        <v>46093</v>
      </c>
      <c r="K262" s="27" t="str">
        <f>IF(Table6[[#This Row],[Finish Date]]=0,"On process","Close")</f>
        <v>Close</v>
      </c>
      <c r="L262" s="27" t="str">
        <f>IF(Table6[[#This Row],[Status]]="On process",IF($H$2&gt;Table6[[#This Row],[Target Date]],"Overdue","On time"),"Closed")</f>
        <v>Closed</v>
      </c>
      <c r="M262" s="27" t="str" cm="1">
        <f t="array" ref="M262">_xlfn.IFS(Table6[[#This Row],[Finish Date]]=0,"",Table6[[#This Row],[Finish Date]]&gt;Table6[[#This Row],[Target Date]],"Delay",Table6[[#This Row],[Finish Date]]&lt;=Table6[[#This Row],[Target Date]],"On Time")</f>
        <v>On Time</v>
      </c>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row>
    <row r="263" spans="1:41" ht="21" hidden="1" customHeight="1">
      <c r="A263" s="84">
        <f>WEEKNUM(Table6[[#This Row],[Start Date]])</f>
        <v>11</v>
      </c>
      <c r="B263" s="27" t="str">
        <f>TEXT(Table6[[#This Row],[Start Date]],"mmm")</f>
        <v>Mar</v>
      </c>
      <c r="C263" s="27" t="str">
        <f>_xlfn.IFNA(INDEX(Refer!$B$5:$B$103,MATCH(Table6[[#This Row],[TASK]],Refer!$C$5:$C$103,0)),"")</f>
        <v>PACKING</v>
      </c>
      <c r="D263" s="93" t="s">
        <v>120</v>
      </c>
      <c r="E263" s="79" t="s">
        <v>338</v>
      </c>
      <c r="F263" s="82"/>
      <c r="G263" s="27" t="s">
        <v>115</v>
      </c>
      <c r="H263" s="41">
        <v>46092</v>
      </c>
      <c r="I263" s="41">
        <v>46092</v>
      </c>
      <c r="J263" s="41">
        <v>46092</v>
      </c>
      <c r="K263" s="27" t="str">
        <f>IF(Table6[[#This Row],[Finish Date]]=0,"On process","Close")</f>
        <v>Close</v>
      </c>
      <c r="L263" s="27" t="str">
        <f>IF(Table6[[#This Row],[Status]]="On process",IF($H$2&gt;Table6[[#This Row],[Target Date]],"Overdue","On time"),"Closed")</f>
        <v>Closed</v>
      </c>
      <c r="M263" s="27" t="str" cm="1">
        <f t="array" ref="M263">_xlfn.IFS(Table6[[#This Row],[Finish Date]]=0,"",Table6[[#This Row],[Finish Date]]&gt;Table6[[#This Row],[Target Date]],"Delay",Table6[[#This Row],[Finish Date]]&lt;=Table6[[#This Row],[Target Date]],"On Time")</f>
        <v>On Time</v>
      </c>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row>
    <row r="264" spans="1:41" ht="21" hidden="1" customHeight="1">
      <c r="A264" s="84">
        <f>WEEKNUM(Table6[[#This Row],[Start Date]])</f>
        <v>11</v>
      </c>
      <c r="B264" s="27" t="str">
        <f>TEXT(Table6[[#This Row],[Start Date]],"mmm")</f>
        <v>Mar</v>
      </c>
      <c r="C264" s="27" t="str">
        <f>_xlfn.IFNA(INDEX(Refer!$B$5:$B$103,MATCH(Table6[[#This Row],[TASK]],Refer!$C$5:$C$103,0)),"")</f>
        <v>PACKING</v>
      </c>
      <c r="D264" s="93" t="s">
        <v>120</v>
      </c>
      <c r="E264" s="79" t="s">
        <v>339</v>
      </c>
      <c r="F264" s="82"/>
      <c r="G264" s="27" t="s">
        <v>115</v>
      </c>
      <c r="H264" s="41">
        <v>46092</v>
      </c>
      <c r="I264" s="41">
        <v>46092</v>
      </c>
      <c r="J264" s="41">
        <v>46092</v>
      </c>
      <c r="K264" s="27" t="str">
        <f>IF(Table6[[#This Row],[Finish Date]]=0,"On process","Close")</f>
        <v>Close</v>
      </c>
      <c r="L264" s="27" t="str">
        <f>IF(Table6[[#This Row],[Status]]="On process",IF($H$2&gt;Table6[[#This Row],[Target Date]],"Overdue","On time"),"Closed")</f>
        <v>Closed</v>
      </c>
      <c r="M264" s="27" t="str" cm="1">
        <f t="array" ref="M264">_xlfn.IFS(Table6[[#This Row],[Finish Date]]=0,"",Table6[[#This Row],[Finish Date]]&gt;Table6[[#This Row],[Target Date]],"Delay",Table6[[#This Row],[Finish Date]]&lt;=Table6[[#This Row],[Target Date]],"On Time")</f>
        <v>On Time</v>
      </c>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row>
    <row r="265" spans="1:41" ht="21" hidden="1" customHeight="1">
      <c r="A265" s="84">
        <f>WEEKNUM(Table6[[#This Row],[Start Date]])</f>
        <v>11</v>
      </c>
      <c r="B265" s="27" t="str">
        <f>TEXT(Table6[[#This Row],[Start Date]],"mmm")</f>
        <v>Mar</v>
      </c>
      <c r="C265" s="27" t="str">
        <f>_xlfn.IFNA(INDEX(Refer!$B$5:$B$103,MATCH(Table6[[#This Row],[TASK]],Refer!$C$5:$C$103,0)),"")</f>
        <v>PACKING</v>
      </c>
      <c r="D265" s="93" t="s">
        <v>120</v>
      </c>
      <c r="E265" s="79" t="s">
        <v>340</v>
      </c>
      <c r="F265" s="82"/>
      <c r="G265" s="27" t="s">
        <v>115</v>
      </c>
      <c r="H265" s="41">
        <v>46092</v>
      </c>
      <c r="I265" s="41">
        <v>46092</v>
      </c>
      <c r="J265" s="41">
        <v>46092</v>
      </c>
      <c r="K265" s="27" t="str">
        <f>IF(Table6[[#This Row],[Finish Date]]=0,"On process","Close")</f>
        <v>Close</v>
      </c>
      <c r="L265" s="27" t="str">
        <f>IF(Table6[[#This Row],[Status]]="On process",IF($H$2&gt;Table6[[#This Row],[Target Date]],"Overdue","On time"),"Closed")</f>
        <v>Closed</v>
      </c>
      <c r="M265" s="27" t="str" cm="1">
        <f t="array" ref="M265">_xlfn.IFS(Table6[[#This Row],[Finish Date]]=0,"",Table6[[#This Row],[Finish Date]]&gt;Table6[[#This Row],[Target Date]],"Delay",Table6[[#This Row],[Finish Date]]&lt;=Table6[[#This Row],[Target Date]],"On Time")</f>
        <v>On Time</v>
      </c>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row>
    <row r="266" spans="1:41" ht="21" hidden="1" customHeight="1">
      <c r="A266" s="84">
        <f>WEEKNUM(Table6[[#This Row],[Start Date]])</f>
        <v>12</v>
      </c>
      <c r="B266" s="27" t="str">
        <f>TEXT(Table6[[#This Row],[Start Date]],"mmm")</f>
        <v>Mar</v>
      </c>
      <c r="C266" s="27" t="str">
        <f>_xlfn.IFNA(INDEX(Refer!$B$5:$B$103,MATCH(Table6[[#This Row],[TASK]],Refer!$C$5:$C$103,0)),"")</f>
        <v>NPI</v>
      </c>
      <c r="D266" s="93" t="s">
        <v>61</v>
      </c>
      <c r="E266" s="79" t="s">
        <v>341</v>
      </c>
      <c r="F266" s="82"/>
      <c r="G266" s="27" t="s">
        <v>169</v>
      </c>
      <c r="H266" s="41">
        <v>46097</v>
      </c>
      <c r="I266" s="41">
        <v>46097</v>
      </c>
      <c r="J266" s="41">
        <v>46097</v>
      </c>
      <c r="K266" s="27" t="str">
        <f>IF(Table6[[#This Row],[Finish Date]]=0,"On process","Close")</f>
        <v>Close</v>
      </c>
      <c r="L266" s="27" t="str">
        <f>IF(Table6[[#This Row],[Status]]="On process",IF($H$2&gt;Table6[[#This Row],[Target Date]],"Overdue","On time"),"Closed")</f>
        <v>Closed</v>
      </c>
      <c r="M266" s="27" t="str" cm="1">
        <f t="array" ref="M266">_xlfn.IFS(Table6[[#This Row],[Finish Date]]=0,"",Table6[[#This Row],[Finish Date]]&gt;Table6[[#This Row],[Target Date]],"Delay",Table6[[#This Row],[Finish Date]]&lt;=Table6[[#This Row],[Target Date]],"On Time")</f>
        <v>On Time</v>
      </c>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row>
    <row r="267" spans="1:41" ht="21" hidden="1" customHeight="1">
      <c r="A267" s="27">
        <f>WEEKNUM(Table6[[#This Row],[Start Date]])</f>
        <v>12</v>
      </c>
      <c r="B267" s="27" t="str">
        <f>TEXT(Table6[[#This Row],[Start Date]],"mmm")</f>
        <v>Mar</v>
      </c>
      <c r="C267" s="27" t="str">
        <f>_xlfn.IFNA(INDEX(Refer!$B$5:$B$103,MATCH(Table6[[#This Row],[TASK]],Refer!$C$5:$C$103,0)),"")</f>
        <v>NPI</v>
      </c>
      <c r="D267" s="93" t="s">
        <v>61</v>
      </c>
      <c r="E267" s="79" t="s">
        <v>342</v>
      </c>
      <c r="F267" s="82" t="s">
        <v>95</v>
      </c>
      <c r="G267" s="27" t="s">
        <v>169</v>
      </c>
      <c r="H267" s="41">
        <v>46098</v>
      </c>
      <c r="I267" s="41">
        <v>46098</v>
      </c>
      <c r="J267" s="41">
        <v>46098</v>
      </c>
      <c r="K267" s="27" t="str">
        <f>IF(Table6[[#This Row],[Finish Date]]=0,"On process","Close")</f>
        <v>Close</v>
      </c>
      <c r="L267" s="27" t="str">
        <f>IF(Table6[[#This Row],[Status]]="On process",IF($H$2&gt;Table6[[#This Row],[Target Date]],"Overdue","On time"),"Closed")</f>
        <v>Closed</v>
      </c>
      <c r="M267" s="27" t="str" cm="1">
        <f t="array" ref="M267">_xlfn.IFS(Table6[[#This Row],[Finish Date]]=0,"",Table6[[#This Row],[Finish Date]]&gt;Table6[[#This Row],[Target Date]],"Delay",Table6[[#This Row],[Finish Date]]&lt;=Table6[[#This Row],[Target Date]],"On Time")</f>
        <v>On Time</v>
      </c>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row>
    <row r="268" spans="1:41" ht="21" hidden="1" customHeight="1">
      <c r="A268" s="27">
        <f>WEEKNUM(Table6[[#This Row],[Start Date]])</f>
        <v>12</v>
      </c>
      <c r="B268" s="27" t="str">
        <f>TEXT(Table6[[#This Row],[Start Date]],"mmm")</f>
        <v>Mar</v>
      </c>
      <c r="C268" s="27" t="str">
        <f>_xlfn.IFNA(INDEX(Refer!$B$5:$B$103,MATCH(Table6[[#This Row],[TASK]],Refer!$C$5:$C$103,0)),"")</f>
        <v>DFM Mold</v>
      </c>
      <c r="D268" s="93" t="s">
        <v>91</v>
      </c>
      <c r="E268" s="79" t="s">
        <v>343</v>
      </c>
      <c r="F268" s="82" t="s">
        <v>66</v>
      </c>
      <c r="G268" s="27" t="s">
        <v>169</v>
      </c>
      <c r="H268" s="41">
        <v>46099</v>
      </c>
      <c r="I268" s="41">
        <v>46101</v>
      </c>
      <c r="J268" s="41">
        <v>46101</v>
      </c>
      <c r="K268" s="27" t="str">
        <f>IF(Table6[[#This Row],[Finish Date]]=0,"On process","Close")</f>
        <v>Close</v>
      </c>
      <c r="L268" s="27" t="str">
        <f>IF(Table6[[#This Row],[Status]]="On process",IF($H$2&gt;Table6[[#This Row],[Target Date]],"Overdue","On time"),"Closed")</f>
        <v>Closed</v>
      </c>
      <c r="M268" s="27" t="str" cm="1">
        <f t="array" ref="M268">_xlfn.IFS(Table6[[#This Row],[Finish Date]]=0,"",Table6[[#This Row],[Finish Date]]&gt;Table6[[#This Row],[Target Date]],"Delay",Table6[[#This Row],[Finish Date]]&lt;=Table6[[#This Row],[Target Date]],"On Time")</f>
        <v>On Time</v>
      </c>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row>
    <row r="269" spans="1:41" ht="21" hidden="1" customHeight="1">
      <c r="A269" s="27">
        <f>WEEKNUM(Table6[[#This Row],[Start Date]])</f>
        <v>12</v>
      </c>
      <c r="B269" s="27" t="str">
        <f>TEXT(Table6[[#This Row],[Start Date]],"mmm")</f>
        <v>Mar</v>
      </c>
      <c r="C269" s="27" t="str">
        <f>_xlfn.IFNA(INDEX(Refer!$B$5:$B$103,MATCH(Table6[[#This Row],[TASK]],Refer!$C$5:$C$103,0)),"")</f>
        <v>NPI</v>
      </c>
      <c r="D269" s="93" t="s">
        <v>61</v>
      </c>
      <c r="E269" s="79" t="s">
        <v>344</v>
      </c>
      <c r="F269" s="82" t="s">
        <v>329</v>
      </c>
      <c r="G269" s="27" t="s">
        <v>169</v>
      </c>
      <c r="H269" s="41">
        <v>46100</v>
      </c>
      <c r="I269" s="41">
        <v>46101</v>
      </c>
      <c r="J269" s="41">
        <v>46101</v>
      </c>
      <c r="K269" s="27" t="str">
        <f>IF(Table6[[#This Row],[Finish Date]]=0,"On process","Close")</f>
        <v>Close</v>
      </c>
      <c r="L269" s="27" t="str">
        <f>IF(Table6[[#This Row],[Status]]="On process",IF($H$2&gt;Table6[[#This Row],[Target Date]],"Overdue","On time"),"Closed")</f>
        <v>Closed</v>
      </c>
      <c r="M269" s="27" t="str" cm="1">
        <f t="array" ref="M269">_xlfn.IFS(Table6[[#This Row],[Finish Date]]=0,"",Table6[[#This Row],[Finish Date]]&gt;Table6[[#This Row],[Target Date]],"Delay",Table6[[#This Row],[Finish Date]]&lt;=Table6[[#This Row],[Target Date]],"On Time")</f>
        <v>On Time</v>
      </c>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row>
    <row r="270" spans="1:41" ht="21" hidden="1" customHeight="1">
      <c r="A270" s="84">
        <f>WEEKNUM(Table6[[#This Row],[Start Date]])</f>
        <v>13</v>
      </c>
      <c r="B270" s="27" t="str">
        <f>TEXT(Table6[[#This Row],[Start Date]],"mmm")</f>
        <v>Mar</v>
      </c>
      <c r="C270" s="27" t="str">
        <f>_xlfn.IFNA(INDEX(Refer!$B$5:$B$103,MATCH(Table6[[#This Row],[TASK]],Refer!$C$5:$C$103,0)),"")</f>
        <v>OTHER</v>
      </c>
      <c r="D270" s="93" t="s">
        <v>108</v>
      </c>
      <c r="E270" s="79" t="s">
        <v>345</v>
      </c>
      <c r="F270" s="82"/>
      <c r="G270" s="27" t="s">
        <v>169</v>
      </c>
      <c r="H270" s="41">
        <v>46104</v>
      </c>
      <c r="I270" s="41">
        <v>46106</v>
      </c>
      <c r="J270" s="41">
        <v>46106</v>
      </c>
      <c r="K270" s="27" t="str">
        <f>IF(Table6[[#This Row],[Finish Date]]=0,"On process","Close")</f>
        <v>Close</v>
      </c>
      <c r="L270" s="27" t="str">
        <f>IF(Table6[[#This Row],[Status]]="On process",IF($H$2&gt;Table6[[#This Row],[Target Date]],"Overdue","On time"),"Closed")</f>
        <v>Closed</v>
      </c>
      <c r="M270" s="27" t="str" cm="1">
        <f t="array" ref="M270">_xlfn.IFS(Table6[[#This Row],[Finish Date]]=0,"",Table6[[#This Row],[Finish Date]]&gt;Table6[[#This Row],[Target Date]],"Delay",Table6[[#This Row],[Finish Date]]&lt;=Table6[[#This Row],[Target Date]],"On Time")</f>
        <v>On Time</v>
      </c>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row>
    <row r="271" spans="1:41" ht="21" hidden="1" customHeight="1">
      <c r="A271" s="84">
        <f>WEEKNUM(Table6[[#This Row],[Start Date]])</f>
        <v>12</v>
      </c>
      <c r="B271" s="27" t="str">
        <f>TEXT(Table6[[#This Row],[Start Date]],"mmm")</f>
        <v>Mar</v>
      </c>
      <c r="C271" s="27" t="str">
        <f>_xlfn.IFNA(INDEX(Refer!$B$5:$B$103,MATCH(Table6[[#This Row],[TASK]],Refer!$C$5:$C$103,0)),"")</f>
        <v>NPI</v>
      </c>
      <c r="D271" s="93" t="s">
        <v>61</v>
      </c>
      <c r="E271" s="79" t="s">
        <v>346</v>
      </c>
      <c r="F271" s="82" t="s">
        <v>63</v>
      </c>
      <c r="G271" s="27" t="s">
        <v>64</v>
      </c>
      <c r="H271" s="41">
        <v>46097</v>
      </c>
      <c r="I271" s="41">
        <v>46097</v>
      </c>
      <c r="J271" s="41">
        <v>46097</v>
      </c>
      <c r="K271" s="27" t="str">
        <f>IF(Table6[[#This Row],[Finish Date]]=0,"On process","Close")</f>
        <v>Close</v>
      </c>
      <c r="L271" s="27" t="str">
        <f>IF(Table6[[#This Row],[Status]]="On process",IF($H$2&gt;Table6[[#This Row],[Target Date]],"Overdue","On time"),"Closed")</f>
        <v>Closed</v>
      </c>
      <c r="M271" s="27" t="str" cm="1">
        <f t="array" ref="M271">_xlfn.IFS(Table6[[#This Row],[Finish Date]]=0,"",Table6[[#This Row],[Finish Date]]&gt;Table6[[#This Row],[Target Date]],"Delay",Table6[[#This Row],[Finish Date]]&lt;=Table6[[#This Row],[Target Date]],"On Time")</f>
        <v>On Time</v>
      </c>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row>
    <row r="272" spans="1:41" ht="21" hidden="1" customHeight="1">
      <c r="A272" s="84">
        <f>WEEKNUM(Table6[[#This Row],[Start Date]])</f>
        <v>17</v>
      </c>
      <c r="B272" s="27" t="str">
        <f>TEXT(Table6[[#This Row],[Start Date]],"mmm")</f>
        <v>Apr</v>
      </c>
      <c r="C272" s="27" t="str">
        <f>_xlfn.IFNA(INDEX(Refer!$B$5:$B$103,MATCH(Table6[[#This Row],[TASK]],Refer!$C$5:$C$103,0)),"")</f>
        <v>OTHER</v>
      </c>
      <c r="D272" s="93" t="s">
        <v>108</v>
      </c>
      <c r="E272" s="79" t="s">
        <v>345</v>
      </c>
      <c r="F272" s="82"/>
      <c r="G272" s="27" t="s">
        <v>64</v>
      </c>
      <c r="H272" s="41">
        <v>46132</v>
      </c>
      <c r="I272" s="41">
        <v>46134</v>
      </c>
      <c r="J272" s="41">
        <v>46134</v>
      </c>
      <c r="K272" s="27" t="str">
        <f>IF(Table6[[#This Row],[Finish Date]]=0,"On process","Close")</f>
        <v>Close</v>
      </c>
      <c r="L272" s="27" t="str">
        <f>IF(Table6[[#This Row],[Status]]="On process",IF($H$2&gt;Table6[[#This Row],[Target Date]],"Overdue","On time"),"Closed")</f>
        <v>Closed</v>
      </c>
      <c r="M272" s="27" t="str" cm="1">
        <f t="array" ref="M272">_xlfn.IFS(Table6[[#This Row],[Finish Date]]=0,"",Table6[[#This Row],[Finish Date]]&gt;Table6[[#This Row],[Target Date]],"Delay",Table6[[#This Row],[Finish Date]]&lt;=Table6[[#This Row],[Target Date]],"On Time")</f>
        <v>On Time</v>
      </c>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row>
    <row r="273" spans="1:41" ht="21" hidden="1" customHeight="1">
      <c r="A273" s="84">
        <f>WEEKNUM(Table6[[#This Row],[Start Date]])</f>
        <v>12</v>
      </c>
      <c r="B273" s="27" t="str">
        <f>TEXT(Table6[[#This Row],[Start Date]],"mmm")</f>
        <v>Mar</v>
      </c>
      <c r="C273" s="27" t="str">
        <f>_xlfn.IFNA(INDEX(Refer!$B$5:$B$103,MATCH(Table6[[#This Row],[TASK]],Refer!$C$5:$C$103,0)),"")</f>
        <v>NPI</v>
      </c>
      <c r="D273" s="93" t="s">
        <v>61</v>
      </c>
      <c r="E273" s="79" t="s">
        <v>341</v>
      </c>
      <c r="F273" s="82" t="s">
        <v>63</v>
      </c>
      <c r="G273" s="27" t="s">
        <v>64</v>
      </c>
      <c r="H273" s="41">
        <v>46097</v>
      </c>
      <c r="I273" s="41">
        <v>46097</v>
      </c>
      <c r="J273" s="41">
        <v>46097</v>
      </c>
      <c r="K273" s="27" t="str">
        <f>IF(Table6[[#This Row],[Finish Date]]=0,"On process","Close")</f>
        <v>Close</v>
      </c>
      <c r="L273" s="27" t="str">
        <f>IF(Table6[[#This Row],[Status]]="On process",IF($H$2&gt;Table6[[#This Row],[Target Date]],"Overdue","On time"),"Closed")</f>
        <v>Closed</v>
      </c>
      <c r="M273" s="27" t="str" cm="1">
        <f t="array" ref="M273">_xlfn.IFS(Table6[[#This Row],[Finish Date]]=0,"",Table6[[#This Row],[Finish Date]]&gt;Table6[[#This Row],[Target Date]],"Delay",Table6[[#This Row],[Finish Date]]&lt;=Table6[[#This Row],[Target Date]],"On Time")</f>
        <v>On Time</v>
      </c>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row>
    <row r="274" spans="1:41" ht="21" hidden="1" customHeight="1">
      <c r="A274" s="27">
        <f>WEEKNUM(Table6[[#This Row],[Start Date]])</f>
        <v>12</v>
      </c>
      <c r="B274" s="27" t="str">
        <f>TEXT(Table6[[#This Row],[Start Date]],"mmm")</f>
        <v>Mar</v>
      </c>
      <c r="C274" s="27" t="str">
        <f>_xlfn.IFNA(INDEX(Refer!$B$5:$B$103,MATCH(Table6[[#This Row],[TASK]],Refer!$C$5:$C$103,0)),"")</f>
        <v>NPI</v>
      </c>
      <c r="D274" s="93" t="s">
        <v>61</v>
      </c>
      <c r="E274" s="79" t="s">
        <v>347</v>
      </c>
      <c r="F274" s="82" t="s">
        <v>95</v>
      </c>
      <c r="G274" s="27" t="s">
        <v>64</v>
      </c>
      <c r="H274" s="41">
        <v>46097</v>
      </c>
      <c r="I274" s="41">
        <v>46097</v>
      </c>
      <c r="J274" s="41">
        <v>46097</v>
      </c>
      <c r="K274" s="27" t="str">
        <f>IF(Table6[[#This Row],[Finish Date]]=0,"On process","Close")</f>
        <v>Close</v>
      </c>
      <c r="L274" s="27" t="str">
        <f>IF(Table6[[#This Row],[Status]]="On process",IF($H$2&gt;Table6[[#This Row],[Target Date]],"Overdue","On time"),"Closed")</f>
        <v>Closed</v>
      </c>
      <c r="M274" s="27" t="str" cm="1">
        <f t="array" ref="M274">_xlfn.IFS(Table6[[#This Row],[Finish Date]]=0,"",Table6[[#This Row],[Finish Date]]&gt;Table6[[#This Row],[Target Date]],"Delay",Table6[[#This Row],[Finish Date]]&lt;=Table6[[#This Row],[Target Date]],"On Time")</f>
        <v>On Time</v>
      </c>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row>
    <row r="275" spans="1:41" ht="21" hidden="1" customHeight="1">
      <c r="A275" s="27">
        <f>WEEKNUM(Table6[[#This Row],[Start Date]])</f>
        <v>12</v>
      </c>
      <c r="B275" s="27" t="str">
        <f>TEXT(Table6[[#This Row],[Start Date]],"mmm")</f>
        <v>Mar</v>
      </c>
      <c r="C275" s="27" t="str">
        <f>_xlfn.IFNA(INDEX(Refer!$B$5:$B$103,MATCH(Table6[[#This Row],[TASK]],Refer!$C$5:$C$103,0)),"")</f>
        <v>DFM Mold</v>
      </c>
      <c r="D275" s="93" t="s">
        <v>91</v>
      </c>
      <c r="E275" s="79" t="s">
        <v>348</v>
      </c>
      <c r="F275" s="82" t="s">
        <v>66</v>
      </c>
      <c r="G275" s="27" t="s">
        <v>64</v>
      </c>
      <c r="H275" s="41">
        <v>46098</v>
      </c>
      <c r="I275" s="41">
        <v>46101</v>
      </c>
      <c r="J275" s="41">
        <v>46101</v>
      </c>
      <c r="K275" s="27" t="str">
        <f>IF(Table6[[#This Row],[Finish Date]]=0,"On process","Close")</f>
        <v>Close</v>
      </c>
      <c r="L275" s="27" t="str">
        <f>IF(Table6[[#This Row],[Status]]="On process",IF($H$2&gt;Table6[[#This Row],[Target Date]],"Overdue","On time"),"Closed")</f>
        <v>Closed</v>
      </c>
      <c r="M275" s="27" t="str" cm="1">
        <f t="array" ref="M275">_xlfn.IFS(Table6[[#This Row],[Finish Date]]=0,"",Table6[[#This Row],[Finish Date]]&gt;Table6[[#This Row],[Target Date]],"Delay",Table6[[#This Row],[Finish Date]]&lt;=Table6[[#This Row],[Target Date]],"On Time")</f>
        <v>On Time</v>
      </c>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row>
    <row r="276" spans="1:41" ht="21" hidden="1" customHeight="1">
      <c r="A276" s="27">
        <f>WEEKNUM(Table6[[#This Row],[Start Date]])</f>
        <v>12</v>
      </c>
      <c r="B276" s="27" t="str">
        <f>TEXT(Table6[[#This Row],[Start Date]],"mmm")</f>
        <v>Mar</v>
      </c>
      <c r="C276" s="27" t="str">
        <f>_xlfn.IFNA(INDEX(Refer!$B$5:$B$103,MATCH(Table6[[#This Row],[TASK]],Refer!$C$5:$C$103,0)),"")</f>
        <v>DFM Mold</v>
      </c>
      <c r="D276" s="93" t="s">
        <v>99</v>
      </c>
      <c r="E276" s="79" t="s">
        <v>349</v>
      </c>
      <c r="F276" s="82" t="s">
        <v>66</v>
      </c>
      <c r="G276" s="27" t="s">
        <v>64</v>
      </c>
      <c r="H276" s="41">
        <v>46099</v>
      </c>
      <c r="I276" s="41">
        <v>46099</v>
      </c>
      <c r="J276" s="41">
        <v>46099</v>
      </c>
      <c r="K276" s="27" t="str">
        <f>IF(Table6[[#This Row],[Finish Date]]=0,"On process","Close")</f>
        <v>Close</v>
      </c>
      <c r="L276" s="27" t="str">
        <f>IF(Table6[[#This Row],[Status]]="On process",IF($H$2&gt;Table6[[#This Row],[Target Date]],"Overdue","On time"),"Closed")</f>
        <v>Closed</v>
      </c>
      <c r="M276" s="27" t="str" cm="1">
        <f t="array" ref="M276">_xlfn.IFS(Table6[[#This Row],[Finish Date]]=0,"",Table6[[#This Row],[Finish Date]]&gt;Table6[[#This Row],[Target Date]],"Delay",Table6[[#This Row],[Finish Date]]&lt;=Table6[[#This Row],[Target Date]],"On Time")</f>
        <v>On Time</v>
      </c>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row>
    <row r="277" spans="1:41" ht="21" hidden="1" customHeight="1">
      <c r="A277" s="27">
        <f>WEEKNUM(Table6[[#This Row],[Start Date]])</f>
        <v>12</v>
      </c>
      <c r="B277" s="27" t="str">
        <f>TEXT(Table6[[#This Row],[Start Date]],"mmm")</f>
        <v>Mar</v>
      </c>
      <c r="C277" s="27" t="s">
        <v>17</v>
      </c>
      <c r="D277" s="93" t="s">
        <v>61</v>
      </c>
      <c r="E277" s="79" t="s">
        <v>350</v>
      </c>
      <c r="F277" s="82" t="s">
        <v>63</v>
      </c>
      <c r="G277" s="27" t="s">
        <v>64</v>
      </c>
      <c r="H277" s="41">
        <v>46099</v>
      </c>
      <c r="I277" s="41">
        <v>46099</v>
      </c>
      <c r="J277" s="41">
        <v>46099</v>
      </c>
      <c r="K277" s="27" t="str">
        <f>IF(Table6[[#This Row],[Finish Date]]=0,"On process","Close")</f>
        <v>Close</v>
      </c>
      <c r="L277" s="27" t="str">
        <f>IF(Table6[[#This Row],[Status]]="On process",IF($H$2&gt;Table6[[#This Row],[Target Date]],"Overdue","On time"),"Closed")</f>
        <v>Closed</v>
      </c>
      <c r="M277" s="27" t="str" cm="1">
        <f t="array" ref="M277">_xlfn.IFS(Table6[[#This Row],[Finish Date]]=0,"",Table6[[#This Row],[Finish Date]]&gt;Table6[[#This Row],[Target Date]],"Delay",Table6[[#This Row],[Finish Date]]&lt;=Table6[[#This Row],[Target Date]],"On Time")</f>
        <v>On Time</v>
      </c>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row>
    <row r="278" spans="1:41" ht="21" hidden="1" customHeight="1">
      <c r="A278" s="27">
        <f>WEEKNUM(Table6[[#This Row],[Start Date]])</f>
        <v>12</v>
      </c>
      <c r="B278" s="27" t="str">
        <f>TEXT(Table6[[#This Row],[Start Date]],"mmm")</f>
        <v>Mar</v>
      </c>
      <c r="C278" s="27" t="s">
        <v>17</v>
      </c>
      <c r="D278" s="93" t="s">
        <v>61</v>
      </c>
      <c r="E278" s="79" t="s">
        <v>351</v>
      </c>
      <c r="F278" s="82" t="s">
        <v>63</v>
      </c>
      <c r="G278" s="27" t="s">
        <v>64</v>
      </c>
      <c r="H278" s="41">
        <v>46099</v>
      </c>
      <c r="I278" s="41">
        <v>46099</v>
      </c>
      <c r="J278" s="41">
        <v>46099</v>
      </c>
      <c r="K278" s="27" t="str">
        <f>IF(Table6[[#This Row],[Finish Date]]=0,"On process","Close")</f>
        <v>Close</v>
      </c>
      <c r="L278" s="27" t="str">
        <f>IF(Table6[[#This Row],[Status]]="On process",IF($H$2&gt;Table6[[#This Row],[Target Date]],"Overdue","On time"),"Closed")</f>
        <v>Closed</v>
      </c>
      <c r="M278" s="27" t="str" cm="1">
        <f t="array" ref="M278">_xlfn.IFS(Table6[[#This Row],[Finish Date]]=0,"",Table6[[#This Row],[Finish Date]]&gt;Table6[[#This Row],[Target Date]],"Delay",Table6[[#This Row],[Finish Date]]&lt;=Table6[[#This Row],[Target Date]],"On Time")</f>
        <v>On Time</v>
      </c>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row>
    <row r="279" spans="1:41" ht="21" hidden="1" customHeight="1">
      <c r="A279" s="27">
        <f>WEEKNUM(Table6[[#This Row],[Start Date]])</f>
        <v>12</v>
      </c>
      <c r="B279" s="27" t="str">
        <f>TEXT(Table6[[#This Row],[Start Date]],"mmm")</f>
        <v>Mar</v>
      </c>
      <c r="C279" s="27" t="str">
        <f>_xlfn.IFNA(INDEX(Refer!$B$5:$B$103,MATCH(Table6[[#This Row],[TASK]],Refer!$C$5:$C$103,0)),"")</f>
        <v>NPI</v>
      </c>
      <c r="D279" s="93" t="s">
        <v>61</v>
      </c>
      <c r="E279" s="79" t="s">
        <v>352</v>
      </c>
      <c r="F279" s="82" t="s">
        <v>63</v>
      </c>
      <c r="G279" s="27" t="s">
        <v>64</v>
      </c>
      <c r="H279" s="41">
        <v>46100</v>
      </c>
      <c r="I279" s="41">
        <v>46100</v>
      </c>
      <c r="J279" s="41">
        <v>46100</v>
      </c>
      <c r="K279" s="27" t="str">
        <f>IF(Table6[[#This Row],[Finish Date]]=0,"On process","Close")</f>
        <v>Close</v>
      </c>
      <c r="L279" s="27" t="str">
        <f>IF(Table6[[#This Row],[Status]]="On process",IF($H$2&gt;Table6[[#This Row],[Target Date]],"Overdue","On time"),"Closed")</f>
        <v>Closed</v>
      </c>
      <c r="M279" s="27" t="str" cm="1">
        <f t="array" ref="M279">_xlfn.IFS(Table6[[#This Row],[Finish Date]]=0,"",Table6[[#This Row],[Finish Date]]&gt;Table6[[#This Row],[Target Date]],"Delay",Table6[[#This Row],[Finish Date]]&lt;=Table6[[#This Row],[Target Date]],"On Time")</f>
        <v>On Time</v>
      </c>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row>
    <row r="280" spans="1:41" ht="21" hidden="1" customHeight="1">
      <c r="A280" s="84">
        <f>WEEKNUM(Table6[[#This Row],[Start Date]])</f>
        <v>12</v>
      </c>
      <c r="B280" s="27" t="str">
        <f>TEXT(Table6[[#This Row],[Start Date]],"mmm")</f>
        <v>Mar</v>
      </c>
      <c r="C280" s="27" t="str">
        <f>_xlfn.IFNA(INDEX(Refer!$B$5:$B$103,MATCH(Table6[[#This Row],[TASK]],Refer!$C$5:$C$103,0)),"")</f>
        <v>MEETING</v>
      </c>
      <c r="D280" s="93" t="s">
        <v>72</v>
      </c>
      <c r="E280" s="79" t="s">
        <v>353</v>
      </c>
      <c r="F280" s="82" t="s">
        <v>63</v>
      </c>
      <c r="G280" s="27" t="s">
        <v>64</v>
      </c>
      <c r="H280" s="41">
        <v>46100</v>
      </c>
      <c r="I280" s="41">
        <v>46100</v>
      </c>
      <c r="J280" s="41">
        <v>46100</v>
      </c>
      <c r="K280" s="27" t="str">
        <f>IF(Table6[[#This Row],[Finish Date]]=0,"On process","Close")</f>
        <v>Close</v>
      </c>
      <c r="L280" s="27" t="str">
        <f>IF(Table6[[#This Row],[Status]]="On process",IF($H$2&gt;Table6[[#This Row],[Target Date]],"Overdue","On time"),"Closed")</f>
        <v>Closed</v>
      </c>
      <c r="M280" s="27" t="str" cm="1">
        <f t="array" ref="M280">_xlfn.IFS(Table6[[#This Row],[Finish Date]]=0,"",Table6[[#This Row],[Finish Date]]&gt;Table6[[#This Row],[Target Date]],"Delay",Table6[[#This Row],[Finish Date]]&lt;=Table6[[#This Row],[Target Date]],"On Time")</f>
        <v>On Time</v>
      </c>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row>
    <row r="281" spans="1:41" ht="21" hidden="1" customHeight="1">
      <c r="A281" s="27">
        <f>WEEKNUM(Table6[[#This Row],[Start Date]])</f>
        <v>12</v>
      </c>
      <c r="B281" s="27" t="str">
        <f>TEXT(Table6[[#This Row],[Start Date]],"mmm")</f>
        <v>Mar</v>
      </c>
      <c r="C281" s="27" t="str">
        <f>_xlfn.IFNA(INDEX(Refer!$B$5:$B$103,MATCH(Table6[[#This Row],[TASK]],Refer!$C$5:$C$103,0)),"")</f>
        <v>NPI</v>
      </c>
      <c r="D281" s="93" t="s">
        <v>61</v>
      </c>
      <c r="E281" s="79" t="s">
        <v>354</v>
      </c>
      <c r="F281" s="82" t="s">
        <v>63</v>
      </c>
      <c r="G281" s="27" t="s">
        <v>64</v>
      </c>
      <c r="H281" s="41">
        <v>46100</v>
      </c>
      <c r="I281" s="41">
        <v>46100</v>
      </c>
      <c r="J281" s="41">
        <v>46100</v>
      </c>
      <c r="K281" s="27" t="str">
        <f>IF(Table6[[#This Row],[Finish Date]]=0,"On process","Close")</f>
        <v>Close</v>
      </c>
      <c r="L281" s="27" t="str">
        <f>IF(Table6[[#This Row],[Status]]="On process",IF($H$2&gt;Table6[[#This Row],[Target Date]],"Overdue","On time"),"Closed")</f>
        <v>Closed</v>
      </c>
      <c r="M281" s="27" t="str" cm="1">
        <f t="array" ref="M281">_xlfn.IFS(Table6[[#This Row],[Finish Date]]=0,"",Table6[[#This Row],[Finish Date]]&gt;Table6[[#This Row],[Target Date]],"Delay",Table6[[#This Row],[Finish Date]]&lt;=Table6[[#This Row],[Target Date]],"On Time")</f>
        <v>On Time</v>
      </c>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row>
    <row r="282" spans="1:41" ht="21" hidden="1" customHeight="1">
      <c r="A282" s="27">
        <f>WEEKNUM(Table6[[#This Row],[Start Date]])</f>
        <v>12</v>
      </c>
      <c r="B282" s="27" t="str">
        <f>TEXT(Table6[[#This Row],[Start Date]],"mmm")</f>
        <v>Mar</v>
      </c>
      <c r="C282" s="27" t="str">
        <f>_xlfn.IFNA(INDEX(Refer!$B$5:$B$103,MATCH(Table6[[#This Row],[TASK]],Refer!$C$5:$C$103,0)),"")</f>
        <v>NPI</v>
      </c>
      <c r="D282" s="93" t="s">
        <v>61</v>
      </c>
      <c r="E282" s="79" t="s">
        <v>355</v>
      </c>
      <c r="F282" s="82" t="s">
        <v>63</v>
      </c>
      <c r="G282" s="27" t="s">
        <v>64</v>
      </c>
      <c r="H282" s="41">
        <v>46101</v>
      </c>
      <c r="I282" s="41">
        <v>46101</v>
      </c>
      <c r="J282" s="41">
        <v>46101</v>
      </c>
      <c r="K282" s="27" t="str">
        <f>IF(Table6[[#This Row],[Finish Date]]=0,"On process","Close")</f>
        <v>Close</v>
      </c>
      <c r="L282" s="27" t="str">
        <f>IF(Table6[[#This Row],[Status]]="On process",IF($H$2&gt;Table6[[#This Row],[Target Date]],"Overdue","On time"),"Closed")</f>
        <v>Closed</v>
      </c>
      <c r="M282" s="27" t="str" cm="1">
        <f t="array" ref="M282">_xlfn.IFS(Table6[[#This Row],[Finish Date]]=0,"",Table6[[#This Row],[Finish Date]]&gt;Table6[[#This Row],[Target Date]],"Delay",Table6[[#This Row],[Finish Date]]&lt;=Table6[[#This Row],[Target Date]],"On Time")</f>
        <v>On Time</v>
      </c>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row>
    <row r="283" spans="1:41" ht="21" hidden="1" customHeight="1">
      <c r="A283" s="27">
        <f>WEEKNUM(Table6[[#This Row],[Start Date]])</f>
        <v>12</v>
      </c>
      <c r="B283" s="27" t="str">
        <f>TEXT(Table6[[#This Row],[Start Date]],"mmm")</f>
        <v>Mar</v>
      </c>
      <c r="C283" s="27" t="str">
        <f>_xlfn.IFNA(INDEX(Refer!$B$5:$B$103,MATCH(Table6[[#This Row],[TASK]],Refer!$C$5:$C$103,0)),"")</f>
        <v>NPI</v>
      </c>
      <c r="D283" s="93" t="s">
        <v>61</v>
      </c>
      <c r="E283" s="79" t="s">
        <v>356</v>
      </c>
      <c r="F283" s="82" t="s">
        <v>63</v>
      </c>
      <c r="G283" s="27" t="s">
        <v>64</v>
      </c>
      <c r="H283" s="41">
        <v>46101</v>
      </c>
      <c r="I283" s="41">
        <v>46101</v>
      </c>
      <c r="J283" s="41">
        <v>46101</v>
      </c>
      <c r="K283" s="27" t="str">
        <f>IF(Table6[[#This Row],[Finish Date]]=0,"On process","Close")</f>
        <v>Close</v>
      </c>
      <c r="L283" s="27" t="str">
        <f>IF(Table6[[#This Row],[Status]]="On process",IF($H$2&gt;Table6[[#This Row],[Target Date]],"Overdue","On time"),"Closed")</f>
        <v>Closed</v>
      </c>
      <c r="M283" s="27" t="str" cm="1">
        <f t="array" ref="M283">_xlfn.IFS(Table6[[#This Row],[Finish Date]]=0,"",Table6[[#This Row],[Finish Date]]&gt;Table6[[#This Row],[Target Date]],"Delay",Table6[[#This Row],[Finish Date]]&lt;=Table6[[#This Row],[Target Date]],"On Time")</f>
        <v>On Time</v>
      </c>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row>
    <row r="284" spans="1:41" ht="21" hidden="1" customHeight="1">
      <c r="A284" s="27">
        <f>WEEKNUM(Table6[[#This Row],[Start Date]])</f>
        <v>12</v>
      </c>
      <c r="B284" s="27" t="str">
        <f>TEXT(Table6[[#This Row],[Start Date]],"mmm")</f>
        <v>Mar</v>
      </c>
      <c r="C284" s="27" t="str">
        <f>_xlfn.IFNA(INDEX(Refer!$B$5:$B$103,MATCH(Table6[[#This Row],[TASK]],Refer!$C$5:$C$103,0)),"")</f>
        <v>NPI</v>
      </c>
      <c r="D284" s="93" t="s">
        <v>61</v>
      </c>
      <c r="E284" s="79" t="s">
        <v>357</v>
      </c>
      <c r="F284" s="82" t="s">
        <v>63</v>
      </c>
      <c r="G284" s="27" t="s">
        <v>64</v>
      </c>
      <c r="H284" s="41">
        <v>46101</v>
      </c>
      <c r="I284" s="41">
        <v>46101</v>
      </c>
      <c r="J284" s="41">
        <v>46101</v>
      </c>
      <c r="K284" s="27" t="str">
        <f>IF(Table6[[#This Row],[Finish Date]]=0,"On process","Close")</f>
        <v>Close</v>
      </c>
      <c r="L284" s="27" t="str">
        <f>IF(Table6[[#This Row],[Status]]="On process",IF($H$2&gt;Table6[[#This Row],[Target Date]],"Overdue","On time"),"Closed")</f>
        <v>Closed</v>
      </c>
      <c r="M284" s="27" t="str" cm="1">
        <f t="array" ref="M284">_xlfn.IFS(Table6[[#This Row],[Finish Date]]=0,"",Table6[[#This Row],[Finish Date]]&gt;Table6[[#This Row],[Target Date]],"Delay",Table6[[#This Row],[Finish Date]]&lt;=Table6[[#This Row],[Target Date]],"On Time")</f>
        <v>On Time</v>
      </c>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row>
    <row r="285" spans="1:41" ht="21" hidden="1" customHeight="1">
      <c r="A285" s="27">
        <f>WEEKNUM(Table6[[#This Row],[Start Date]])</f>
        <v>12</v>
      </c>
      <c r="B285" s="27" t="str">
        <f>TEXT(Table6[[#This Row],[Start Date]],"mmm")</f>
        <v>Mar</v>
      </c>
      <c r="C285" s="27" t="str">
        <f>_xlfn.IFNA(INDEX(Refer!$B$5:$B$103,MATCH(Table6[[#This Row],[TASK]],Refer!$C$5:$C$103,0)),"")</f>
        <v>NPI</v>
      </c>
      <c r="D285" s="93" t="s">
        <v>61</v>
      </c>
      <c r="E285" s="79" t="s">
        <v>358</v>
      </c>
      <c r="F285" s="82" t="s">
        <v>63</v>
      </c>
      <c r="G285" s="27" t="s">
        <v>64</v>
      </c>
      <c r="H285" s="41">
        <v>46101</v>
      </c>
      <c r="I285" s="41">
        <v>46101</v>
      </c>
      <c r="J285" s="41">
        <v>46101</v>
      </c>
      <c r="K285" s="27" t="str">
        <f>IF(Table6[[#This Row],[Finish Date]]=0,"On process","Close")</f>
        <v>Close</v>
      </c>
      <c r="L285" s="27" t="str">
        <f>IF(Table6[[#This Row],[Status]]="On process",IF($H$2&gt;Table6[[#This Row],[Target Date]],"Overdue","On time"),"Closed")</f>
        <v>Closed</v>
      </c>
      <c r="M285" s="27" t="str" cm="1">
        <f t="array" ref="M285">_xlfn.IFS(Table6[[#This Row],[Finish Date]]=0,"",Table6[[#This Row],[Finish Date]]&gt;Table6[[#This Row],[Target Date]],"Delay",Table6[[#This Row],[Finish Date]]&lt;=Table6[[#This Row],[Target Date]],"On Time")</f>
        <v>On Time</v>
      </c>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row>
    <row r="286" spans="1:41" ht="21" hidden="1" customHeight="1">
      <c r="A286" s="84">
        <f>WEEKNUM(Table6[[#This Row],[Start Date]])</f>
        <v>12</v>
      </c>
      <c r="B286" s="27" t="str">
        <f>TEXT(Table6[[#This Row],[Start Date]],"mmm")</f>
        <v>Mar</v>
      </c>
      <c r="C286" s="27" t="str">
        <f>_xlfn.IFNA(INDEX(Refer!$B$5:$B$103,MATCH(Table6[[#This Row],[TASK]],Refer!$C$5:$C$103,0)),"")</f>
        <v>NPI</v>
      </c>
      <c r="D286" s="93" t="s">
        <v>61</v>
      </c>
      <c r="E286" s="79" t="s">
        <v>341</v>
      </c>
      <c r="F286" s="82" t="s">
        <v>63</v>
      </c>
      <c r="G286" s="27" t="s">
        <v>182</v>
      </c>
      <c r="H286" s="41">
        <v>46097</v>
      </c>
      <c r="I286" s="41">
        <v>46097</v>
      </c>
      <c r="J286" s="41">
        <v>46097</v>
      </c>
      <c r="K286" s="27" t="str">
        <f>IF(Table6[[#This Row],[Finish Date]]=0,"On process","Close")</f>
        <v>Close</v>
      </c>
      <c r="L286" s="27" t="str">
        <f>IF(Table6[[#This Row],[Status]]="On process",IF($H$2&gt;Table6[[#This Row],[Target Date]],"Overdue","On time"),"Closed")</f>
        <v>Closed</v>
      </c>
      <c r="M286" s="27" t="str" cm="1">
        <f t="array" ref="M286">_xlfn.IFS(Table6[[#This Row],[Finish Date]]=0,"",Table6[[#This Row],[Finish Date]]&gt;Table6[[#This Row],[Target Date]],"Delay",Table6[[#This Row],[Finish Date]]&lt;=Table6[[#This Row],[Target Date]],"On Time")</f>
        <v>On Time</v>
      </c>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row>
    <row r="287" spans="1:41" ht="21" hidden="1" customHeight="1">
      <c r="A287" s="84">
        <f>WEEKNUM(Table6[[#This Row],[Start Date]])</f>
        <v>12</v>
      </c>
      <c r="B287" s="27" t="str">
        <f>TEXT(Table6[[#This Row],[Start Date]],"mmm")</f>
        <v>Mar</v>
      </c>
      <c r="C287" s="27" t="str">
        <f>_xlfn.IFNA(INDEX(Refer!$B$5:$B$103,MATCH(Table6[[#This Row],[TASK]],Refer!$C$5:$C$103,0)),"")</f>
        <v>NPI</v>
      </c>
      <c r="D287" s="93" t="s">
        <v>61</v>
      </c>
      <c r="E287" s="79" t="s">
        <v>359</v>
      </c>
      <c r="F287" s="82" t="s">
        <v>66</v>
      </c>
      <c r="G287" s="27" t="s">
        <v>182</v>
      </c>
      <c r="H287" s="41">
        <v>46097</v>
      </c>
      <c r="I287" s="41">
        <v>46097</v>
      </c>
      <c r="J287" s="41">
        <v>46097</v>
      </c>
      <c r="K287" s="27" t="str">
        <f>IF(Table6[[#This Row],[Finish Date]]=0,"On process","Close")</f>
        <v>Close</v>
      </c>
      <c r="L287" s="27" t="str">
        <f>IF(Table6[[#This Row],[Status]]="On process",IF($H$2&gt;Table6[[#This Row],[Target Date]],"Overdue","On time"),"Closed")</f>
        <v>Closed</v>
      </c>
      <c r="M287" s="27" t="str" cm="1">
        <f t="array" ref="M287">_xlfn.IFS(Table6[[#This Row],[Finish Date]]=0,"",Table6[[#This Row],[Finish Date]]&gt;Table6[[#This Row],[Target Date]],"Delay",Table6[[#This Row],[Finish Date]]&lt;=Table6[[#This Row],[Target Date]],"On Time")</f>
        <v>On Time</v>
      </c>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row>
    <row r="288" spans="1:41" ht="21" hidden="1" customHeight="1">
      <c r="A288" s="27">
        <f>WEEKNUM(Table6[[#This Row],[Start Date]])</f>
        <v>12</v>
      </c>
      <c r="B288" s="27" t="str">
        <f>TEXT(Table6[[#This Row],[Start Date]],"mmm")</f>
        <v>Mar</v>
      </c>
      <c r="C288" s="27" t="str">
        <f>_xlfn.IFNA(INDEX(Refer!$B$5:$B$103,MATCH(Table6[[#This Row],[TASK]],Refer!$C$5:$C$103,0)),"")</f>
        <v>DFA</v>
      </c>
      <c r="D288" s="93" t="s">
        <v>264</v>
      </c>
      <c r="E288" s="79" t="s">
        <v>360</v>
      </c>
      <c r="F288" s="82" t="s">
        <v>66</v>
      </c>
      <c r="G288" s="27" t="s">
        <v>182</v>
      </c>
      <c r="H288" s="41">
        <v>46098</v>
      </c>
      <c r="I288" s="41">
        <v>46101</v>
      </c>
      <c r="J288" s="41">
        <v>46101</v>
      </c>
      <c r="K288" s="27" t="str">
        <f>IF(Table6[[#This Row],[Finish Date]]=0,"On process","Close")</f>
        <v>Close</v>
      </c>
      <c r="L288" s="27" t="str">
        <f>IF(Table6[[#This Row],[Status]]="On process",IF($H$2&gt;Table6[[#This Row],[Target Date]],"Overdue","On time"),"Closed")</f>
        <v>Closed</v>
      </c>
      <c r="M288" s="27" t="str" cm="1">
        <f t="array" ref="M288">_xlfn.IFS(Table6[[#This Row],[Finish Date]]=0,"",Table6[[#This Row],[Finish Date]]&gt;Table6[[#This Row],[Target Date]],"Delay",Table6[[#This Row],[Finish Date]]&lt;=Table6[[#This Row],[Target Date]],"On Time")</f>
        <v>On Time</v>
      </c>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row>
    <row r="289" spans="1:41" ht="21" hidden="1" customHeight="1">
      <c r="A289" s="27">
        <f>WEEKNUM(Table6[[#This Row],[Start Date]])</f>
        <v>12</v>
      </c>
      <c r="B289" s="27" t="str">
        <f>TEXT(Table6[[#This Row],[Start Date]],"mmm")</f>
        <v>Mar</v>
      </c>
      <c r="C289" s="27" t="str">
        <f>_xlfn.IFNA(INDEX(Refer!$B$5:$B$103,MATCH(Table6[[#This Row],[TASK]],Refer!$C$5:$C$103,0)),"")</f>
        <v>DFM Mold</v>
      </c>
      <c r="D289" s="93" t="s">
        <v>99</v>
      </c>
      <c r="E289" s="79" t="s">
        <v>349</v>
      </c>
      <c r="F289" s="82" t="s">
        <v>66</v>
      </c>
      <c r="G289" s="27" t="s">
        <v>182</v>
      </c>
      <c r="H289" s="41">
        <v>46099</v>
      </c>
      <c r="I289" s="41">
        <v>46099</v>
      </c>
      <c r="J289" s="41">
        <v>46099</v>
      </c>
      <c r="K289" s="27" t="str">
        <f>IF(Table6[[#This Row],[Finish Date]]=0,"On process","Close")</f>
        <v>Close</v>
      </c>
      <c r="L289" s="27" t="str">
        <f>IF(Table6[[#This Row],[Status]]="On process",IF($H$2&gt;Table6[[#This Row],[Target Date]],"Overdue","On time"),"Closed")</f>
        <v>Closed</v>
      </c>
      <c r="M289" s="27" t="str" cm="1">
        <f t="array" ref="M289">_xlfn.IFS(Table6[[#This Row],[Finish Date]]=0,"",Table6[[#This Row],[Finish Date]]&gt;Table6[[#This Row],[Target Date]],"Delay",Table6[[#This Row],[Finish Date]]&lt;=Table6[[#This Row],[Target Date]],"On Time")</f>
        <v>On Time</v>
      </c>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row>
    <row r="290" spans="1:41" ht="21" hidden="1" customHeight="1">
      <c r="A290" s="27">
        <f>WEEKNUM(Table6[[#This Row],[Start Date]])</f>
        <v>12</v>
      </c>
      <c r="B290" s="27" t="str">
        <f>TEXT(Table6[[#This Row],[Start Date]],"mmm")</f>
        <v>Mar</v>
      </c>
      <c r="C290" s="27" t="str">
        <f>_xlfn.IFNA(INDEX(Refer!$B$5:$B$103,MATCH(Table6[[#This Row],[TASK]],Refer!$C$5:$C$103,0)),"")</f>
        <v>NPI</v>
      </c>
      <c r="D290" s="93" t="s">
        <v>61</v>
      </c>
      <c r="E290" s="79" t="s">
        <v>361</v>
      </c>
      <c r="F290" s="82" t="s">
        <v>66</v>
      </c>
      <c r="G290" s="27" t="s">
        <v>182</v>
      </c>
      <c r="H290" s="41">
        <v>46099</v>
      </c>
      <c r="I290" s="41">
        <v>46100</v>
      </c>
      <c r="J290" s="41">
        <v>46099</v>
      </c>
      <c r="K290" s="27" t="str">
        <f>IF(Table6[[#This Row],[Finish Date]]=0,"On process","Close")</f>
        <v>Close</v>
      </c>
      <c r="L290" s="27" t="str">
        <f>IF(Table6[[#This Row],[Status]]="On process",IF($H$2&gt;Table6[[#This Row],[Target Date]],"Overdue","On time"),"Closed")</f>
        <v>Closed</v>
      </c>
      <c r="M290" s="27" t="str" cm="1">
        <f t="array" ref="M290">_xlfn.IFS(Table6[[#This Row],[Finish Date]]=0,"",Table6[[#This Row],[Finish Date]]&gt;Table6[[#This Row],[Target Date]],"Delay",Table6[[#This Row],[Finish Date]]&lt;=Table6[[#This Row],[Target Date]],"On Time")</f>
        <v>On Time</v>
      </c>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row>
    <row r="291" spans="1:41" ht="21" hidden="1" customHeight="1">
      <c r="A291" s="27">
        <f>WEEKNUM(Table6[[#This Row],[Start Date]])</f>
        <v>12</v>
      </c>
      <c r="B291" s="27" t="str">
        <f>TEXT(Table6[[#This Row],[Start Date]],"mmm")</f>
        <v>Mar</v>
      </c>
      <c r="C291" s="27" t="str">
        <f>_xlfn.IFNA(INDEX(Refer!$B$5:$B$103,MATCH(Table6[[#This Row],[TASK]],Refer!$C$5:$C$103,0)),"")</f>
        <v>MEETING</v>
      </c>
      <c r="D291" s="93" t="s">
        <v>72</v>
      </c>
      <c r="E291" s="79" t="s">
        <v>353</v>
      </c>
      <c r="F291" s="82" t="s">
        <v>63</v>
      </c>
      <c r="G291" s="27" t="s">
        <v>182</v>
      </c>
      <c r="H291" s="41">
        <v>46100</v>
      </c>
      <c r="I291" s="41">
        <v>46100</v>
      </c>
      <c r="J291" s="41">
        <v>46100</v>
      </c>
      <c r="K291" s="27" t="str">
        <f>IF(Table6[[#This Row],[Finish Date]]=0,"On process","Close")</f>
        <v>Close</v>
      </c>
      <c r="L291" s="27" t="str">
        <f>IF(Table6[[#This Row],[Status]]="On process",IF($H$2&gt;Table6[[#This Row],[Target Date]],"Overdue","On time"),"Closed")</f>
        <v>Closed</v>
      </c>
      <c r="M291" s="27" t="str" cm="1">
        <f t="array" ref="M291">_xlfn.IFS(Table6[[#This Row],[Finish Date]]=0,"",Table6[[#This Row],[Finish Date]]&gt;Table6[[#This Row],[Target Date]],"Delay",Table6[[#This Row],[Finish Date]]&lt;=Table6[[#This Row],[Target Date]],"On Time")</f>
        <v>On Time</v>
      </c>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row>
    <row r="292" spans="1:41" ht="21" hidden="1" customHeight="1">
      <c r="A292" s="84">
        <f>WEEKNUM(Table6[[#This Row],[Start Date]])</f>
        <v>12</v>
      </c>
      <c r="B292" s="27" t="str">
        <f>TEXT(Table6[[#This Row],[Start Date]],"mmm")</f>
        <v>Mar</v>
      </c>
      <c r="C292" s="27" t="str">
        <f>_xlfn.IFNA(INDEX(Refer!$B$5:$B$103,MATCH(Table6[[#This Row],[TASK]],Refer!$C$5:$C$103,0)),"")</f>
        <v>RFQ</v>
      </c>
      <c r="D292" s="93" t="s">
        <v>123</v>
      </c>
      <c r="E292" s="79" t="s">
        <v>362</v>
      </c>
      <c r="F292" s="82" t="s">
        <v>363</v>
      </c>
      <c r="G292" s="27" t="s">
        <v>115</v>
      </c>
      <c r="H292" s="41">
        <v>46097</v>
      </c>
      <c r="I292" s="41">
        <v>46097</v>
      </c>
      <c r="J292" s="41">
        <v>46097</v>
      </c>
      <c r="K292" s="27" t="str">
        <f>IF(Table6[[#This Row],[Finish Date]]=0,"On process","Close")</f>
        <v>Close</v>
      </c>
      <c r="L292" s="27" t="str">
        <f>IF(Table6[[#This Row],[Status]]="On process",IF($H$2&gt;Table6[[#This Row],[Target Date]],"Overdue","On time"),"Closed")</f>
        <v>Closed</v>
      </c>
      <c r="M292" s="27" t="str" cm="1">
        <f t="array" ref="M292">_xlfn.IFS(Table6[[#This Row],[Finish Date]]=0,"",Table6[[#This Row],[Finish Date]]&gt;Table6[[#This Row],[Target Date]],"Delay",Table6[[#This Row],[Finish Date]]&lt;=Table6[[#This Row],[Target Date]],"On Time")</f>
        <v>On Time</v>
      </c>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row>
    <row r="293" spans="1:41" ht="21" hidden="1" customHeight="1">
      <c r="A293" s="84">
        <f>WEEKNUM(Table6[[#This Row],[Start Date]])</f>
        <v>12</v>
      </c>
      <c r="B293" s="27" t="str">
        <f>TEXT(Table6[[#This Row],[Start Date]],"mmm")</f>
        <v>Mar</v>
      </c>
      <c r="C293" s="27" t="str">
        <f>_xlfn.IFNA(INDEX(Refer!$B$5:$B$103,MATCH(Table6[[#This Row],[TASK]],Refer!$C$5:$C$103,0)),"")</f>
        <v>NPI</v>
      </c>
      <c r="D293" s="93" t="s">
        <v>61</v>
      </c>
      <c r="E293" s="79" t="s">
        <v>364</v>
      </c>
      <c r="F293" s="82" t="s">
        <v>63</v>
      </c>
      <c r="G293" s="27" t="s">
        <v>115</v>
      </c>
      <c r="H293" s="41">
        <v>46097</v>
      </c>
      <c r="I293" s="41">
        <v>46099</v>
      </c>
      <c r="J293" s="41">
        <v>46098</v>
      </c>
      <c r="K293" s="27" t="str">
        <f>IF(Table6[[#This Row],[Finish Date]]=0,"On process","Close")</f>
        <v>Close</v>
      </c>
      <c r="L293" s="27" t="str">
        <f>IF(Table6[[#This Row],[Status]]="On process",IF($H$2&gt;Table6[[#This Row],[Target Date]],"Overdue","On time"),"Closed")</f>
        <v>Closed</v>
      </c>
      <c r="M293" s="27" t="str" cm="1">
        <f t="array" ref="M293">_xlfn.IFS(Table6[[#This Row],[Finish Date]]=0,"",Table6[[#This Row],[Finish Date]]&gt;Table6[[#This Row],[Target Date]],"Delay",Table6[[#This Row],[Finish Date]]&lt;=Table6[[#This Row],[Target Date]],"On Time")</f>
        <v>On Time</v>
      </c>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row>
    <row r="294" spans="1:41" ht="21" hidden="1" customHeight="1">
      <c r="A294" s="27">
        <f>WEEKNUM(Table6[[#This Row],[Start Date]])</f>
        <v>12</v>
      </c>
      <c r="B294" s="27" t="str">
        <f>TEXT(Table6[[#This Row],[Start Date]],"mmm")</f>
        <v>Mar</v>
      </c>
      <c r="C294" s="27" t="str">
        <f>_xlfn.IFNA(INDEX(Refer!$B$5:$B$103,MATCH(Table6[[#This Row],[TASK]],Refer!$C$5:$C$103,0)),"")</f>
        <v>PACKING</v>
      </c>
      <c r="D294" s="93" t="s">
        <v>112</v>
      </c>
      <c r="E294" s="79" t="s">
        <v>365</v>
      </c>
      <c r="F294" s="82" t="s">
        <v>366</v>
      </c>
      <c r="G294" s="27" t="s">
        <v>115</v>
      </c>
      <c r="H294" s="41">
        <v>46098</v>
      </c>
      <c r="I294" s="41">
        <v>46099</v>
      </c>
      <c r="J294" s="41">
        <v>46098</v>
      </c>
      <c r="K294" s="27" t="str">
        <f>IF(Table6[[#This Row],[Finish Date]]=0,"On process","Close")</f>
        <v>Close</v>
      </c>
      <c r="L294" s="27" t="str">
        <f>IF(Table6[[#This Row],[Status]]="On process",IF($H$2&gt;Table6[[#This Row],[Target Date]],"Overdue","On time"),"Closed")</f>
        <v>Closed</v>
      </c>
      <c r="M294" s="27" t="str" cm="1">
        <f t="array" ref="M294">_xlfn.IFS(Table6[[#This Row],[Finish Date]]=0,"",Table6[[#This Row],[Finish Date]]&gt;Table6[[#This Row],[Target Date]],"Delay",Table6[[#This Row],[Finish Date]]&lt;=Table6[[#This Row],[Target Date]],"On Time")</f>
        <v>On Time</v>
      </c>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row>
    <row r="295" spans="1:41" ht="21" hidden="1" customHeight="1">
      <c r="A295" s="27">
        <f>WEEKNUM(Table6[[#This Row],[Start Date]])</f>
        <v>12</v>
      </c>
      <c r="B295" s="27" t="str">
        <f>TEXT(Table6[[#This Row],[Start Date]],"mmm")</f>
        <v>Mar</v>
      </c>
      <c r="C295" s="27" t="str">
        <f>_xlfn.IFNA(INDEX(Refer!$B$5:$B$103,MATCH(Table6[[#This Row],[TASK]],Refer!$C$5:$C$103,0)),"")</f>
        <v>PACKING</v>
      </c>
      <c r="D295" s="93" t="s">
        <v>112</v>
      </c>
      <c r="E295" s="79" t="s">
        <v>367</v>
      </c>
      <c r="F295" s="82" t="s">
        <v>366</v>
      </c>
      <c r="G295" s="27" t="s">
        <v>115</v>
      </c>
      <c r="H295" s="41">
        <v>46098</v>
      </c>
      <c r="I295" s="41">
        <v>46099</v>
      </c>
      <c r="J295" s="41">
        <v>46098</v>
      </c>
      <c r="K295" s="27" t="str">
        <f>IF(Table6[[#This Row],[Finish Date]]=0,"On process","Close")</f>
        <v>Close</v>
      </c>
      <c r="L295" s="27" t="str">
        <f>IF(Table6[[#This Row],[Status]]="On process",IF($H$2&gt;Table6[[#This Row],[Target Date]],"Overdue","On time"),"Closed")</f>
        <v>Closed</v>
      </c>
      <c r="M295" s="27" t="str" cm="1">
        <f t="array" ref="M295">_xlfn.IFS(Table6[[#This Row],[Finish Date]]=0,"",Table6[[#This Row],[Finish Date]]&gt;Table6[[#This Row],[Target Date]],"Delay",Table6[[#This Row],[Finish Date]]&lt;=Table6[[#This Row],[Target Date]],"On Time")</f>
        <v>On Time</v>
      </c>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row>
    <row r="296" spans="1:41" ht="21" hidden="1" customHeight="1">
      <c r="A296" s="84">
        <f>WEEKNUM(Table6[[#This Row],[Start Date]])</f>
        <v>12</v>
      </c>
      <c r="B296" s="27" t="str">
        <f>TEXT(Table6[[#This Row],[Start Date]],"mmm")</f>
        <v>Mar</v>
      </c>
      <c r="C296" s="27" t="str">
        <f>_xlfn.IFNA(INDEX(Refer!$B$5:$B$103,MATCH(Table6[[#This Row],[TASK]],Refer!$C$5:$C$103,0)),"")</f>
        <v>RFQ</v>
      </c>
      <c r="D296" s="93" t="s">
        <v>123</v>
      </c>
      <c r="E296" s="79" t="s">
        <v>368</v>
      </c>
      <c r="F296" s="82" t="s">
        <v>369</v>
      </c>
      <c r="G296" s="27" t="s">
        <v>115</v>
      </c>
      <c r="H296" s="41">
        <v>46099</v>
      </c>
      <c r="I296" s="41">
        <v>46100</v>
      </c>
      <c r="J296" s="41">
        <v>46098</v>
      </c>
      <c r="K296" s="27" t="str">
        <f>IF(Table6[[#This Row],[Finish Date]]=0,"On process","Close")</f>
        <v>Close</v>
      </c>
      <c r="L296" s="27" t="str">
        <f>IF(Table6[[#This Row],[Status]]="On process",IF($H$2&gt;Table6[[#This Row],[Target Date]],"Overdue","On time"),"Closed")</f>
        <v>Closed</v>
      </c>
      <c r="M296" s="27" t="str" cm="1">
        <f t="array" ref="M296">_xlfn.IFS(Table6[[#This Row],[Finish Date]]=0,"",Table6[[#This Row],[Finish Date]]&gt;Table6[[#This Row],[Target Date]],"Delay",Table6[[#This Row],[Finish Date]]&lt;=Table6[[#This Row],[Target Date]],"On Time")</f>
        <v>On Time</v>
      </c>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row>
    <row r="297" spans="1:41" ht="21" hidden="1" customHeight="1">
      <c r="A297" s="27">
        <f>WEEKNUM(Table6[[#This Row],[Start Date]])</f>
        <v>12</v>
      </c>
      <c r="B297" s="27" t="str">
        <f>TEXT(Table6[[#This Row],[Start Date]],"mmm")</f>
        <v>Mar</v>
      </c>
      <c r="C297" s="27" t="str">
        <f>_xlfn.IFNA(INDEX(Refer!$B$5:$B$103,MATCH(Table6[[#This Row],[TASK]],Refer!$C$5:$C$103,0)),"")</f>
        <v>PACKING</v>
      </c>
      <c r="D297" s="93" t="s">
        <v>120</v>
      </c>
      <c r="E297" s="79" t="s">
        <v>370</v>
      </c>
      <c r="F297" s="82" t="s">
        <v>63</v>
      </c>
      <c r="G297" s="27" t="s">
        <v>115</v>
      </c>
      <c r="H297" s="41">
        <v>46100</v>
      </c>
      <c r="I297" s="41">
        <v>46101</v>
      </c>
      <c r="J297" s="41">
        <v>46101</v>
      </c>
      <c r="K297" s="27" t="str">
        <f>IF(Table6[[#This Row],[Finish Date]]=0,"On process","Close")</f>
        <v>Close</v>
      </c>
      <c r="L297" s="27" t="str">
        <f>IF(Table6[[#This Row],[Status]]="On process",IF($H$2&gt;Table6[[#This Row],[Target Date]],"Overdue","On time"),"Closed")</f>
        <v>Closed</v>
      </c>
      <c r="M297" s="27" t="str" cm="1">
        <f t="array" ref="M297">_xlfn.IFS(Table6[[#This Row],[Finish Date]]=0,"",Table6[[#This Row],[Finish Date]]&gt;Table6[[#This Row],[Target Date]],"Delay",Table6[[#This Row],[Finish Date]]&lt;=Table6[[#This Row],[Target Date]],"On Time")</f>
        <v>On Time</v>
      </c>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row>
    <row r="298" spans="1:41" ht="21" hidden="1" customHeight="1">
      <c r="A298" s="84">
        <f>WEEKNUM(Table6[[#This Row],[Start Date]])</f>
        <v>13</v>
      </c>
      <c r="B298" s="27" t="str">
        <f>TEXT(Table6[[#This Row],[Start Date]],"mmm")</f>
        <v>Mar</v>
      </c>
      <c r="C298" s="27" t="str">
        <f>_xlfn.IFNA(INDEX(Refer!$B$5:$B$103,MATCH(Table6[[#This Row],[TASK]],Refer!$C$5:$C$103,0)),"")</f>
        <v>RFQ</v>
      </c>
      <c r="D298" s="93" t="s">
        <v>123</v>
      </c>
      <c r="E298" s="79" t="s">
        <v>371</v>
      </c>
      <c r="F298" s="82" t="s">
        <v>372</v>
      </c>
      <c r="G298" s="27" t="s">
        <v>115</v>
      </c>
      <c r="H298" s="41">
        <v>46104</v>
      </c>
      <c r="I298" s="41">
        <v>46105</v>
      </c>
      <c r="J298" s="41">
        <v>46104</v>
      </c>
      <c r="K298" s="27" t="str">
        <f>IF(Table6[[#This Row],[Finish Date]]=0,"On process","Close")</f>
        <v>Close</v>
      </c>
      <c r="L298" s="27" t="str">
        <f>IF(Table6[[#This Row],[Status]]="On process",IF($H$2&gt;Table6[[#This Row],[Target Date]],"Overdue","On time"),"Closed")</f>
        <v>Closed</v>
      </c>
      <c r="M298" s="27" t="str" cm="1">
        <f t="array" ref="M298">_xlfn.IFS(Table6[[#This Row],[Finish Date]]=0,"",Table6[[#This Row],[Finish Date]]&gt;Table6[[#This Row],[Target Date]],"Delay",Table6[[#This Row],[Finish Date]]&lt;=Table6[[#This Row],[Target Date]],"On Time")</f>
        <v>On Time</v>
      </c>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row>
    <row r="299" spans="1:41" ht="21" hidden="1" customHeight="1">
      <c r="A299" s="84">
        <f>WEEKNUM(Table6[[#This Row],[Start Date]])</f>
        <v>14</v>
      </c>
      <c r="B299" s="27" t="str">
        <f>TEXT(Table6[[#This Row],[Start Date]],"mmm")</f>
        <v>Mar</v>
      </c>
      <c r="C299" s="27" t="str">
        <f>_xlfn.IFNA(INDEX(Refer!$B$5:$B$103,MATCH(Table6[[#This Row],[TASK]],Refer!$C$5:$C$103,0)),"")</f>
        <v>RFQ</v>
      </c>
      <c r="D299" s="93" t="s">
        <v>123</v>
      </c>
      <c r="E299" s="79" t="s">
        <v>373</v>
      </c>
      <c r="F299" s="82" t="s">
        <v>374</v>
      </c>
      <c r="G299" s="27" t="s">
        <v>115</v>
      </c>
      <c r="H299" s="41">
        <v>46111</v>
      </c>
      <c r="I299" s="41">
        <v>46112</v>
      </c>
      <c r="J299" s="41">
        <v>46104</v>
      </c>
      <c r="K299" s="27" t="str">
        <f>IF(Table6[[#This Row],[Finish Date]]=0,"On process","Close")</f>
        <v>Close</v>
      </c>
      <c r="L299" s="27" t="str">
        <f>IF(Table6[[#This Row],[Status]]="On process",IF($H$2&gt;Table6[[#This Row],[Target Date]],"Overdue","On time"),"Closed")</f>
        <v>Closed</v>
      </c>
      <c r="M299" s="27" t="str" cm="1">
        <f t="array" ref="M299">_xlfn.IFS(Table6[[#This Row],[Finish Date]]=0,"",Table6[[#This Row],[Finish Date]]&gt;Table6[[#This Row],[Target Date]],"Delay",Table6[[#This Row],[Finish Date]]&lt;=Table6[[#This Row],[Target Date]],"On Time")</f>
        <v>On Time</v>
      </c>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row>
    <row r="300" spans="1:41" ht="21" hidden="1" customHeight="1">
      <c r="A300" s="27">
        <f>WEEKNUM(Table6[[#This Row],[Start Date]])</f>
        <v>13</v>
      </c>
      <c r="B300" s="27" t="str">
        <f>TEXT(Table6[[#This Row],[Start Date]],"mmm")</f>
        <v>Mar</v>
      </c>
      <c r="C300" s="27" t="str">
        <f>_xlfn.IFNA(INDEX(Refer!$B$5:$B$103,MATCH(Table6[[#This Row],[TASK]],Refer!$C$5:$C$103,0)),"")</f>
        <v>NPI</v>
      </c>
      <c r="D300" s="93" t="s">
        <v>61</v>
      </c>
      <c r="E300" s="79" t="s">
        <v>375</v>
      </c>
      <c r="F300" s="82" t="s">
        <v>63</v>
      </c>
      <c r="G300" s="27" t="s">
        <v>115</v>
      </c>
      <c r="H300" s="41">
        <v>46104</v>
      </c>
      <c r="I300" s="41">
        <v>46105</v>
      </c>
      <c r="J300" s="41">
        <v>46105</v>
      </c>
      <c r="K300" s="27" t="str">
        <f>IF(Table6[[#This Row],[Finish Date]]=0,"On process","Close")</f>
        <v>Close</v>
      </c>
      <c r="L300" s="27" t="str">
        <f>IF(Table6[[#This Row],[Status]]="On process",IF($H$2&gt;Table6[[#This Row],[Target Date]],"Overdue","On time"),"Closed")</f>
        <v>Closed</v>
      </c>
      <c r="M300" s="27" t="str" cm="1">
        <f t="array" ref="M300">_xlfn.IFS(Table6[[#This Row],[Finish Date]]=0,"",Table6[[#This Row],[Finish Date]]&gt;Table6[[#This Row],[Target Date]],"Delay",Table6[[#This Row],[Finish Date]]&lt;=Table6[[#This Row],[Target Date]],"On Time")</f>
        <v>On Time</v>
      </c>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row>
    <row r="301" spans="1:41" ht="21" hidden="1" customHeight="1">
      <c r="A301" s="27">
        <f>WEEKNUM(Table6[[#This Row],[Start Date]])</f>
        <v>13</v>
      </c>
      <c r="B301" s="27" t="str">
        <f>TEXT(Table6[[#This Row],[Start Date]],"mmm")</f>
        <v>Mar</v>
      </c>
      <c r="C301" s="27" t="str">
        <f>_xlfn.IFNA(INDEX(Refer!$B$5:$B$103,MATCH(Table6[[#This Row],[TASK]],Refer!$C$5:$C$103,0)),"")</f>
        <v>RFQ</v>
      </c>
      <c r="D301" s="93" t="s">
        <v>123</v>
      </c>
      <c r="E301" s="79" t="s">
        <v>376</v>
      </c>
      <c r="F301" s="82" t="s">
        <v>287</v>
      </c>
      <c r="G301" s="27" t="s">
        <v>115</v>
      </c>
      <c r="H301" s="41">
        <v>46104</v>
      </c>
      <c r="I301" s="41">
        <v>46105</v>
      </c>
      <c r="J301" s="41">
        <v>46105</v>
      </c>
      <c r="K301" s="27" t="str">
        <f>IF(Table6[[#This Row],[Finish Date]]=0,"On process","Close")</f>
        <v>Close</v>
      </c>
      <c r="L301" s="27" t="str">
        <f>IF(Table6[[#This Row],[Status]]="On process",IF($H$2&gt;Table6[[#This Row],[Target Date]],"Overdue","On time"),"Closed")</f>
        <v>Closed</v>
      </c>
      <c r="M301" s="27" t="str" cm="1">
        <f t="array" ref="M301">_xlfn.IFS(Table6[[#This Row],[Finish Date]]=0,"",Table6[[#This Row],[Finish Date]]&gt;Table6[[#This Row],[Target Date]],"Delay",Table6[[#This Row],[Finish Date]]&lt;=Table6[[#This Row],[Target Date]],"On Time")</f>
        <v>On Time</v>
      </c>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row>
    <row r="302" spans="1:41" ht="21" hidden="1" customHeight="1">
      <c r="A302" s="27">
        <f>WEEKNUM(Table6[[#This Row],[Start Date]])</f>
        <v>13</v>
      </c>
      <c r="B302" s="27" t="str">
        <f>TEXT(Table6[[#This Row],[Start Date]],"mmm")</f>
        <v>Mar</v>
      </c>
      <c r="C302" s="27" t="str">
        <f>_xlfn.IFNA(INDEX(Refer!$B$5:$B$103,MATCH(Table6[[#This Row],[TASK]],Refer!$C$5:$C$103,0)),"")</f>
        <v>PACKING</v>
      </c>
      <c r="D302" s="93" t="s">
        <v>112</v>
      </c>
      <c r="E302" s="79" t="s">
        <v>377</v>
      </c>
      <c r="F302" s="82" t="s">
        <v>114</v>
      </c>
      <c r="G302" s="27" t="s">
        <v>115</v>
      </c>
      <c r="H302" s="41">
        <v>46104</v>
      </c>
      <c r="I302" s="41">
        <v>46105</v>
      </c>
      <c r="J302" s="41">
        <v>46104</v>
      </c>
      <c r="K302" s="27" t="str">
        <f>IF(Table6[[#This Row],[Finish Date]]=0,"On process","Close")</f>
        <v>Close</v>
      </c>
      <c r="L302" s="27" t="str">
        <f>IF(Table6[[#This Row],[Status]]="On process",IF($H$2&gt;Table6[[#This Row],[Target Date]],"Overdue","On time"),"Closed")</f>
        <v>Closed</v>
      </c>
      <c r="M302" s="27" t="str" cm="1">
        <f t="array" ref="M302">_xlfn.IFS(Table6[[#This Row],[Finish Date]]=0,"",Table6[[#This Row],[Finish Date]]&gt;Table6[[#This Row],[Target Date]],"Delay",Table6[[#This Row],[Finish Date]]&lt;=Table6[[#This Row],[Target Date]],"On Time")</f>
        <v>On Time</v>
      </c>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row>
    <row r="303" spans="1:41" ht="21" hidden="1" customHeight="1">
      <c r="A303" s="27">
        <f>WEEKNUM(Table6[[#This Row],[Start Date]])</f>
        <v>13</v>
      </c>
      <c r="B303" s="27" t="str">
        <f>TEXT(Table6[[#This Row],[Start Date]],"mmm")</f>
        <v>Mar</v>
      </c>
      <c r="C303" s="27" t="str">
        <f>_xlfn.IFNA(INDEX(Refer!$B$5:$B$103,MATCH(Table6[[#This Row],[TASK]],Refer!$C$5:$C$103,0)),"")</f>
        <v>PACKING</v>
      </c>
      <c r="D303" s="93" t="s">
        <v>112</v>
      </c>
      <c r="E303" s="79" t="s">
        <v>378</v>
      </c>
      <c r="F303" s="82" t="s">
        <v>366</v>
      </c>
      <c r="G303" s="27" t="s">
        <v>115</v>
      </c>
      <c r="H303" s="41">
        <v>46105</v>
      </c>
      <c r="I303" s="41">
        <v>46106</v>
      </c>
      <c r="J303" s="41">
        <v>46105</v>
      </c>
      <c r="K303" s="27" t="str">
        <f>IF(Table6[[#This Row],[Finish Date]]=0,"On process","Close")</f>
        <v>Close</v>
      </c>
      <c r="L303" s="27" t="str">
        <f>IF(Table6[[#This Row],[Status]]="On process",IF($H$2&gt;Table6[[#This Row],[Target Date]],"Overdue","On time"),"Closed")</f>
        <v>Closed</v>
      </c>
      <c r="M303" s="27" t="str" cm="1">
        <f t="array" ref="M303">_xlfn.IFS(Table6[[#This Row],[Finish Date]]=0,"",Table6[[#This Row],[Finish Date]]&gt;Table6[[#This Row],[Target Date]],"Delay",Table6[[#This Row],[Finish Date]]&lt;=Table6[[#This Row],[Target Date]],"On Time")</f>
        <v>On Time</v>
      </c>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row>
    <row r="304" spans="1:41" ht="21" hidden="1" customHeight="1">
      <c r="A304" s="27">
        <f>WEEKNUM(Table6[[#This Row],[Start Date]])</f>
        <v>13</v>
      </c>
      <c r="B304" s="27" t="str">
        <f>TEXT(Table6[[#This Row],[Start Date]],"mmm")</f>
        <v>Mar</v>
      </c>
      <c r="C304" s="27" t="str">
        <f>_xlfn.IFNA(INDEX(Refer!$B$5:$B$103,MATCH(Table6[[#This Row],[TASK]],Refer!$C$5:$C$103,0)),"")</f>
        <v>PACKING</v>
      </c>
      <c r="D304" s="93" t="s">
        <v>112</v>
      </c>
      <c r="E304" s="79" t="s">
        <v>379</v>
      </c>
      <c r="F304" s="82" t="s">
        <v>95</v>
      </c>
      <c r="G304" s="27" t="s">
        <v>115</v>
      </c>
      <c r="H304" s="41">
        <v>46105</v>
      </c>
      <c r="I304" s="41">
        <v>46106</v>
      </c>
      <c r="J304" s="41">
        <v>46106</v>
      </c>
      <c r="K304" s="27" t="str">
        <f>IF(Table6[[#This Row],[Finish Date]]=0,"On process","Close")</f>
        <v>Close</v>
      </c>
      <c r="L304" s="27" t="str">
        <f>IF(Table6[[#This Row],[Status]]="On process",IF($H$2&gt;Table6[[#This Row],[Target Date]],"Overdue","On time"),"Closed")</f>
        <v>Closed</v>
      </c>
      <c r="M304" s="27" t="str" cm="1">
        <f t="array" ref="M304">_xlfn.IFS(Table6[[#This Row],[Finish Date]]=0,"",Table6[[#This Row],[Finish Date]]&gt;Table6[[#This Row],[Target Date]],"Delay",Table6[[#This Row],[Finish Date]]&lt;=Table6[[#This Row],[Target Date]],"On Time")</f>
        <v>On Time</v>
      </c>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row>
    <row r="305" spans="1:41" ht="21" hidden="1" customHeight="1">
      <c r="A305" s="27">
        <f>WEEKNUM(Table6[[#This Row],[Start Date]])</f>
        <v>13</v>
      </c>
      <c r="B305" s="27" t="str">
        <f>TEXT(Table6[[#This Row],[Start Date]],"mmm")</f>
        <v>Mar</v>
      </c>
      <c r="C305" s="27" t="str">
        <f>_xlfn.IFNA(INDEX(Refer!$B$5:$B$103,MATCH(Table6[[#This Row],[TASK]],Refer!$C$5:$C$103,0)),"")</f>
        <v>PACKING</v>
      </c>
      <c r="D305" s="93" t="s">
        <v>112</v>
      </c>
      <c r="E305" s="79" t="s">
        <v>380</v>
      </c>
      <c r="F305" s="82" t="s">
        <v>366</v>
      </c>
      <c r="G305" s="27" t="s">
        <v>115</v>
      </c>
      <c r="H305" s="41">
        <v>46106</v>
      </c>
      <c r="I305" s="41">
        <v>46106</v>
      </c>
      <c r="J305" s="41">
        <v>46106</v>
      </c>
      <c r="K305" s="27" t="str">
        <f>IF(Table6[[#This Row],[Finish Date]]=0,"On process","Close")</f>
        <v>Close</v>
      </c>
      <c r="L305" s="27" t="str">
        <f>IF(Table6[[#This Row],[Status]]="On process",IF($H$2&gt;Table6[[#This Row],[Target Date]],"Overdue","On time"),"Closed")</f>
        <v>Closed</v>
      </c>
      <c r="M305" s="27" t="str" cm="1">
        <f t="array" ref="M305">_xlfn.IFS(Table6[[#This Row],[Finish Date]]=0,"",Table6[[#This Row],[Finish Date]]&gt;Table6[[#This Row],[Target Date]],"Delay",Table6[[#This Row],[Finish Date]]&lt;=Table6[[#This Row],[Target Date]],"On Time")</f>
        <v>On Time</v>
      </c>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row>
    <row r="306" spans="1:41" ht="33" hidden="1" customHeight="1">
      <c r="A306" s="27">
        <f>WEEKNUM(Table6[[#This Row],[Start Date]])</f>
        <v>13</v>
      </c>
      <c r="B306" s="27" t="str">
        <f>TEXT(Table6[[#This Row],[Start Date]],"mmm")</f>
        <v>Mar</v>
      </c>
      <c r="C306" s="27" t="str">
        <f>_xlfn.IFNA(INDEX(Refer!$B$5:$B$103,MATCH(Table6[[#This Row],[TASK]],Refer!$C$5:$C$103,0)),"")</f>
        <v>PACKING</v>
      </c>
      <c r="D306" s="93" t="s">
        <v>112</v>
      </c>
      <c r="E306" s="79" t="s">
        <v>381</v>
      </c>
      <c r="F306" s="82" t="s">
        <v>366</v>
      </c>
      <c r="G306" s="27" t="s">
        <v>115</v>
      </c>
      <c r="H306" s="41">
        <v>46105</v>
      </c>
      <c r="I306" s="41">
        <v>46106</v>
      </c>
      <c r="J306" s="41">
        <v>46106</v>
      </c>
      <c r="K306" s="27" t="str">
        <f>IF(Table6[[#This Row],[Finish Date]]=0,"On process","Close")</f>
        <v>Close</v>
      </c>
      <c r="L306" s="27" t="str">
        <f>IF(Table6[[#This Row],[Status]]="On process",IF($H$2&gt;Table6[[#This Row],[Target Date]],"Overdue","On time"),"Closed")</f>
        <v>Closed</v>
      </c>
      <c r="M306" s="27" t="str" cm="1">
        <f t="array" ref="M306">_xlfn.IFS(Table6[[#This Row],[Finish Date]]=0,"",Table6[[#This Row],[Finish Date]]&gt;Table6[[#This Row],[Target Date]],"Delay",Table6[[#This Row],[Finish Date]]&lt;=Table6[[#This Row],[Target Date]],"On Time")</f>
        <v>On Time</v>
      </c>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row>
    <row r="307" spans="1:41" ht="21" hidden="1" customHeight="1">
      <c r="A307" s="27">
        <f>WEEKNUM(Table6[[#This Row],[Start Date]])</f>
        <v>13</v>
      </c>
      <c r="B307" s="27" t="str">
        <f>TEXT(Table6[[#This Row],[Start Date]],"mmm")</f>
        <v>Mar</v>
      </c>
      <c r="C307" s="27" t="str">
        <f>_xlfn.IFNA(INDEX(Refer!$B$5:$B$103,MATCH(Table6[[#This Row],[TASK]],Refer!$C$5:$C$103,0)),"")</f>
        <v>NPI</v>
      </c>
      <c r="D307" s="93" t="s">
        <v>61</v>
      </c>
      <c r="E307" s="79" t="s">
        <v>382</v>
      </c>
      <c r="F307" s="82" t="s">
        <v>63</v>
      </c>
      <c r="G307" s="27" t="s">
        <v>115</v>
      </c>
      <c r="H307" s="41">
        <v>46108</v>
      </c>
      <c r="I307" s="41">
        <v>46108</v>
      </c>
      <c r="J307" s="41">
        <v>46108</v>
      </c>
      <c r="K307" s="27" t="str">
        <f>IF(Table6[[#This Row],[Finish Date]]=0,"On process","Close")</f>
        <v>Close</v>
      </c>
      <c r="L307" s="27" t="str">
        <f>IF(Table6[[#This Row],[Status]]="On process",IF($H$2&gt;Table6[[#This Row],[Target Date]],"Overdue","On time"),"Closed")</f>
        <v>Closed</v>
      </c>
      <c r="M307" s="27" t="str" cm="1">
        <f t="array" ref="M307">_xlfn.IFS(Table6[[#This Row],[Finish Date]]=0,"",Table6[[#This Row],[Finish Date]]&gt;Table6[[#This Row],[Target Date]],"Delay",Table6[[#This Row],[Finish Date]]&lt;=Table6[[#This Row],[Target Date]],"On Time")</f>
        <v>On Time</v>
      </c>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row>
    <row r="308" spans="1:41" ht="21" hidden="1" customHeight="1">
      <c r="A308" s="27">
        <f>WEEKNUM(Table6[[#This Row],[Start Date]])</f>
        <v>13</v>
      </c>
      <c r="B308" s="27" t="str">
        <f>TEXT(Table6[[#This Row],[Start Date]],"mmm")</f>
        <v>Mar</v>
      </c>
      <c r="C308" s="27" t="str">
        <f>_xlfn.IFNA(INDEX(Refer!$B$5:$B$103,MATCH(Table6[[#This Row],[TASK]],Refer!$C$5:$C$103,0)),"")</f>
        <v>NPI</v>
      </c>
      <c r="D308" s="93" t="s">
        <v>61</v>
      </c>
      <c r="E308" s="79" t="s">
        <v>383</v>
      </c>
      <c r="F308" s="82" t="s">
        <v>66</v>
      </c>
      <c r="G308" s="27" t="s">
        <v>182</v>
      </c>
      <c r="H308" s="41">
        <v>46104</v>
      </c>
      <c r="I308" s="41">
        <v>46104</v>
      </c>
      <c r="J308" s="41">
        <v>46104</v>
      </c>
      <c r="K308" s="27" t="str">
        <f>IF(Table6[[#This Row],[Finish Date]]=0,"On process","Close")</f>
        <v>Close</v>
      </c>
      <c r="L308" s="27" t="str">
        <f>IF(Table6[[#This Row],[Status]]="On process",IF($H$2&gt;Table6[[#This Row],[Target Date]],"Overdue","On time"),"Closed")</f>
        <v>Closed</v>
      </c>
      <c r="M308" s="27" t="str" cm="1">
        <f t="array" ref="M308">_xlfn.IFS(Table6[[#This Row],[Finish Date]]=0,"",Table6[[#This Row],[Finish Date]]&gt;Table6[[#This Row],[Target Date]],"Delay",Table6[[#This Row],[Finish Date]]&lt;=Table6[[#This Row],[Target Date]],"On Time")</f>
        <v>On Time</v>
      </c>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row>
    <row r="309" spans="1:41" ht="21" hidden="1" customHeight="1">
      <c r="A309" s="27">
        <f>WEEKNUM(Table6[[#This Row],[Start Date]])</f>
        <v>13</v>
      </c>
      <c r="B309" s="27" t="str">
        <f>TEXT(Table6[[#This Row],[Start Date]],"mmm")</f>
        <v>Mar</v>
      </c>
      <c r="C309" s="27" t="str">
        <f>_xlfn.IFNA(INDEX(Refer!$B$5:$B$103,MATCH(Table6[[#This Row],[TASK]],Refer!$C$5:$C$103,0)),"")</f>
        <v>NPI</v>
      </c>
      <c r="D309" s="93" t="s">
        <v>61</v>
      </c>
      <c r="E309" s="79" t="s">
        <v>375</v>
      </c>
      <c r="F309" s="82" t="s">
        <v>63</v>
      </c>
      <c r="G309" s="27" t="s">
        <v>182</v>
      </c>
      <c r="H309" s="41">
        <v>46104</v>
      </c>
      <c r="I309" s="41">
        <v>46105</v>
      </c>
      <c r="J309" s="41">
        <v>46104</v>
      </c>
      <c r="K309" s="27" t="str">
        <f>IF(Table6[[#This Row],[Finish Date]]=0,"On process","Close")</f>
        <v>Close</v>
      </c>
      <c r="L309" s="27" t="str">
        <f>IF(Table6[[#This Row],[Status]]="On process",IF($H$2&gt;Table6[[#This Row],[Target Date]],"Overdue","On time"),"Closed")</f>
        <v>Closed</v>
      </c>
      <c r="M309" s="27" t="str" cm="1">
        <f t="array" ref="M309">_xlfn.IFS(Table6[[#This Row],[Finish Date]]=0,"",Table6[[#This Row],[Finish Date]]&gt;Table6[[#This Row],[Target Date]],"Delay",Table6[[#This Row],[Finish Date]]&lt;=Table6[[#This Row],[Target Date]],"On Time")</f>
        <v>On Time</v>
      </c>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row>
    <row r="310" spans="1:41" ht="21" hidden="1" customHeight="1">
      <c r="A310" s="27">
        <f>WEEKNUM(Table6[[#This Row],[Start Date]])</f>
        <v>13</v>
      </c>
      <c r="B310" s="27" t="str">
        <f>TEXT(Table6[[#This Row],[Start Date]],"mmm")</f>
        <v>Mar</v>
      </c>
      <c r="C310" s="27" t="str">
        <f>_xlfn.IFNA(INDEX(Refer!$B$5:$B$103,MATCH(Table6[[#This Row],[TASK]],Refer!$C$5:$C$103,0)),"")</f>
        <v>NPI</v>
      </c>
      <c r="D310" s="93" t="s">
        <v>61</v>
      </c>
      <c r="E310" s="79" t="s">
        <v>384</v>
      </c>
      <c r="F310" s="82" t="s">
        <v>366</v>
      </c>
      <c r="G310" s="27" t="s">
        <v>182</v>
      </c>
      <c r="H310" s="41">
        <v>46105</v>
      </c>
      <c r="I310" s="41">
        <v>46106</v>
      </c>
      <c r="J310" s="41">
        <v>46106</v>
      </c>
      <c r="K310" s="27" t="str">
        <f>IF(Table6[[#This Row],[Finish Date]]=0,"On process","Close")</f>
        <v>Close</v>
      </c>
      <c r="L310" s="27" t="str">
        <f>IF(Table6[[#This Row],[Status]]="On process",IF($H$2&gt;Table6[[#This Row],[Target Date]],"Overdue","On time"),"Closed")</f>
        <v>Closed</v>
      </c>
      <c r="M310" s="27" t="str" cm="1">
        <f t="array" ref="M310">_xlfn.IFS(Table6[[#This Row],[Finish Date]]=0,"",Table6[[#This Row],[Finish Date]]&gt;Table6[[#This Row],[Target Date]],"Delay",Table6[[#This Row],[Finish Date]]&lt;=Table6[[#This Row],[Target Date]],"On Time")</f>
        <v>On Time</v>
      </c>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row>
    <row r="311" spans="1:41" ht="21" hidden="1" customHeight="1">
      <c r="A311" s="27">
        <f>WEEKNUM(Table6[[#This Row],[Start Date]])</f>
        <v>13</v>
      </c>
      <c r="B311" s="27" t="str">
        <f>TEXT(Table6[[#This Row],[Start Date]],"mmm")</f>
        <v>Mar</v>
      </c>
      <c r="C311" s="27" t="str">
        <f>_xlfn.IFNA(INDEX(Refer!$B$5:$B$103,MATCH(Table6[[#This Row],[TASK]],Refer!$C$5:$C$103,0)),"")</f>
        <v>NPI</v>
      </c>
      <c r="D311" s="93" t="s">
        <v>61</v>
      </c>
      <c r="E311" s="79" t="s">
        <v>385</v>
      </c>
      <c r="F311" s="82" t="s">
        <v>63</v>
      </c>
      <c r="G311" s="27" t="s">
        <v>182</v>
      </c>
      <c r="H311" s="41">
        <v>46105</v>
      </c>
      <c r="I311" s="41">
        <v>46106</v>
      </c>
      <c r="J311" s="41">
        <v>46106</v>
      </c>
      <c r="K311" s="27" t="str">
        <f>IF(Table6[[#This Row],[Finish Date]]=0,"On process","Close")</f>
        <v>Close</v>
      </c>
      <c r="L311" s="27" t="str">
        <f>IF(Table6[[#This Row],[Status]]="On process",IF($H$2&gt;Table6[[#This Row],[Target Date]],"Overdue","On time"),"Closed")</f>
        <v>Closed</v>
      </c>
      <c r="M311" s="27" t="str" cm="1">
        <f t="array" ref="M311">_xlfn.IFS(Table6[[#This Row],[Finish Date]]=0,"",Table6[[#This Row],[Finish Date]]&gt;Table6[[#This Row],[Target Date]],"Delay",Table6[[#This Row],[Finish Date]]&lt;=Table6[[#This Row],[Target Date]],"On Time")</f>
        <v>On Time</v>
      </c>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row>
    <row r="312" spans="1:41" ht="21" hidden="1" customHeight="1">
      <c r="A312" s="27">
        <f>WEEKNUM(Table6[[#This Row],[Start Date]])</f>
        <v>13</v>
      </c>
      <c r="B312" s="27" t="str">
        <f>TEXT(Table6[[#This Row],[Start Date]],"mmm")</f>
        <v>Mar</v>
      </c>
      <c r="C312" s="27" t="str">
        <f>_xlfn.IFNA(INDEX(Refer!$B$5:$B$103,MATCH(Table6[[#This Row],[TASK]],Refer!$C$5:$C$103,0)),"")</f>
        <v>NPI</v>
      </c>
      <c r="D312" s="93" t="s">
        <v>61</v>
      </c>
      <c r="E312" s="79" t="s">
        <v>386</v>
      </c>
      <c r="F312" s="82" t="s">
        <v>66</v>
      </c>
      <c r="G312" s="27" t="s">
        <v>182</v>
      </c>
      <c r="H312" s="41">
        <v>46106</v>
      </c>
      <c r="I312" s="41">
        <v>46106</v>
      </c>
      <c r="J312" s="41">
        <v>46106</v>
      </c>
      <c r="K312" s="27" t="str">
        <f>IF(Table6[[#This Row],[Finish Date]]=0,"On process","Close")</f>
        <v>Close</v>
      </c>
      <c r="L312" s="27" t="str">
        <f>IF(Table6[[#This Row],[Status]]="On process",IF($H$2&gt;Table6[[#This Row],[Target Date]],"Overdue","On time"),"Closed")</f>
        <v>Closed</v>
      </c>
      <c r="M312" s="27" t="str" cm="1">
        <f t="array" ref="M312">_xlfn.IFS(Table6[[#This Row],[Finish Date]]=0,"",Table6[[#This Row],[Finish Date]]&gt;Table6[[#This Row],[Target Date]],"Delay",Table6[[#This Row],[Finish Date]]&lt;=Table6[[#This Row],[Target Date]],"On Time")</f>
        <v>On Time</v>
      </c>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row>
    <row r="313" spans="1:41" ht="21" hidden="1" customHeight="1">
      <c r="A313" s="27">
        <f>WEEKNUM(Table6[[#This Row],[Start Date]])</f>
        <v>13</v>
      </c>
      <c r="B313" s="27" t="str">
        <f>TEXT(Table6[[#This Row],[Start Date]],"mmm")</f>
        <v>Mar</v>
      </c>
      <c r="C313" s="27" t="str">
        <f>_xlfn.IFNA(INDEX(Refer!$B$5:$B$103,MATCH(Table6[[#This Row],[TASK]],Refer!$C$5:$C$103,0)),"")</f>
        <v>NPI</v>
      </c>
      <c r="D313" s="93" t="s">
        <v>61</v>
      </c>
      <c r="E313" s="79" t="s">
        <v>387</v>
      </c>
      <c r="F313" s="82" t="s">
        <v>63</v>
      </c>
      <c r="G313" s="27" t="s">
        <v>182</v>
      </c>
      <c r="H313" s="41">
        <v>46106</v>
      </c>
      <c r="I313" s="41">
        <v>46106</v>
      </c>
      <c r="J313" s="41">
        <v>46106</v>
      </c>
      <c r="K313" s="27" t="str">
        <f>IF(Table6[[#This Row],[Finish Date]]=0,"On process","Close")</f>
        <v>Close</v>
      </c>
      <c r="L313" s="27" t="str">
        <f>IF(Table6[[#This Row],[Status]]="On process",IF($H$2&gt;Table6[[#This Row],[Target Date]],"Overdue","On time"),"Closed")</f>
        <v>Closed</v>
      </c>
      <c r="M313" s="27" t="str" cm="1">
        <f t="array" ref="M313">_xlfn.IFS(Table6[[#This Row],[Finish Date]]=0,"",Table6[[#This Row],[Finish Date]]&gt;Table6[[#This Row],[Target Date]],"Delay",Table6[[#This Row],[Finish Date]]&lt;=Table6[[#This Row],[Target Date]],"On Time")</f>
        <v>On Time</v>
      </c>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row>
    <row r="314" spans="1:41" ht="21" hidden="1" customHeight="1">
      <c r="A314" s="27">
        <f>WEEKNUM(Table6[[#This Row],[Start Date]])</f>
        <v>13</v>
      </c>
      <c r="B314" s="27" t="str">
        <f>TEXT(Table6[[#This Row],[Start Date]],"mmm")</f>
        <v>Mar</v>
      </c>
      <c r="C314" s="27" t="str">
        <f>_xlfn.IFNA(INDEX(Refer!$B$5:$B$103,MATCH(Table6[[#This Row],[TASK]],Refer!$C$5:$C$103,0)),"")</f>
        <v>NPI</v>
      </c>
      <c r="D314" s="93" t="s">
        <v>61</v>
      </c>
      <c r="E314" s="79" t="s">
        <v>388</v>
      </c>
      <c r="F314" s="82" t="s">
        <v>95</v>
      </c>
      <c r="G314" s="27" t="s">
        <v>182</v>
      </c>
      <c r="H314" s="41">
        <v>46108</v>
      </c>
      <c r="I314" s="41">
        <v>46108</v>
      </c>
      <c r="J314" s="41">
        <v>46108</v>
      </c>
      <c r="K314" s="27" t="str">
        <f>IF(Table6[[#This Row],[Finish Date]]=0,"On process","Close")</f>
        <v>Close</v>
      </c>
      <c r="L314" s="27" t="str">
        <f>IF(Table6[[#This Row],[Status]]="On process",IF($H$2&gt;Table6[[#This Row],[Target Date]],"Overdue","On time"),"Closed")</f>
        <v>Closed</v>
      </c>
      <c r="M314" s="27" t="str" cm="1">
        <f t="array" ref="M314">_xlfn.IFS(Table6[[#This Row],[Finish Date]]=0,"",Table6[[#This Row],[Finish Date]]&gt;Table6[[#This Row],[Target Date]],"Delay",Table6[[#This Row],[Finish Date]]&lt;=Table6[[#This Row],[Target Date]],"On Time")</f>
        <v>On Time</v>
      </c>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row>
    <row r="315" spans="1:41" ht="21" hidden="1" customHeight="1">
      <c r="A315" s="27">
        <f>WEEKNUM(Table6[[#This Row],[Start Date]])</f>
        <v>13</v>
      </c>
      <c r="B315" s="27" t="str">
        <f>TEXT(Table6[[#This Row],[Start Date]],"mmm")</f>
        <v>Mar</v>
      </c>
      <c r="C315" s="27" t="str">
        <f>_xlfn.IFNA(INDEX(Refer!$B$5:$B$103,MATCH(Table6[[#This Row],[TASK]],Refer!$C$5:$C$103,0)),"")</f>
        <v>NPI</v>
      </c>
      <c r="D315" s="93" t="s">
        <v>61</v>
      </c>
      <c r="E315" s="79" t="s">
        <v>375</v>
      </c>
      <c r="F315" s="82" t="s">
        <v>63</v>
      </c>
      <c r="G315" s="27" t="s">
        <v>64</v>
      </c>
      <c r="H315" s="41">
        <v>46104</v>
      </c>
      <c r="I315" s="41">
        <v>46105</v>
      </c>
      <c r="J315" s="41">
        <v>46105</v>
      </c>
      <c r="K315" s="27" t="str">
        <f>IF(Table6[[#This Row],[Finish Date]]=0,"On process","Close")</f>
        <v>Close</v>
      </c>
      <c r="L315" s="27" t="str">
        <f>IF(Table6[[#This Row],[Status]]="On process",IF($H$2&gt;Table6[[#This Row],[Target Date]],"Overdue","On time"),"Closed")</f>
        <v>Closed</v>
      </c>
      <c r="M315" s="27" t="str" cm="1">
        <f t="array" ref="M315">_xlfn.IFS(Table6[[#This Row],[Finish Date]]=0,"",Table6[[#This Row],[Finish Date]]&gt;Table6[[#This Row],[Target Date]],"Delay",Table6[[#This Row],[Finish Date]]&lt;=Table6[[#This Row],[Target Date]],"On Time")</f>
        <v>On Time</v>
      </c>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row>
    <row r="316" spans="1:41" ht="21" hidden="1" customHeight="1">
      <c r="A316" s="27">
        <f>WEEKNUM(Table6[[#This Row],[Start Date]])</f>
        <v>13</v>
      </c>
      <c r="B316" s="27" t="str">
        <f>TEXT(Table6[[#This Row],[Start Date]],"mmm")</f>
        <v>Mar</v>
      </c>
      <c r="C316" s="27" t="str">
        <f>_xlfn.IFNA(INDEX(Refer!$B$5:$B$103,MATCH(Table6[[#This Row],[TASK]],Refer!$C$5:$C$103,0)),"")</f>
        <v>MEETING</v>
      </c>
      <c r="D316" s="93" t="s">
        <v>72</v>
      </c>
      <c r="E316" s="79" t="s">
        <v>303</v>
      </c>
      <c r="F316" s="82" t="s">
        <v>66</v>
      </c>
      <c r="G316" s="27" t="s">
        <v>64</v>
      </c>
      <c r="H316" s="41">
        <v>46104</v>
      </c>
      <c r="I316" s="41">
        <v>46104</v>
      </c>
      <c r="J316" s="41">
        <v>46104</v>
      </c>
      <c r="K316" s="27" t="str">
        <f>IF(Table6[[#This Row],[Finish Date]]=0,"On process","Close")</f>
        <v>Close</v>
      </c>
      <c r="L316" s="27" t="str">
        <f>IF(Table6[[#This Row],[Status]]="On process",IF($H$2&gt;Table6[[#This Row],[Target Date]],"Overdue","On time"),"Closed")</f>
        <v>Closed</v>
      </c>
      <c r="M316" s="27" t="str" cm="1">
        <f t="array" ref="M316">_xlfn.IFS(Table6[[#This Row],[Finish Date]]=0,"",Table6[[#This Row],[Finish Date]]&gt;Table6[[#This Row],[Target Date]],"Delay",Table6[[#This Row],[Finish Date]]&lt;=Table6[[#This Row],[Target Date]],"On Time")</f>
        <v>On Time</v>
      </c>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row>
    <row r="317" spans="1:41" ht="21" hidden="1" customHeight="1">
      <c r="A317" s="27">
        <f>WEEKNUM(Table6[[#This Row],[Start Date]])</f>
        <v>13</v>
      </c>
      <c r="B317" s="27" t="str">
        <f>TEXT(Table6[[#This Row],[Start Date]],"mmm")</f>
        <v>Mar</v>
      </c>
      <c r="C317" s="27" t="str">
        <f>_xlfn.IFNA(INDEX(Refer!$B$5:$B$103,MATCH(Table6[[#This Row],[TASK]],Refer!$C$5:$C$103,0)),"")</f>
        <v>NPI</v>
      </c>
      <c r="D317" s="93" t="s">
        <v>61</v>
      </c>
      <c r="E317" s="79" t="s">
        <v>383</v>
      </c>
      <c r="F317" s="82" t="s">
        <v>66</v>
      </c>
      <c r="G317" s="27" t="s">
        <v>64</v>
      </c>
      <c r="H317" s="41">
        <v>46104</v>
      </c>
      <c r="I317" s="41">
        <v>46104</v>
      </c>
      <c r="J317" s="41">
        <v>46104</v>
      </c>
      <c r="K317" s="27" t="str">
        <f>IF(Table6[[#This Row],[Finish Date]]=0,"On process","Close")</f>
        <v>Close</v>
      </c>
      <c r="L317" s="27" t="str">
        <f>IF(Table6[[#This Row],[Status]]="On process",IF($H$2&gt;Table6[[#This Row],[Target Date]],"Overdue","On time"),"Closed")</f>
        <v>Closed</v>
      </c>
      <c r="M317" s="27" t="str" cm="1">
        <f t="array" ref="M317">_xlfn.IFS(Table6[[#This Row],[Finish Date]]=0,"",Table6[[#This Row],[Finish Date]]&gt;Table6[[#This Row],[Target Date]],"Delay",Table6[[#This Row],[Finish Date]]&lt;=Table6[[#This Row],[Target Date]],"On Time")</f>
        <v>On Time</v>
      </c>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row>
    <row r="318" spans="1:41" ht="21" hidden="1" customHeight="1">
      <c r="A318" s="27">
        <f>WEEKNUM(Table6[[#This Row],[Start Date]])</f>
        <v>13</v>
      </c>
      <c r="B318" s="27" t="str">
        <f>TEXT(Table6[[#This Row],[Start Date]],"mmm")</f>
        <v>Mar</v>
      </c>
      <c r="C318" s="27" t="str">
        <f>_xlfn.IFNA(INDEX(Refer!$B$5:$B$103,MATCH(Table6[[#This Row],[TASK]],Refer!$C$5:$C$103,0)),"")</f>
        <v>NPI</v>
      </c>
      <c r="D318" s="93" t="s">
        <v>61</v>
      </c>
      <c r="E318" s="79" t="s">
        <v>389</v>
      </c>
      <c r="F318" s="82" t="s">
        <v>63</v>
      </c>
      <c r="G318" s="27" t="s">
        <v>64</v>
      </c>
      <c r="H318" s="41">
        <v>46106</v>
      </c>
      <c r="I318" s="41">
        <v>46106</v>
      </c>
      <c r="J318" s="41">
        <v>46106</v>
      </c>
      <c r="K318" s="27" t="str">
        <f>IF(Table6[[#This Row],[Finish Date]]=0,"On process","Close")</f>
        <v>Close</v>
      </c>
      <c r="L318" s="27" t="str">
        <f>IF(Table6[[#This Row],[Status]]="On process",IF($H$2&gt;Table6[[#This Row],[Target Date]],"Overdue","On time"),"Closed")</f>
        <v>Closed</v>
      </c>
      <c r="M318" s="27" t="str" cm="1">
        <f t="array" ref="M318">_xlfn.IFS(Table6[[#This Row],[Finish Date]]=0,"",Table6[[#This Row],[Finish Date]]&gt;Table6[[#This Row],[Target Date]],"Delay",Table6[[#This Row],[Finish Date]]&lt;=Table6[[#This Row],[Target Date]],"On Time")</f>
        <v>On Time</v>
      </c>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row>
    <row r="319" spans="1:41" ht="21" hidden="1" customHeight="1">
      <c r="A319" s="27">
        <f>WEEKNUM(Table6[[#This Row],[Start Date]])</f>
        <v>13</v>
      </c>
      <c r="B319" s="27" t="str">
        <f>TEXT(Table6[[#This Row],[Start Date]],"mmm")</f>
        <v>Mar</v>
      </c>
      <c r="C319" s="27" t="str">
        <f>_xlfn.IFNA(INDEX(Refer!$B$5:$B$103,MATCH(Table6[[#This Row],[TASK]],Refer!$C$5:$C$103,0)),"")</f>
        <v>NPI</v>
      </c>
      <c r="D319" s="93" t="s">
        <v>61</v>
      </c>
      <c r="E319" s="79" t="s">
        <v>387</v>
      </c>
      <c r="F319" s="82" t="s">
        <v>63</v>
      </c>
      <c r="G319" s="27" t="s">
        <v>64</v>
      </c>
      <c r="H319" s="41">
        <v>46106</v>
      </c>
      <c r="I319" s="41">
        <v>46106</v>
      </c>
      <c r="J319" s="41">
        <v>46106</v>
      </c>
      <c r="K319" s="27" t="str">
        <f>IF(Table6[[#This Row],[Finish Date]]=0,"On process","Close")</f>
        <v>Close</v>
      </c>
      <c r="L319" s="27" t="str">
        <f>IF(Table6[[#This Row],[Status]]="On process",IF($H$2&gt;Table6[[#This Row],[Target Date]],"Overdue","On time"),"Closed")</f>
        <v>Closed</v>
      </c>
      <c r="M319" s="27" t="str" cm="1">
        <f t="array" ref="M319">_xlfn.IFS(Table6[[#This Row],[Finish Date]]=0,"",Table6[[#This Row],[Finish Date]]&gt;Table6[[#This Row],[Target Date]],"Delay",Table6[[#This Row],[Finish Date]]&lt;=Table6[[#This Row],[Target Date]],"On Time")</f>
        <v>On Time</v>
      </c>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row>
    <row r="320" spans="1:41" ht="21" hidden="1" customHeight="1">
      <c r="A320" s="27">
        <f>WEEKNUM(Table6[[#This Row],[Start Date]])</f>
        <v>13</v>
      </c>
      <c r="B320" s="27" t="str">
        <f>TEXT(Table6[[#This Row],[Start Date]],"mmm")</f>
        <v>Mar</v>
      </c>
      <c r="C320" s="27" t="str">
        <f>_xlfn.IFNA(INDEX(Refer!$B$5:$B$103,MATCH(Table6[[#This Row],[TASK]],Refer!$C$5:$C$103,0)),"")</f>
        <v>MEETING</v>
      </c>
      <c r="D320" s="93" t="s">
        <v>72</v>
      </c>
      <c r="E320" s="79" t="s">
        <v>353</v>
      </c>
      <c r="F320" s="82" t="s">
        <v>63</v>
      </c>
      <c r="G320" s="27" t="s">
        <v>64</v>
      </c>
      <c r="H320" s="41">
        <v>46107</v>
      </c>
      <c r="I320" s="41">
        <v>46107</v>
      </c>
      <c r="J320" s="41">
        <v>46107</v>
      </c>
      <c r="K320" s="27" t="str">
        <f>IF(Table6[[#This Row],[Finish Date]]=0,"On process","Close")</f>
        <v>Close</v>
      </c>
      <c r="L320" s="27" t="str">
        <f>IF(Table6[[#This Row],[Status]]="On process",IF($H$2&gt;Table6[[#This Row],[Target Date]],"Overdue","On time"),"Closed")</f>
        <v>Closed</v>
      </c>
      <c r="M320" s="27" t="str" cm="1">
        <f t="array" ref="M320">_xlfn.IFS(Table6[[#This Row],[Finish Date]]=0,"",Table6[[#This Row],[Finish Date]]&gt;Table6[[#This Row],[Target Date]],"Delay",Table6[[#This Row],[Finish Date]]&lt;=Table6[[#This Row],[Target Date]],"On Time")</f>
        <v>On Time</v>
      </c>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row>
    <row r="321" spans="1:41" ht="21" hidden="1" customHeight="1">
      <c r="A321" s="27">
        <f>WEEKNUM(Table6[[#This Row],[Start Date]])</f>
        <v>13</v>
      </c>
      <c r="B321" s="27" t="str">
        <f>TEXT(Table6[[#This Row],[Start Date]],"mmm")</f>
        <v>Mar</v>
      </c>
      <c r="C321" s="27" t="str">
        <f>_xlfn.IFNA(INDEX(Refer!$B$5:$B$103,MATCH(Table6[[#This Row],[TASK]],Refer!$C$5:$C$103,0)),"")</f>
        <v>NPI</v>
      </c>
      <c r="D321" s="93" t="s">
        <v>61</v>
      </c>
      <c r="E321" s="79" t="s">
        <v>390</v>
      </c>
      <c r="F321" s="82" t="s">
        <v>63</v>
      </c>
      <c r="G321" s="27" t="s">
        <v>64</v>
      </c>
      <c r="H321" s="41">
        <v>46108</v>
      </c>
      <c r="I321" s="41">
        <v>46108</v>
      </c>
      <c r="J321" s="41">
        <v>46108</v>
      </c>
      <c r="K321" s="27" t="str">
        <f>IF(Table6[[#This Row],[Finish Date]]=0,"On process","Close")</f>
        <v>Close</v>
      </c>
      <c r="L321" s="27" t="str">
        <f>IF(Table6[[#This Row],[Status]]="On process",IF($H$2&gt;Table6[[#This Row],[Target Date]],"Overdue","On time"),"Closed")</f>
        <v>Closed</v>
      </c>
      <c r="M321" s="27" t="str" cm="1">
        <f t="array" ref="M321">_xlfn.IFS(Table6[[#This Row],[Finish Date]]=0,"",Table6[[#This Row],[Finish Date]]&gt;Table6[[#This Row],[Target Date]],"Delay",Table6[[#This Row],[Finish Date]]&lt;=Table6[[#This Row],[Target Date]],"On Time")</f>
        <v>On Time</v>
      </c>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row>
    <row r="322" spans="1:41" ht="21" hidden="1" customHeight="1">
      <c r="A322" s="27">
        <f>WEEKNUM(Table6[[#This Row],[Start Date]])</f>
        <v>13</v>
      </c>
      <c r="B322" s="27" t="str">
        <f>TEXT(Table6[[#This Row],[Start Date]],"mmm")</f>
        <v>Mar</v>
      </c>
      <c r="C322" s="27" t="str">
        <f>_xlfn.IFNA(INDEX(Refer!$B$5:$B$103,MATCH(Table6[[#This Row],[TASK]],Refer!$C$5:$C$103,0)),"")</f>
        <v>NPI</v>
      </c>
      <c r="D322" s="93" t="s">
        <v>61</v>
      </c>
      <c r="E322" s="79" t="s">
        <v>382</v>
      </c>
      <c r="F322" s="82" t="s">
        <v>63</v>
      </c>
      <c r="G322" s="27" t="s">
        <v>64</v>
      </c>
      <c r="H322" s="41">
        <v>46108</v>
      </c>
      <c r="I322" s="41">
        <v>46108</v>
      </c>
      <c r="J322" s="41">
        <v>46108</v>
      </c>
      <c r="K322" s="27" t="str">
        <f>IF(Table6[[#This Row],[Finish Date]]=0,"On process","Close")</f>
        <v>Close</v>
      </c>
      <c r="L322" s="27" t="str">
        <f>IF(Table6[[#This Row],[Status]]="On process",IF($H$2&gt;Table6[[#This Row],[Target Date]],"Overdue","On time"),"Closed")</f>
        <v>Closed</v>
      </c>
      <c r="M322" s="27" t="str" cm="1">
        <f t="array" ref="M322">_xlfn.IFS(Table6[[#This Row],[Finish Date]]=0,"",Table6[[#This Row],[Finish Date]]&gt;Table6[[#This Row],[Target Date]],"Delay",Table6[[#This Row],[Finish Date]]&lt;=Table6[[#This Row],[Target Date]],"On Time")</f>
        <v>On Time</v>
      </c>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row>
    <row r="323" spans="1:41" ht="21" hidden="1" customHeight="1">
      <c r="A323" s="27">
        <f>WEEKNUM(Table6[[#This Row],[Start Date]])</f>
        <v>14</v>
      </c>
      <c r="B323" s="27" t="str">
        <f>TEXT(Table6[[#This Row],[Start Date]],"mmm")</f>
        <v>Mar</v>
      </c>
      <c r="C323" s="27" t="str">
        <f>_xlfn.IFNA(INDEX(Refer!$B$5:$B$103,MATCH(Table6[[#This Row],[TASK]],Refer!$C$5:$C$103,0)),"")</f>
        <v>MEETING</v>
      </c>
      <c r="D323" s="93" t="s">
        <v>72</v>
      </c>
      <c r="E323" s="79" t="s">
        <v>391</v>
      </c>
      <c r="F323" s="82"/>
      <c r="G323" s="27" t="s">
        <v>115</v>
      </c>
      <c r="H323" s="41">
        <v>46111</v>
      </c>
      <c r="I323" s="41">
        <v>46111</v>
      </c>
      <c r="J323" s="41">
        <v>46111</v>
      </c>
      <c r="K323" s="27" t="str">
        <f>IF(Table6[[#This Row],[Finish Date]]=0,"On process","Close")</f>
        <v>Close</v>
      </c>
      <c r="L323" s="27" t="str">
        <f>IF(Table6[[#This Row],[Status]]="On process",IF($H$2&gt;Table6[[#This Row],[Target Date]],"Overdue","On time"),"Closed")</f>
        <v>Closed</v>
      </c>
      <c r="M323" s="27" t="str" cm="1">
        <f t="array" ref="M323">_xlfn.IFS(Table6[[#This Row],[Finish Date]]=0,"",Table6[[#This Row],[Finish Date]]&gt;Table6[[#This Row],[Target Date]],"Delay",Table6[[#This Row],[Finish Date]]&lt;=Table6[[#This Row],[Target Date]],"On Time")</f>
        <v>On Time</v>
      </c>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row>
    <row r="324" spans="1:41" ht="21" hidden="1" customHeight="1">
      <c r="A324" s="27">
        <f>WEEKNUM(Table6[[#This Row],[Start Date]])</f>
        <v>14</v>
      </c>
      <c r="B324" s="27" t="str">
        <f>TEXT(Table6[[#This Row],[Start Date]],"mmm")</f>
        <v>Mar</v>
      </c>
      <c r="C324" s="27" t="str">
        <f>_xlfn.IFNA(INDEX(Refer!$B$5:$B$103,MATCH(Table6[[#This Row],[TASK]],Refer!$C$5:$C$103,0)),"")</f>
        <v>RFQ</v>
      </c>
      <c r="D324" s="93" t="s">
        <v>123</v>
      </c>
      <c r="E324" s="79" t="s">
        <v>392</v>
      </c>
      <c r="F324" s="82"/>
      <c r="G324" s="27" t="s">
        <v>115</v>
      </c>
      <c r="H324" s="41">
        <v>46112</v>
      </c>
      <c r="I324" s="41">
        <v>46113</v>
      </c>
      <c r="J324" s="41">
        <v>46112</v>
      </c>
      <c r="K324" s="27" t="str">
        <f>IF(Table6[[#This Row],[Finish Date]]=0,"On process","Close")</f>
        <v>Close</v>
      </c>
      <c r="L324" s="27" t="str">
        <f>IF(Table6[[#This Row],[Status]]="On process",IF($H$2&gt;Table6[[#This Row],[Target Date]],"Overdue","On time"),"Closed")</f>
        <v>Closed</v>
      </c>
      <c r="M324" s="27" t="str" cm="1">
        <f t="array" ref="M324">_xlfn.IFS(Table6[[#This Row],[Finish Date]]=0,"",Table6[[#This Row],[Finish Date]]&gt;Table6[[#This Row],[Target Date]],"Delay",Table6[[#This Row],[Finish Date]]&lt;=Table6[[#This Row],[Target Date]],"On Time")</f>
        <v>On Time</v>
      </c>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row>
    <row r="325" spans="1:41" ht="21" hidden="1" customHeight="1">
      <c r="A325" s="27">
        <f>WEEKNUM(Table6[[#This Row],[Start Date]])</f>
        <v>14</v>
      </c>
      <c r="B325" s="27" t="str">
        <f>TEXT(Table6[[#This Row],[Start Date]],"mmm")</f>
        <v>Mar</v>
      </c>
      <c r="C325" s="27" t="str">
        <f>_xlfn.IFNA(INDEX(Refer!$B$5:$B$103,MATCH(Table6[[#This Row],[TASK]],Refer!$C$5:$C$103,0)),"")</f>
        <v>PACKING</v>
      </c>
      <c r="D325" s="93" t="s">
        <v>112</v>
      </c>
      <c r="E325" s="79" t="s">
        <v>393</v>
      </c>
      <c r="F325" s="82"/>
      <c r="G325" s="27" t="s">
        <v>115</v>
      </c>
      <c r="H325" s="41">
        <v>46111</v>
      </c>
      <c r="I325" s="41">
        <v>46112</v>
      </c>
      <c r="J325" s="41">
        <v>46111</v>
      </c>
      <c r="K325" s="27" t="str">
        <f>IF(Table6[[#This Row],[Finish Date]]=0,"On process","Close")</f>
        <v>Close</v>
      </c>
      <c r="L325" s="27" t="str">
        <f>IF(Table6[[#This Row],[Status]]="On process",IF($H$2&gt;Table6[[#This Row],[Target Date]],"Overdue","On time"),"Closed")</f>
        <v>Closed</v>
      </c>
      <c r="M325" s="27" t="str" cm="1">
        <f t="array" ref="M325">_xlfn.IFS(Table6[[#This Row],[Finish Date]]=0,"",Table6[[#This Row],[Finish Date]]&gt;Table6[[#This Row],[Target Date]],"Delay",Table6[[#This Row],[Finish Date]]&lt;=Table6[[#This Row],[Target Date]],"On Time")</f>
        <v>On Time</v>
      </c>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row>
    <row r="326" spans="1:41" ht="21" hidden="1" customHeight="1">
      <c r="A326" s="27">
        <f>WEEKNUM(Table6[[#This Row],[Start Date]])</f>
        <v>14</v>
      </c>
      <c r="B326" s="27" t="str">
        <f>TEXT(Table6[[#This Row],[Start Date]],"mmm")</f>
        <v>Mar</v>
      </c>
      <c r="C326" s="27" t="str">
        <f>_xlfn.IFNA(INDEX(Refer!$B$5:$B$103,MATCH(Table6[[#This Row],[TASK]],Refer!$C$5:$C$103,0)),"")</f>
        <v>RFQ</v>
      </c>
      <c r="D326" s="93" t="s">
        <v>123</v>
      </c>
      <c r="E326" s="79" t="s">
        <v>394</v>
      </c>
      <c r="F326" s="82"/>
      <c r="G326" s="27" t="s">
        <v>115</v>
      </c>
      <c r="H326" s="41">
        <v>46111</v>
      </c>
      <c r="I326" s="41">
        <v>46112</v>
      </c>
      <c r="J326" s="41">
        <v>46112</v>
      </c>
      <c r="K326" s="27" t="str">
        <f>IF(Table6[[#This Row],[Finish Date]]=0,"On process","Close")</f>
        <v>Close</v>
      </c>
      <c r="L326" s="27" t="str">
        <f>IF(Table6[[#This Row],[Status]]="On process",IF($H$2&gt;Table6[[#This Row],[Target Date]],"Overdue","On time"),"Closed")</f>
        <v>Closed</v>
      </c>
      <c r="M326" s="27" t="str" cm="1">
        <f t="array" ref="M326">_xlfn.IFS(Table6[[#This Row],[Finish Date]]=0,"",Table6[[#This Row],[Finish Date]]&gt;Table6[[#This Row],[Target Date]],"Delay",Table6[[#This Row],[Finish Date]]&lt;=Table6[[#This Row],[Target Date]],"On Time")</f>
        <v>On Time</v>
      </c>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row>
    <row r="327" spans="1:41" ht="21" hidden="1" customHeight="1">
      <c r="A327" s="27">
        <f>WEEKNUM(Table6[[#This Row],[Start Date]])</f>
        <v>14</v>
      </c>
      <c r="B327" s="27" t="str">
        <f>TEXT(Table6[[#This Row],[Start Date]],"mmm")</f>
        <v>Apr</v>
      </c>
      <c r="C327" s="27" t="str">
        <f>_xlfn.IFNA(INDEX(Refer!$B$5:$B$103,MATCH(Table6[[#This Row],[TASK]],Refer!$C$5:$C$103,0)),"")</f>
        <v>NPI</v>
      </c>
      <c r="D327" s="93" t="s">
        <v>61</v>
      </c>
      <c r="E327" s="79" t="s">
        <v>395</v>
      </c>
      <c r="F327" s="82"/>
      <c r="G327" s="27" t="s">
        <v>182</v>
      </c>
      <c r="H327" s="41">
        <v>46113</v>
      </c>
      <c r="I327" s="41">
        <v>46114</v>
      </c>
      <c r="J327" s="41">
        <v>46114</v>
      </c>
      <c r="K327" s="27" t="str">
        <f>IF(Table6[[#This Row],[Finish Date]]=0,"On process","Close")</f>
        <v>Close</v>
      </c>
      <c r="L327" s="27" t="str">
        <f>IF(Table6[[#This Row],[Status]]="On process",IF($H$2&gt;Table6[[#This Row],[Target Date]],"Overdue","On time"),"Closed")</f>
        <v>Closed</v>
      </c>
      <c r="M327" s="27" t="str" cm="1">
        <f t="array" ref="M327">_xlfn.IFS(Table6[[#This Row],[Finish Date]]=0,"",Table6[[#This Row],[Finish Date]]&gt;Table6[[#This Row],[Target Date]],"Delay",Table6[[#This Row],[Finish Date]]&lt;=Table6[[#This Row],[Target Date]],"On Time")</f>
        <v>On Time</v>
      </c>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row>
    <row r="328" spans="1:41" ht="21" hidden="1" customHeight="1">
      <c r="A328" s="27">
        <f>WEEKNUM(Table6[[#This Row],[Start Date]])</f>
        <v>14</v>
      </c>
      <c r="B328" s="27" t="str">
        <f>TEXT(Table6[[#This Row],[Start Date]],"mmm")</f>
        <v>Mar</v>
      </c>
      <c r="C328" s="27" t="str">
        <f>_xlfn.IFNA(INDEX(Refer!$B$5:$B$103,MATCH(Table6[[#This Row],[TASK]],Refer!$C$5:$C$103,0)),"")</f>
        <v>NPI</v>
      </c>
      <c r="D328" s="93" t="s">
        <v>61</v>
      </c>
      <c r="E328" s="79" t="s">
        <v>396</v>
      </c>
      <c r="F328" s="82" t="s">
        <v>366</v>
      </c>
      <c r="G328" s="27" t="s">
        <v>182</v>
      </c>
      <c r="H328" s="41">
        <v>46112</v>
      </c>
      <c r="I328" s="41">
        <v>46114</v>
      </c>
      <c r="J328" s="41">
        <v>46114</v>
      </c>
      <c r="K328" s="27" t="str">
        <f>IF(Table6[[#This Row],[Finish Date]]=0,"On process","Close")</f>
        <v>Close</v>
      </c>
      <c r="L328" s="27" t="str">
        <f>IF(Table6[[#This Row],[Status]]="On process",IF($H$2&gt;Table6[[#This Row],[Target Date]],"Overdue","On time"),"Closed")</f>
        <v>Closed</v>
      </c>
      <c r="M328" s="27" t="str" cm="1">
        <f t="array" ref="M328">_xlfn.IFS(Table6[[#This Row],[Finish Date]]=0,"",Table6[[#This Row],[Finish Date]]&gt;Table6[[#This Row],[Target Date]],"Delay",Table6[[#This Row],[Finish Date]]&lt;=Table6[[#This Row],[Target Date]],"On Time")</f>
        <v>On Time</v>
      </c>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row>
    <row r="329" spans="1:41" ht="21" hidden="1" customHeight="1">
      <c r="A329" s="27">
        <f>WEEKNUM(Table6[[#This Row],[Start Date]])</f>
        <v>14</v>
      </c>
      <c r="B329" s="27" t="str">
        <f>TEXT(Table6[[#This Row],[Start Date]],"mmm")</f>
        <v>Mar</v>
      </c>
      <c r="C329" s="27" t="str">
        <f>_xlfn.IFNA(INDEX(Refer!$B$5:$B$103,MATCH(Table6[[#This Row],[TASK]],Refer!$C$5:$C$103,0)),"")</f>
        <v>NPI</v>
      </c>
      <c r="D329" s="93" t="s">
        <v>61</v>
      </c>
      <c r="E329" s="79" t="s">
        <v>397</v>
      </c>
      <c r="F329" s="82" t="s">
        <v>66</v>
      </c>
      <c r="G329" s="27" t="s">
        <v>182</v>
      </c>
      <c r="H329" s="41">
        <v>46112</v>
      </c>
      <c r="I329" s="41">
        <v>46115</v>
      </c>
      <c r="J329" s="41">
        <v>46115</v>
      </c>
      <c r="K329" s="27" t="str">
        <f>IF(Table6[[#This Row],[Finish Date]]=0,"On process","Close")</f>
        <v>Close</v>
      </c>
      <c r="L329" s="27" t="str">
        <f>IF(Table6[[#This Row],[Status]]="On process",IF($H$2&gt;Table6[[#This Row],[Target Date]],"Overdue","On time"),"Closed")</f>
        <v>Closed</v>
      </c>
      <c r="M329" s="27" t="str" cm="1">
        <f t="array" ref="M329">_xlfn.IFS(Table6[[#This Row],[Finish Date]]=0,"",Table6[[#This Row],[Finish Date]]&gt;Table6[[#This Row],[Target Date]],"Delay",Table6[[#This Row],[Finish Date]]&lt;=Table6[[#This Row],[Target Date]],"On Time")</f>
        <v>On Time</v>
      </c>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row>
    <row r="330" spans="1:41" ht="21" hidden="1" customHeight="1">
      <c r="A330" s="27">
        <f>WEEKNUM(Table6[[#This Row],[Start Date]])</f>
        <v>14</v>
      </c>
      <c r="B330" s="27" t="str">
        <f>TEXT(Table6[[#This Row],[Start Date]],"mmm")</f>
        <v>Mar</v>
      </c>
      <c r="C330" s="27" t="str">
        <f>_xlfn.IFNA(INDEX(Refer!$B$5:$B$103,MATCH(Table6[[#This Row],[TASK]],Refer!$C$5:$C$103,0)),"")</f>
        <v>MEETING</v>
      </c>
      <c r="D330" s="93" t="s">
        <v>72</v>
      </c>
      <c r="E330" s="79" t="s">
        <v>391</v>
      </c>
      <c r="F330" s="82"/>
      <c r="G330" s="27" t="s">
        <v>64</v>
      </c>
      <c r="H330" s="41">
        <v>46111</v>
      </c>
      <c r="I330" s="41">
        <v>46111</v>
      </c>
      <c r="J330" s="41">
        <v>46111</v>
      </c>
      <c r="K330" s="27" t="str">
        <f>IF(Table6[[#This Row],[Finish Date]]=0,"On process","Close")</f>
        <v>Close</v>
      </c>
      <c r="L330" s="27" t="str">
        <f>IF(Table6[[#This Row],[Status]]="On process",IF($H$2&gt;Table6[[#This Row],[Target Date]],"Overdue","On time"),"Closed")</f>
        <v>Closed</v>
      </c>
      <c r="M330" s="27" t="str" cm="1">
        <f t="array" ref="M330">_xlfn.IFS(Table6[[#This Row],[Finish Date]]=0,"",Table6[[#This Row],[Finish Date]]&gt;Table6[[#This Row],[Target Date]],"Delay",Table6[[#This Row],[Finish Date]]&lt;=Table6[[#This Row],[Target Date]],"On Time")</f>
        <v>On Time</v>
      </c>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row>
    <row r="331" spans="1:41" ht="21" hidden="1" customHeight="1">
      <c r="A331" s="27">
        <f>WEEKNUM(Table6[[#This Row],[Start Date]])</f>
        <v>14</v>
      </c>
      <c r="B331" s="27" t="str">
        <f>TEXT(Table6[[#This Row],[Start Date]],"mmm")</f>
        <v>Mar</v>
      </c>
      <c r="C331" s="27" t="str">
        <f>_xlfn.IFNA(INDEX(Refer!$B$5:$B$103,MATCH(Table6[[#This Row],[TASK]],Refer!$C$5:$C$103,0)),"")</f>
        <v>NPI</v>
      </c>
      <c r="D331" s="93" t="s">
        <v>61</v>
      </c>
      <c r="E331" s="79" t="s">
        <v>398</v>
      </c>
      <c r="F331" s="82" t="s">
        <v>63</v>
      </c>
      <c r="G331" s="27" t="s">
        <v>64</v>
      </c>
      <c r="H331" s="41">
        <v>46112</v>
      </c>
      <c r="I331" s="41">
        <v>46115</v>
      </c>
      <c r="J331" s="41">
        <v>46115</v>
      </c>
      <c r="K331" s="27" t="str">
        <f>IF(Table6[[#This Row],[Finish Date]]=0,"On process","Close")</f>
        <v>Close</v>
      </c>
      <c r="L331" s="27" t="str">
        <f>IF(Table6[[#This Row],[Status]]="On process",IF($H$2&gt;Table6[[#This Row],[Target Date]],"Overdue","On time"),"Closed")</f>
        <v>Closed</v>
      </c>
      <c r="M331" s="27" t="str" cm="1">
        <f t="array" ref="M331">_xlfn.IFS(Table6[[#This Row],[Finish Date]]=0,"",Table6[[#This Row],[Finish Date]]&gt;Table6[[#This Row],[Target Date]],"Delay",Table6[[#This Row],[Finish Date]]&lt;=Table6[[#This Row],[Target Date]],"On Time")</f>
        <v>On Time</v>
      </c>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row>
    <row r="332" spans="1:41" ht="21" hidden="1" customHeight="1">
      <c r="A332" s="27">
        <f>WEEKNUM(Table6[[#This Row],[Start Date]])</f>
        <v>14</v>
      </c>
      <c r="B332" s="27" t="str">
        <f>TEXT(Table6[[#This Row],[Start Date]],"mmm")</f>
        <v>Apr</v>
      </c>
      <c r="C332" s="27" t="str">
        <f>_xlfn.IFNA(INDEX(Refer!$B$5:$B$103,MATCH(Table6[[#This Row],[TASK]],Refer!$C$5:$C$103,0)),"")</f>
        <v>NPI</v>
      </c>
      <c r="D332" s="93" t="s">
        <v>61</v>
      </c>
      <c r="E332" s="79" t="s">
        <v>399</v>
      </c>
      <c r="F332" s="82" t="s">
        <v>63</v>
      </c>
      <c r="G332" s="27" t="s">
        <v>64</v>
      </c>
      <c r="H332" s="41">
        <v>46113</v>
      </c>
      <c r="I332" s="41">
        <v>46113</v>
      </c>
      <c r="J332" s="41">
        <v>46113</v>
      </c>
      <c r="K332" s="27" t="str">
        <f>IF(Table6[[#This Row],[Finish Date]]=0,"On process","Close")</f>
        <v>Close</v>
      </c>
      <c r="L332" s="27" t="str">
        <f>IF(Table6[[#This Row],[Status]]="On process",IF($H$2&gt;Table6[[#This Row],[Target Date]],"Overdue","On time"),"Closed")</f>
        <v>Closed</v>
      </c>
      <c r="M332" s="27" t="str" cm="1">
        <f t="array" ref="M332">_xlfn.IFS(Table6[[#This Row],[Finish Date]]=0,"",Table6[[#This Row],[Finish Date]]&gt;Table6[[#This Row],[Target Date]],"Delay",Table6[[#This Row],[Finish Date]]&lt;=Table6[[#This Row],[Target Date]],"On Time")</f>
        <v>On Time</v>
      </c>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row>
    <row r="333" spans="1:41" ht="21" hidden="1" customHeight="1">
      <c r="A333" s="27">
        <f>WEEKNUM(Table6[[#This Row],[Start Date]])</f>
        <v>14</v>
      </c>
      <c r="B333" s="27" t="str">
        <f>TEXT(Table6[[#This Row],[Start Date]],"mmm")</f>
        <v>Apr</v>
      </c>
      <c r="C333" s="27" t="str">
        <f>_xlfn.IFNA(INDEX(Refer!$B$5:$B$103,MATCH(Table6[[#This Row],[TASK]],Refer!$C$5:$C$103,0)),"")</f>
        <v>PACKING</v>
      </c>
      <c r="D333" s="93" t="s">
        <v>120</v>
      </c>
      <c r="E333" s="79" t="s">
        <v>400</v>
      </c>
      <c r="F333" s="82" t="s">
        <v>93</v>
      </c>
      <c r="G333" s="27" t="s">
        <v>64</v>
      </c>
      <c r="H333" s="41">
        <v>46113</v>
      </c>
      <c r="I333" s="41">
        <v>46113</v>
      </c>
      <c r="J333" s="41">
        <v>46113</v>
      </c>
      <c r="K333" s="27" t="str">
        <f>IF(Table6[[#This Row],[Finish Date]]=0,"On process","Close")</f>
        <v>Close</v>
      </c>
      <c r="L333" s="27" t="str">
        <f>IF(Table6[[#This Row],[Status]]="On process",IF($H$2&gt;Table6[[#This Row],[Target Date]],"Overdue","On time"),"Closed")</f>
        <v>Closed</v>
      </c>
      <c r="M333" s="27" t="str" cm="1">
        <f t="array" ref="M333">_xlfn.IFS(Table6[[#This Row],[Finish Date]]=0,"",Table6[[#This Row],[Finish Date]]&gt;Table6[[#This Row],[Target Date]],"Delay",Table6[[#This Row],[Finish Date]]&lt;=Table6[[#This Row],[Target Date]],"On Time")</f>
        <v>On Time</v>
      </c>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row>
    <row r="334" spans="1:41" ht="21" hidden="1" customHeight="1">
      <c r="A334" s="27">
        <f>WEEKNUM(Table6[[#This Row],[Start Date]])</f>
        <v>14</v>
      </c>
      <c r="B334" s="27" t="str">
        <f>TEXT(Table6[[#This Row],[Start Date]],"mmm")</f>
        <v>Apr</v>
      </c>
      <c r="C334" s="27" t="str">
        <f>_xlfn.IFNA(INDEX(Refer!$B$5:$B$103,MATCH(Table6[[#This Row],[TASK]],Refer!$C$5:$C$103,0)),"")</f>
        <v>NPI</v>
      </c>
      <c r="D334" s="93" t="s">
        <v>61</v>
      </c>
      <c r="E334" s="79" t="s">
        <v>401</v>
      </c>
      <c r="F334" s="82" t="s">
        <v>66</v>
      </c>
      <c r="G334" s="27" t="s">
        <v>64</v>
      </c>
      <c r="H334" s="41">
        <v>46113</v>
      </c>
      <c r="I334" s="41">
        <v>46113</v>
      </c>
      <c r="J334" s="41">
        <v>46113</v>
      </c>
      <c r="K334" s="27" t="str">
        <f>IF(Table6[[#This Row],[Finish Date]]=0,"On process","Close")</f>
        <v>Close</v>
      </c>
      <c r="L334" s="27" t="str">
        <f>IF(Table6[[#This Row],[Status]]="On process",IF($H$2&gt;Table6[[#This Row],[Target Date]],"Overdue","On time"),"Closed")</f>
        <v>Closed</v>
      </c>
      <c r="M334" s="27" t="str" cm="1">
        <f t="array" ref="M334">_xlfn.IFS(Table6[[#This Row],[Finish Date]]=0,"",Table6[[#This Row],[Finish Date]]&gt;Table6[[#This Row],[Target Date]],"Delay",Table6[[#This Row],[Finish Date]]&lt;=Table6[[#This Row],[Target Date]],"On Time")</f>
        <v>On Time</v>
      </c>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row>
    <row r="335" spans="1:41" ht="21" hidden="1" customHeight="1">
      <c r="A335" s="27">
        <f>WEEKNUM(Table6[[#This Row],[Start Date]])</f>
        <v>14</v>
      </c>
      <c r="B335" s="27" t="str">
        <f>TEXT(Table6[[#This Row],[Start Date]],"mmm")</f>
        <v>Apr</v>
      </c>
      <c r="C335" s="27" t="str">
        <f>_xlfn.IFNA(INDEX(Refer!$B$5:$B$103,MATCH(Table6[[#This Row],[TASK]],Refer!$C$5:$C$103,0)),"")</f>
        <v>NPI</v>
      </c>
      <c r="D335" s="93" t="s">
        <v>61</v>
      </c>
      <c r="E335" s="79" t="s">
        <v>402</v>
      </c>
      <c r="F335" s="82" t="s">
        <v>66</v>
      </c>
      <c r="G335" s="27" t="s">
        <v>64</v>
      </c>
      <c r="H335" s="41">
        <v>46114</v>
      </c>
      <c r="I335" s="41">
        <v>46115</v>
      </c>
      <c r="J335" s="41">
        <v>46113</v>
      </c>
      <c r="K335" s="27" t="str">
        <f>IF(Table6[[#This Row],[Finish Date]]=0,"On process","Close")</f>
        <v>Close</v>
      </c>
      <c r="L335" s="27" t="str">
        <f>IF(Table6[[#This Row],[Status]]="On process",IF($H$2&gt;Table6[[#This Row],[Target Date]],"Overdue","On time"),"Closed")</f>
        <v>Closed</v>
      </c>
      <c r="M335" s="27" t="str" cm="1">
        <f t="array" ref="M335">_xlfn.IFS(Table6[[#This Row],[Finish Date]]=0,"",Table6[[#This Row],[Finish Date]]&gt;Table6[[#This Row],[Target Date]],"Delay",Table6[[#This Row],[Finish Date]]&lt;=Table6[[#This Row],[Target Date]],"On Time")</f>
        <v>On Time</v>
      </c>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row>
    <row r="336" spans="1:41" ht="21" hidden="1" customHeight="1">
      <c r="A336" s="27">
        <f>WEEKNUM(Table6[[#This Row],[Start Date]])</f>
        <v>14</v>
      </c>
      <c r="B336" s="27" t="str">
        <f>TEXT(Table6[[#This Row],[Start Date]],"mmm")</f>
        <v>Apr</v>
      </c>
      <c r="C336" s="27" t="str">
        <f>_xlfn.IFNA(INDEX(Refer!$B$5:$B$103,MATCH(Table6[[#This Row],[TASK]],Refer!$C$5:$C$103,0)),"")</f>
        <v>MEETING</v>
      </c>
      <c r="D336" s="93" t="s">
        <v>72</v>
      </c>
      <c r="E336" s="79" t="s">
        <v>353</v>
      </c>
      <c r="F336" s="82" t="s">
        <v>63</v>
      </c>
      <c r="G336" s="27" t="s">
        <v>64</v>
      </c>
      <c r="H336" s="41">
        <v>46114</v>
      </c>
      <c r="I336" s="41">
        <v>46114</v>
      </c>
      <c r="J336" s="41">
        <v>46114</v>
      </c>
      <c r="K336" s="27" t="str">
        <f>IF(Table6[[#This Row],[Finish Date]]=0,"On process","Close")</f>
        <v>Close</v>
      </c>
      <c r="L336" s="27" t="str">
        <f>IF(Table6[[#This Row],[Status]]="On process",IF($H$2&gt;Table6[[#This Row],[Target Date]],"Overdue","On time"),"Closed")</f>
        <v>Closed</v>
      </c>
      <c r="M336" s="27" t="str" cm="1">
        <f t="array" ref="M336">_xlfn.IFS(Table6[[#This Row],[Finish Date]]=0,"",Table6[[#This Row],[Finish Date]]&gt;Table6[[#This Row],[Target Date]],"Delay",Table6[[#This Row],[Finish Date]]&lt;=Table6[[#This Row],[Target Date]],"On Time")</f>
        <v>On Time</v>
      </c>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row>
    <row r="337" spans="1:41" ht="21" hidden="1" customHeight="1">
      <c r="A337" s="27">
        <f>WEEKNUM(Table6[[#This Row],[Start Date]])</f>
        <v>14</v>
      </c>
      <c r="B337" s="27" t="str">
        <f>TEXT(Table6[[#This Row],[Start Date]],"mmm")</f>
        <v>Apr</v>
      </c>
      <c r="C337" s="27" t="str">
        <f>_xlfn.IFNA(INDEX(Refer!$B$5:$B$103,MATCH(Table6[[#This Row],[TASK]],Refer!$C$5:$C$103,0)),"")</f>
        <v>PACKING</v>
      </c>
      <c r="D337" s="93" t="s">
        <v>120</v>
      </c>
      <c r="E337" s="79" t="s">
        <v>403</v>
      </c>
      <c r="F337" s="82" t="s">
        <v>134</v>
      </c>
      <c r="G337" s="27" t="s">
        <v>64</v>
      </c>
      <c r="H337" s="41">
        <v>46114</v>
      </c>
      <c r="I337" s="41">
        <v>46114</v>
      </c>
      <c r="J337" s="41">
        <v>46114</v>
      </c>
      <c r="K337" s="27" t="str">
        <f>IF(Table6[[#This Row],[Finish Date]]=0,"On process","Close")</f>
        <v>Close</v>
      </c>
      <c r="L337" s="27" t="str">
        <f>IF(Table6[[#This Row],[Status]]="On process",IF($H$2&gt;Table6[[#This Row],[Target Date]],"Overdue","On time"),"Closed")</f>
        <v>Closed</v>
      </c>
      <c r="M337" s="27" t="str" cm="1">
        <f t="array" ref="M337">_xlfn.IFS(Table6[[#This Row],[Finish Date]]=0,"",Table6[[#This Row],[Finish Date]]&gt;Table6[[#This Row],[Target Date]],"Delay",Table6[[#This Row],[Finish Date]]&lt;=Table6[[#This Row],[Target Date]],"On Time")</f>
        <v>On Time</v>
      </c>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row>
    <row r="338" spans="1:41" ht="21" hidden="1" customHeight="1">
      <c r="A338" s="27">
        <f>WEEKNUM(Table6[[#This Row],[Start Date]])</f>
        <v>14</v>
      </c>
      <c r="B338" s="27" t="str">
        <f>TEXT(Table6[[#This Row],[Start Date]],"mmm")</f>
        <v>Apr</v>
      </c>
      <c r="C338" s="27" t="str">
        <f>_xlfn.IFNA(INDEX(Refer!$B$5:$B$103,MATCH(Table6[[#This Row],[TASK]],Refer!$C$5:$C$103,0)),"")</f>
        <v>NPI</v>
      </c>
      <c r="D338" s="93" t="s">
        <v>61</v>
      </c>
      <c r="E338" s="79" t="s">
        <v>404</v>
      </c>
      <c r="F338" s="82" t="s">
        <v>63</v>
      </c>
      <c r="G338" s="27" t="s">
        <v>64</v>
      </c>
      <c r="H338" s="41">
        <v>46114</v>
      </c>
      <c r="I338" s="41">
        <v>46114</v>
      </c>
      <c r="J338" s="41">
        <v>46114</v>
      </c>
      <c r="K338" s="27" t="str">
        <f>IF(Table6[[#This Row],[Finish Date]]=0,"On process","Close")</f>
        <v>Close</v>
      </c>
      <c r="L338" s="27" t="str">
        <f>IF(Table6[[#This Row],[Status]]="On process",IF($H$2&gt;Table6[[#This Row],[Target Date]],"Overdue","On time"),"Closed")</f>
        <v>Closed</v>
      </c>
      <c r="M338" s="27" t="str" cm="1">
        <f t="array" ref="M338">_xlfn.IFS(Table6[[#This Row],[Finish Date]]=0,"",Table6[[#This Row],[Finish Date]]&gt;Table6[[#This Row],[Target Date]],"Delay",Table6[[#This Row],[Finish Date]]&lt;=Table6[[#This Row],[Target Date]],"On Time")</f>
        <v>On Time</v>
      </c>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row>
    <row r="339" spans="1:41" ht="21" hidden="1" customHeight="1">
      <c r="A339" s="27">
        <f>WEEKNUM(Table6[[#This Row],[Start Date]])</f>
        <v>14</v>
      </c>
      <c r="B339" s="27" t="str">
        <f>TEXT(Table6[[#This Row],[Start Date]],"mmm")</f>
        <v>Apr</v>
      </c>
      <c r="C339" s="27" t="str">
        <f>_xlfn.IFNA(INDEX(Refer!$B$5:$B$103,MATCH(Table6[[#This Row],[TASK]],Refer!$C$5:$C$103,0)),"")</f>
        <v>NPI</v>
      </c>
      <c r="D339" s="93" t="s">
        <v>61</v>
      </c>
      <c r="E339" s="79" t="s">
        <v>405</v>
      </c>
      <c r="F339" s="82" t="s">
        <v>63</v>
      </c>
      <c r="G339" s="27" t="s">
        <v>64</v>
      </c>
      <c r="H339" s="41">
        <v>46114</v>
      </c>
      <c r="I339" s="41">
        <v>46114</v>
      </c>
      <c r="J339" s="41">
        <v>46114</v>
      </c>
      <c r="K339" s="27" t="str">
        <f>IF(Table6[[#This Row],[Finish Date]]=0,"On process","Close")</f>
        <v>Close</v>
      </c>
      <c r="L339" s="27" t="str">
        <f>IF(Table6[[#This Row],[Status]]="On process",IF($H$2&gt;Table6[[#This Row],[Target Date]],"Overdue","On time"),"Closed")</f>
        <v>Closed</v>
      </c>
      <c r="M339" s="27" t="str" cm="1">
        <f t="array" ref="M339">_xlfn.IFS(Table6[[#This Row],[Finish Date]]=0,"",Table6[[#This Row],[Finish Date]]&gt;Table6[[#This Row],[Target Date]],"Delay",Table6[[#This Row],[Finish Date]]&lt;=Table6[[#This Row],[Target Date]],"On Time")</f>
        <v>On Time</v>
      </c>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row>
    <row r="340" spans="1:41" ht="21" hidden="1" customHeight="1">
      <c r="A340" s="27">
        <f>WEEKNUM(Table6[[#This Row],[Start Date]])</f>
        <v>19</v>
      </c>
      <c r="B340" s="27" t="str">
        <f>TEXT(Table6[[#This Row],[Start Date]],"mmm")</f>
        <v>May</v>
      </c>
      <c r="C340" s="27" t="str">
        <f>_xlfn.IFNA(INDEX(Refer!$B$5:$B$103,MATCH(Table6[[#This Row],[TASK]],Refer!$C$5:$C$103,0)),"")</f>
        <v>RFQ</v>
      </c>
      <c r="D340" s="93" t="s">
        <v>123</v>
      </c>
      <c r="E340" s="79" t="s">
        <v>406</v>
      </c>
      <c r="F340" s="82" t="s">
        <v>407</v>
      </c>
      <c r="G340" s="27" t="s">
        <v>182</v>
      </c>
      <c r="H340" s="41">
        <v>46148</v>
      </c>
      <c r="I340" s="41">
        <v>46150</v>
      </c>
      <c r="J340" s="41">
        <v>46149</v>
      </c>
      <c r="K340" s="27" t="str">
        <f>IF(Table6[[#This Row],[Finish Date]]=0,"On process","Close")</f>
        <v>Close</v>
      </c>
      <c r="L340" s="27" t="str">
        <f>IF(Table6[[#This Row],[Status]]="On process",IF($H$2&gt;Table6[[#This Row],[Target Date]],"Overdue","On time"),"Closed")</f>
        <v>Closed</v>
      </c>
      <c r="M340" s="27" t="str" cm="1">
        <f t="array" ref="M340">_xlfn.IFS(Table6[[#This Row],[Finish Date]]=0,"",Table6[[#This Row],[Finish Date]]&gt;Table6[[#This Row],[Target Date]],"Delay",Table6[[#This Row],[Finish Date]]&lt;=Table6[[#This Row],[Target Date]],"On Time")</f>
        <v>On Time</v>
      </c>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row>
    <row r="341" spans="1:41" ht="21" hidden="1" customHeight="1">
      <c r="A341" s="27">
        <f>WEEKNUM(Table6[[#This Row],[Start Date]])</f>
        <v>19</v>
      </c>
      <c r="B341" s="27" t="str">
        <f>TEXT(Table6[[#This Row],[Start Date]],"mmm")</f>
        <v>May</v>
      </c>
      <c r="C341" s="27" t="str">
        <f>_xlfn.IFNA(INDEX(Refer!$B$5:$B$103,MATCH(Table6[[#This Row],[TASK]],Refer!$C$5:$C$103,0)),"")</f>
        <v>PACKING</v>
      </c>
      <c r="D341" s="93" t="s">
        <v>112</v>
      </c>
      <c r="E341" s="79" t="s">
        <v>408</v>
      </c>
      <c r="F341" s="82" t="s">
        <v>66</v>
      </c>
      <c r="G341" s="27" t="s">
        <v>182</v>
      </c>
      <c r="H341" s="41">
        <v>46149</v>
      </c>
      <c r="I341" s="41">
        <v>46150</v>
      </c>
      <c r="J341" s="41">
        <v>46149</v>
      </c>
      <c r="K341" s="27" t="str">
        <f>IF(Table6[[#This Row],[Finish Date]]=0,"On process","Close")</f>
        <v>Close</v>
      </c>
      <c r="L341" s="27" t="str">
        <f>IF(Table6[[#This Row],[Status]]="On process",IF($H$2&gt;Table6[[#This Row],[Target Date]],"Overdue","On time"),"Closed")</f>
        <v>Closed</v>
      </c>
      <c r="M341" s="27" t="str" cm="1">
        <f t="array" ref="M341">_xlfn.IFS(Table6[[#This Row],[Finish Date]]=0,"",Table6[[#This Row],[Finish Date]]&gt;Table6[[#This Row],[Target Date]],"Delay",Table6[[#This Row],[Finish Date]]&lt;=Table6[[#This Row],[Target Date]],"On Time")</f>
        <v>On Time</v>
      </c>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row>
    <row r="342" spans="1:41" ht="21" hidden="1" customHeight="1">
      <c r="A342" s="27">
        <f>WEEKNUM(Table6[[#This Row],[Start Date]])</f>
        <v>19</v>
      </c>
      <c r="B342" s="27" t="str">
        <f>TEXT(Table6[[#This Row],[Start Date]],"mmm")</f>
        <v>May</v>
      </c>
      <c r="C342" s="27" t="str">
        <f>_xlfn.IFNA(INDEX(Refer!$B$5:$B$103,MATCH(Table6[[#This Row],[TASK]],Refer!$C$5:$C$103,0)),"")</f>
        <v>RFQ</v>
      </c>
      <c r="D342" s="93" t="s">
        <v>123</v>
      </c>
      <c r="E342" s="79" t="s">
        <v>409</v>
      </c>
      <c r="F342" s="82" t="s">
        <v>366</v>
      </c>
      <c r="G342" s="27" t="s">
        <v>182</v>
      </c>
      <c r="H342" s="41">
        <v>46148</v>
      </c>
      <c r="I342" s="41">
        <v>46150</v>
      </c>
      <c r="J342" s="41">
        <v>46149</v>
      </c>
      <c r="K342" s="27" t="str">
        <f>IF(Table6[[#This Row],[Finish Date]]=0,"On process","Close")</f>
        <v>Close</v>
      </c>
      <c r="L342" s="27" t="str">
        <f>IF(Table6[[#This Row],[Status]]="On process",IF($H$2&gt;Table6[[#This Row],[Target Date]],"Overdue","On time"),"Closed")</f>
        <v>Closed</v>
      </c>
      <c r="M342" s="27" t="str" cm="1">
        <f t="array" ref="M342">_xlfn.IFS(Table6[[#This Row],[Finish Date]]=0,"",Table6[[#This Row],[Finish Date]]&gt;Table6[[#This Row],[Target Date]],"Delay",Table6[[#This Row],[Finish Date]]&lt;=Table6[[#This Row],[Target Date]],"On Time")</f>
        <v>On Time</v>
      </c>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row>
    <row r="343" spans="1:41" ht="21" hidden="1" customHeight="1">
      <c r="A343" s="27">
        <f>WEEKNUM(Table6[[#This Row],[Start Date]])</f>
        <v>19</v>
      </c>
      <c r="B343" s="27" t="str">
        <f>TEXT(Table6[[#This Row],[Start Date]],"mmm")</f>
        <v>May</v>
      </c>
      <c r="C343" s="27" t="str">
        <f>_xlfn.IFNA(INDEX(Refer!$B$5:$B$103,MATCH(Table6[[#This Row],[TASK]],Refer!$C$5:$C$103,0)),"")</f>
        <v>PACKING</v>
      </c>
      <c r="D343" s="93" t="s">
        <v>112</v>
      </c>
      <c r="E343" s="79" t="s">
        <v>410</v>
      </c>
      <c r="F343" s="82" t="s">
        <v>95</v>
      </c>
      <c r="G343" s="27" t="s">
        <v>182</v>
      </c>
      <c r="H343" s="41">
        <v>46150</v>
      </c>
      <c r="I343" s="41">
        <v>46154</v>
      </c>
      <c r="J343" s="41">
        <v>46154</v>
      </c>
      <c r="K343" s="27" t="str">
        <f>IF(Table6[[#This Row],[Finish Date]]=0,"On process","Close")</f>
        <v>Close</v>
      </c>
      <c r="L343" s="27" t="str">
        <f>IF(Table6[[#This Row],[Status]]="On process",IF($H$2&gt;Table6[[#This Row],[Target Date]],"Overdue","On time"),"Closed")</f>
        <v>Closed</v>
      </c>
      <c r="M343" s="27" t="str" cm="1">
        <f t="array" ref="M343">_xlfn.IFS(Table6[[#This Row],[Finish Date]]=0,"",Table6[[#This Row],[Finish Date]]&gt;Table6[[#This Row],[Target Date]],"Delay",Table6[[#This Row],[Finish Date]]&lt;=Table6[[#This Row],[Target Date]],"On Time")</f>
        <v>On Time</v>
      </c>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row>
    <row r="344" spans="1:41" ht="21" hidden="1" customHeight="1">
      <c r="A344" s="27">
        <f>WEEKNUM(Table6[[#This Row],[Start Date]])</f>
        <v>19</v>
      </c>
      <c r="B344" s="27" t="str">
        <f>TEXT(Table6[[#This Row],[Start Date]],"mmm")</f>
        <v>May</v>
      </c>
      <c r="C344" s="27" t="str">
        <f>_xlfn.IFNA(INDEX(Refer!$B$5:$B$103,MATCH(Table6[[#This Row],[TASK]],Refer!$C$5:$C$103,0)),"")</f>
        <v>RFQ</v>
      </c>
      <c r="D344" s="93" t="s">
        <v>123</v>
      </c>
      <c r="E344" s="79" t="s">
        <v>411</v>
      </c>
      <c r="F344" s="82" t="s">
        <v>63</v>
      </c>
      <c r="G344" s="27" t="s">
        <v>182</v>
      </c>
      <c r="H344" s="41">
        <v>46149</v>
      </c>
      <c r="I344" s="41">
        <v>46155</v>
      </c>
      <c r="J344" s="41">
        <v>46155</v>
      </c>
      <c r="K344" s="27" t="str">
        <f>IF(Table6[[#This Row],[Finish Date]]=0,"On process","Close")</f>
        <v>Close</v>
      </c>
      <c r="L344" s="27" t="str">
        <f>IF(Table6[[#This Row],[Status]]="On process",IF($H$2&gt;Table6[[#This Row],[Target Date]],"Overdue","On time"),"Closed")</f>
        <v>Closed</v>
      </c>
      <c r="M344" s="27" t="str" cm="1">
        <f t="array" ref="M344">_xlfn.IFS(Table6[[#This Row],[Finish Date]]=0,"",Table6[[#This Row],[Finish Date]]&gt;Table6[[#This Row],[Target Date]],"Delay",Table6[[#This Row],[Finish Date]]&lt;=Table6[[#This Row],[Target Date]],"On Time")</f>
        <v>On Time</v>
      </c>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row>
    <row r="345" spans="1:41" ht="21" hidden="1" customHeight="1">
      <c r="A345" s="27">
        <f>WEEKNUM(Table6[[#This Row],[Start Date]])</f>
        <v>20</v>
      </c>
      <c r="B345" s="27" t="str">
        <f>TEXT(Table6[[#This Row],[Start Date]],"mmm")</f>
        <v>May</v>
      </c>
      <c r="C345" s="27" t="str">
        <f>_xlfn.IFNA(INDEX(Refer!$B$5:$B$103,MATCH(Table6[[#This Row],[TASK]],Refer!$C$5:$C$103,0)),"")</f>
        <v>MEETING</v>
      </c>
      <c r="D345" s="93" t="s">
        <v>314</v>
      </c>
      <c r="E345" s="79" t="s">
        <v>412</v>
      </c>
      <c r="F345" s="82" t="s">
        <v>63</v>
      </c>
      <c r="G345" s="27" t="s">
        <v>182</v>
      </c>
      <c r="H345" s="41">
        <v>46157</v>
      </c>
      <c r="I345" s="41">
        <v>46157</v>
      </c>
      <c r="J345" s="41">
        <v>46157</v>
      </c>
      <c r="K345" s="27" t="str">
        <f>IF(Table6[[#This Row],[Finish Date]]=0,"On process","Close")</f>
        <v>Close</v>
      </c>
      <c r="L345" s="27" t="str">
        <f>IF(Table6[[#This Row],[Status]]="On process",IF($H$2&gt;Table6[[#This Row],[Target Date]],"Overdue","On time"),"Closed")</f>
        <v>Closed</v>
      </c>
      <c r="M345" s="27" t="str" cm="1">
        <f t="array" ref="M345">_xlfn.IFS(Table6[[#This Row],[Finish Date]]=0,"",Table6[[#This Row],[Finish Date]]&gt;Table6[[#This Row],[Target Date]],"Delay",Table6[[#This Row],[Finish Date]]&lt;=Table6[[#This Row],[Target Date]],"On Time")</f>
        <v>On Time</v>
      </c>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row>
    <row r="346" spans="1:41" ht="21" hidden="1" customHeight="1">
      <c r="A346" s="27">
        <f>WEEKNUM(Table6[[#This Row],[Start Date]])</f>
        <v>19</v>
      </c>
      <c r="B346" s="27" t="str">
        <f>TEXT(Table6[[#This Row],[Start Date]],"mmm")</f>
        <v>May</v>
      </c>
      <c r="C346" s="27" t="str">
        <f>_xlfn.IFNA(INDEX(Refer!$B$5:$B$103,MATCH(Table6[[#This Row],[TASK]],Refer!$C$5:$C$103,0)),"")</f>
        <v>PACKING</v>
      </c>
      <c r="D346" s="93" t="s">
        <v>120</v>
      </c>
      <c r="E346" s="79" t="s">
        <v>413</v>
      </c>
      <c r="F346" s="82" t="s">
        <v>138</v>
      </c>
      <c r="G346" s="27" t="s">
        <v>64</v>
      </c>
      <c r="H346" s="41">
        <v>46147</v>
      </c>
      <c r="I346" s="41">
        <v>46148</v>
      </c>
      <c r="J346" s="41">
        <v>46148</v>
      </c>
      <c r="K346" s="27" t="str">
        <f>IF(Table6[[#This Row],[Finish Date]]=0,"On process","Close")</f>
        <v>Close</v>
      </c>
      <c r="L346" s="27" t="str">
        <f>IF(Table6[[#This Row],[Status]]="On process",IF($H$2&gt;Table6[[#This Row],[Target Date]],"Overdue","On time"),"Closed")</f>
        <v>Closed</v>
      </c>
      <c r="M346" s="27" t="str" cm="1">
        <f t="array" ref="M346">_xlfn.IFS(Table6[[#This Row],[Finish Date]]=0,"",Table6[[#This Row],[Finish Date]]&gt;Table6[[#This Row],[Target Date]],"Delay",Table6[[#This Row],[Finish Date]]&lt;=Table6[[#This Row],[Target Date]],"On Time")</f>
        <v>On Time</v>
      </c>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row>
    <row r="347" spans="1:41" ht="21" hidden="1" customHeight="1">
      <c r="A347" s="27">
        <f>WEEKNUM(Table6[[#This Row],[Start Date]])</f>
        <v>19</v>
      </c>
      <c r="B347" s="27" t="str">
        <f>TEXT(Table6[[#This Row],[Start Date]],"mmm")</f>
        <v>May</v>
      </c>
      <c r="C347" s="27" t="str">
        <f>_xlfn.IFNA(INDEX(Refer!$B$5:$B$103,MATCH(Table6[[#This Row],[TASK]],Refer!$C$5:$C$103,0)),"")</f>
        <v>PACKING</v>
      </c>
      <c r="D347" s="93" t="s">
        <v>120</v>
      </c>
      <c r="E347" s="79" t="s">
        <v>414</v>
      </c>
      <c r="F347" s="82" t="s">
        <v>366</v>
      </c>
      <c r="G347" s="27" t="s">
        <v>64</v>
      </c>
      <c r="H347" s="41">
        <v>46147</v>
      </c>
      <c r="I347" s="41">
        <v>46148</v>
      </c>
      <c r="J347" s="41">
        <v>46148</v>
      </c>
      <c r="K347" s="27" t="str">
        <f>IF(Table6[[#This Row],[Finish Date]]=0,"On process","Close")</f>
        <v>Close</v>
      </c>
      <c r="L347" s="27" t="str">
        <f>IF(Table6[[#This Row],[Status]]="On process",IF($H$2&gt;Table6[[#This Row],[Target Date]],"Overdue","On time"),"Closed")</f>
        <v>Closed</v>
      </c>
      <c r="M347" s="27" t="str" cm="1">
        <f t="array" ref="M347">_xlfn.IFS(Table6[[#This Row],[Finish Date]]=0,"",Table6[[#This Row],[Finish Date]]&gt;Table6[[#This Row],[Target Date]],"Delay",Table6[[#This Row],[Finish Date]]&lt;=Table6[[#This Row],[Target Date]],"On Time")</f>
        <v>On Time</v>
      </c>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row>
    <row r="348" spans="1:41" ht="21" hidden="1" customHeight="1">
      <c r="A348" s="27">
        <f>WEEKNUM(Table6[[#This Row],[Start Date]])</f>
        <v>19</v>
      </c>
      <c r="B348" s="27" t="str">
        <f>TEXT(Table6[[#This Row],[Start Date]],"mmm")</f>
        <v>May</v>
      </c>
      <c r="C348" s="27" t="str">
        <f>_xlfn.IFNA(INDEX(Refer!$B$5:$B$103,MATCH(Table6[[#This Row],[TASK]],Refer!$C$5:$C$103,0)),"")</f>
        <v>DFM Mold</v>
      </c>
      <c r="D348" s="93" t="s">
        <v>91</v>
      </c>
      <c r="E348" s="79" t="s">
        <v>415</v>
      </c>
      <c r="F348" s="82" t="s">
        <v>63</v>
      </c>
      <c r="G348" s="27" t="s">
        <v>64</v>
      </c>
      <c r="H348" s="41">
        <v>46147</v>
      </c>
      <c r="I348" s="41">
        <v>46148</v>
      </c>
      <c r="J348" s="41">
        <v>46148</v>
      </c>
      <c r="K348" s="27" t="str">
        <f>IF(Table6[[#This Row],[Finish Date]]=0,"On process","Close")</f>
        <v>Close</v>
      </c>
      <c r="L348" s="27" t="str">
        <f>IF(Table6[[#This Row],[Status]]="On process",IF($H$2&gt;Table6[[#This Row],[Target Date]],"Overdue","On time"),"Closed")</f>
        <v>Closed</v>
      </c>
      <c r="M348" s="27" t="str" cm="1">
        <f t="array" ref="M348">_xlfn.IFS(Table6[[#This Row],[Finish Date]]=0,"",Table6[[#This Row],[Finish Date]]&gt;Table6[[#This Row],[Target Date]],"Delay",Table6[[#This Row],[Finish Date]]&lt;=Table6[[#This Row],[Target Date]],"On Time")</f>
        <v>On Time</v>
      </c>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row>
    <row r="349" spans="1:41" ht="21" hidden="1" customHeight="1">
      <c r="A349" s="27">
        <f>WEEKNUM(Table6[[#This Row],[Start Date]])</f>
        <v>19</v>
      </c>
      <c r="B349" s="27" t="str">
        <f>TEXT(Table6[[#This Row],[Start Date]],"mmm")</f>
        <v>May</v>
      </c>
      <c r="C349" s="27" t="str">
        <f>_xlfn.IFNA(INDEX(Refer!$B$5:$B$103,MATCH(Table6[[#This Row],[TASK]],Refer!$C$5:$C$103,0)),"")</f>
        <v>PACKING</v>
      </c>
      <c r="D349" s="93" t="s">
        <v>120</v>
      </c>
      <c r="E349" s="79" t="s">
        <v>416</v>
      </c>
      <c r="F349" s="82" t="s">
        <v>138</v>
      </c>
      <c r="G349" s="27" t="s">
        <v>64</v>
      </c>
      <c r="H349" s="41">
        <v>46148</v>
      </c>
      <c r="I349" s="41">
        <v>46149</v>
      </c>
      <c r="J349" s="41">
        <v>46149</v>
      </c>
      <c r="K349" s="27" t="str">
        <f>IF(Table6[[#This Row],[Finish Date]]=0,"On process","Close")</f>
        <v>Close</v>
      </c>
      <c r="L349" s="27" t="str">
        <f>IF(Table6[[#This Row],[Status]]="On process",IF($H$2&gt;Table6[[#This Row],[Target Date]],"Overdue","On time"),"Closed")</f>
        <v>Closed</v>
      </c>
      <c r="M349" s="27" t="str" cm="1">
        <f t="array" ref="M349">_xlfn.IFS(Table6[[#This Row],[Finish Date]]=0,"",Table6[[#This Row],[Finish Date]]&gt;Table6[[#This Row],[Target Date]],"Delay",Table6[[#This Row],[Finish Date]]&lt;=Table6[[#This Row],[Target Date]],"On Time")</f>
        <v>On Time</v>
      </c>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row>
    <row r="350" spans="1:41" ht="21" hidden="1" customHeight="1">
      <c r="A350" s="27">
        <f>WEEKNUM(Table6[[#This Row],[Start Date]])</f>
        <v>19</v>
      </c>
      <c r="B350" s="27" t="str">
        <f>TEXT(Table6[[#This Row],[Start Date]],"mmm")</f>
        <v>May</v>
      </c>
      <c r="C350" s="27" t="str">
        <f>_xlfn.IFNA(INDEX(Refer!$B$5:$B$103,MATCH(Table6[[#This Row],[TASK]],Refer!$C$5:$C$103,0)),"")</f>
        <v>PACKING</v>
      </c>
      <c r="D350" s="93" t="s">
        <v>120</v>
      </c>
      <c r="E350" s="79" t="s">
        <v>417</v>
      </c>
      <c r="F350" s="82" t="s">
        <v>138</v>
      </c>
      <c r="G350" s="27" t="s">
        <v>64</v>
      </c>
      <c r="H350" s="41">
        <v>46148</v>
      </c>
      <c r="I350" s="41">
        <v>46149</v>
      </c>
      <c r="J350" s="41">
        <v>46149</v>
      </c>
      <c r="K350" s="27" t="str">
        <f>IF(Table6[[#This Row],[Finish Date]]=0,"On process","Close")</f>
        <v>Close</v>
      </c>
      <c r="L350" s="27" t="str">
        <f>IF(Table6[[#This Row],[Status]]="On process",IF($H$2&gt;Table6[[#This Row],[Target Date]],"Overdue","On time"),"Closed")</f>
        <v>Closed</v>
      </c>
      <c r="M350" s="27" t="str" cm="1">
        <f t="array" ref="M350">_xlfn.IFS(Table6[[#This Row],[Finish Date]]=0,"",Table6[[#This Row],[Finish Date]]&gt;Table6[[#This Row],[Target Date]],"Delay",Table6[[#This Row],[Finish Date]]&lt;=Table6[[#This Row],[Target Date]],"On Time")</f>
        <v>On Time</v>
      </c>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row>
    <row r="351" spans="1:41" ht="21" hidden="1" customHeight="1">
      <c r="A351" s="27">
        <f>WEEKNUM(Table6[[#This Row],[Start Date]])</f>
        <v>19</v>
      </c>
      <c r="B351" s="27" t="str">
        <f>TEXT(Table6[[#This Row],[Start Date]],"mmm")</f>
        <v>May</v>
      </c>
      <c r="C351" s="27" t="str">
        <f>_xlfn.IFNA(INDEX(Refer!$B$5:$B$103,MATCH(Table6[[#This Row],[TASK]],Refer!$C$5:$C$103,0)),"")</f>
        <v>PACKING</v>
      </c>
      <c r="D351" s="93" t="s">
        <v>120</v>
      </c>
      <c r="E351" s="79" t="s">
        <v>418</v>
      </c>
      <c r="F351" s="82" t="s">
        <v>419</v>
      </c>
      <c r="G351" s="27" t="s">
        <v>64</v>
      </c>
      <c r="H351" s="41">
        <v>46149</v>
      </c>
      <c r="I351" s="41">
        <v>46150</v>
      </c>
      <c r="J351" s="41">
        <v>46150</v>
      </c>
      <c r="K351" s="27" t="str">
        <f>IF(Table6[[#This Row],[Finish Date]]=0,"On process","Close")</f>
        <v>Close</v>
      </c>
      <c r="L351" s="27" t="str">
        <f>IF(Table6[[#This Row],[Status]]="On process",IF($H$2&gt;Table6[[#This Row],[Target Date]],"Overdue","On time"),"Closed")</f>
        <v>Closed</v>
      </c>
      <c r="M351" s="27" t="str" cm="1">
        <f t="array" ref="M351">_xlfn.IFS(Table6[[#This Row],[Finish Date]]=0,"",Table6[[#This Row],[Finish Date]]&gt;Table6[[#This Row],[Target Date]],"Delay",Table6[[#This Row],[Finish Date]]&lt;=Table6[[#This Row],[Target Date]],"On Time")</f>
        <v>On Time</v>
      </c>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row>
    <row r="352" spans="1:41" ht="27.75" hidden="1" customHeight="1">
      <c r="A352" s="27">
        <f>WEEKNUM(Table6[[#This Row],[Start Date]])</f>
        <v>19</v>
      </c>
      <c r="B352" s="27" t="str">
        <f>TEXT(Table6[[#This Row],[Start Date]],"mmm")</f>
        <v>May</v>
      </c>
      <c r="C352" s="27" t="str">
        <f>_xlfn.IFNA(INDEX(Refer!$B$5:$B$103,MATCH(Table6[[#This Row],[TASK]],Refer!$C$5:$C$103,0)),"")</f>
        <v>PACKING</v>
      </c>
      <c r="D352" s="93" t="s">
        <v>120</v>
      </c>
      <c r="E352" s="79" t="s">
        <v>420</v>
      </c>
      <c r="F352" s="82" t="s">
        <v>421</v>
      </c>
      <c r="G352" s="27" t="s">
        <v>64</v>
      </c>
      <c r="H352" s="41">
        <v>46150</v>
      </c>
      <c r="I352" s="41">
        <v>46150</v>
      </c>
      <c r="J352" s="41">
        <v>46150</v>
      </c>
      <c r="K352" s="27" t="str">
        <f>IF(Table6[[#This Row],[Finish Date]]=0,"On process","Close")</f>
        <v>Close</v>
      </c>
      <c r="L352" s="27" t="str">
        <f>IF(Table6[[#This Row],[Status]]="On process",IF($H$2&gt;Table6[[#This Row],[Target Date]],"Overdue","On time"),"Closed")</f>
        <v>Closed</v>
      </c>
      <c r="M352" s="27" t="str" cm="1">
        <f t="array" ref="M352">_xlfn.IFS(Table6[[#This Row],[Finish Date]]=0,"",Table6[[#This Row],[Finish Date]]&gt;Table6[[#This Row],[Target Date]],"Delay",Table6[[#This Row],[Finish Date]]&lt;=Table6[[#This Row],[Target Date]],"On Time")</f>
        <v>On Time</v>
      </c>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row>
    <row r="353" spans="1:41" ht="21" hidden="1" customHeight="1">
      <c r="A353" s="27">
        <f>WEEKNUM(Table6[[#This Row],[Start Date]])</f>
        <v>15</v>
      </c>
      <c r="B353" s="27" t="str">
        <f>TEXT(Table6[[#This Row],[Start Date]],"mmm")</f>
        <v>Apr</v>
      </c>
      <c r="C353" s="27" t="str">
        <f>_xlfn.IFNA(INDEX(Refer!$B$5:$B$103,MATCH(Table6[[#This Row],[TASK]],Refer!$C$5:$C$103,0)),"")</f>
        <v>NPI</v>
      </c>
      <c r="D353" s="93" t="s">
        <v>61</v>
      </c>
      <c r="E353" s="79" t="s">
        <v>422</v>
      </c>
      <c r="F353" s="82" t="s">
        <v>63</v>
      </c>
      <c r="G353" s="27" t="s">
        <v>64</v>
      </c>
      <c r="H353" s="41">
        <v>46118</v>
      </c>
      <c r="I353" s="41">
        <v>46118</v>
      </c>
      <c r="J353" s="41">
        <v>46118</v>
      </c>
      <c r="K353" s="27" t="str">
        <f>IF(Table6[[#This Row],[Finish Date]]=0,"On process","Close")</f>
        <v>Close</v>
      </c>
      <c r="L353" s="27" t="str">
        <f>IF(Table6[[#This Row],[Status]]="On process",IF($H$2&gt;Table6[[#This Row],[Target Date]],"Overdue","On time"),"Closed")</f>
        <v>Closed</v>
      </c>
      <c r="M353" s="27" t="str" cm="1">
        <f t="array" ref="M353">_xlfn.IFS(Table6[[#This Row],[Finish Date]]=0,"",Table6[[#This Row],[Finish Date]]&gt;Table6[[#This Row],[Target Date]],"Delay",Table6[[#This Row],[Finish Date]]&lt;=Table6[[#This Row],[Target Date]],"On Time")</f>
        <v>On Time</v>
      </c>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row>
    <row r="354" spans="1:41" ht="21" hidden="1" customHeight="1">
      <c r="A354" s="27">
        <f>WEEKNUM(Table6[[#This Row],[Start Date]])</f>
        <v>15</v>
      </c>
      <c r="B354" s="27" t="str">
        <f>TEXT(Table6[[#This Row],[Start Date]],"mmm")</f>
        <v>Apr</v>
      </c>
      <c r="C354" s="27" t="str">
        <f>_xlfn.IFNA(INDEX(Refer!$B$5:$B$103,MATCH(Table6[[#This Row],[TASK]],Refer!$C$5:$C$103,0)),"")</f>
        <v>PACKING</v>
      </c>
      <c r="D354" s="93" t="s">
        <v>120</v>
      </c>
      <c r="E354" s="79" t="s">
        <v>423</v>
      </c>
      <c r="F354" s="82" t="s">
        <v>134</v>
      </c>
      <c r="G354" s="27" t="s">
        <v>64</v>
      </c>
      <c r="H354" s="41">
        <v>46118</v>
      </c>
      <c r="I354" s="41">
        <v>46118</v>
      </c>
      <c r="J354" s="41">
        <v>46118</v>
      </c>
      <c r="K354" s="27" t="str">
        <f>IF(Table6[[#This Row],[Finish Date]]=0,"On process","Close")</f>
        <v>Close</v>
      </c>
      <c r="L354" s="27" t="str">
        <f>IF(Table6[[#This Row],[Status]]="On process",IF($H$2&gt;Table6[[#This Row],[Target Date]],"Overdue","On time"),"Closed")</f>
        <v>Closed</v>
      </c>
      <c r="M354" s="27" t="str" cm="1">
        <f t="array" ref="M354">_xlfn.IFS(Table6[[#This Row],[Finish Date]]=0,"",Table6[[#This Row],[Finish Date]]&gt;Table6[[#This Row],[Target Date]],"Delay",Table6[[#This Row],[Finish Date]]&lt;=Table6[[#This Row],[Target Date]],"On Time")</f>
        <v>On Time</v>
      </c>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row>
    <row r="355" spans="1:41" ht="21" hidden="1" customHeight="1">
      <c r="A355" s="27">
        <f>WEEKNUM(Table6[[#This Row],[Start Date]])</f>
        <v>15</v>
      </c>
      <c r="B355" s="27" t="str">
        <f>TEXT(Table6[[#This Row],[Start Date]],"mmm")</f>
        <v>Apr</v>
      </c>
      <c r="C355" s="27" t="str">
        <f>_xlfn.IFNA(INDEX(Refer!$B$5:$B$103,MATCH(Table6[[#This Row],[TASK]],Refer!$C$5:$C$103,0)),"")</f>
        <v>NPI</v>
      </c>
      <c r="D355" s="93" t="s">
        <v>61</v>
      </c>
      <c r="E355" s="79" t="s">
        <v>424</v>
      </c>
      <c r="F355" s="82" t="s">
        <v>198</v>
      </c>
      <c r="G355" s="27" t="s">
        <v>64</v>
      </c>
      <c r="H355" s="41">
        <v>46118</v>
      </c>
      <c r="I355" s="41">
        <v>46118</v>
      </c>
      <c r="J355" s="41">
        <v>46118</v>
      </c>
      <c r="K355" s="27" t="str">
        <f>IF(Table6[[#This Row],[Finish Date]]=0,"On process","Close")</f>
        <v>Close</v>
      </c>
      <c r="L355" s="27" t="str">
        <f>IF(Table6[[#This Row],[Status]]="On process",IF($H$2&gt;Table6[[#This Row],[Target Date]],"Overdue","On time"),"Closed")</f>
        <v>Closed</v>
      </c>
      <c r="M355" s="27" t="str" cm="1">
        <f t="array" ref="M355">_xlfn.IFS(Table6[[#This Row],[Finish Date]]=0,"",Table6[[#This Row],[Finish Date]]&gt;Table6[[#This Row],[Target Date]],"Delay",Table6[[#This Row],[Finish Date]]&lt;=Table6[[#This Row],[Target Date]],"On Time")</f>
        <v>On Time</v>
      </c>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row>
    <row r="356" spans="1:41" ht="21" hidden="1" customHeight="1">
      <c r="A356" s="27">
        <f>WEEKNUM(Table6[[#This Row],[Start Date]])</f>
        <v>15</v>
      </c>
      <c r="B356" s="27" t="str">
        <f>TEXT(Table6[[#This Row],[Start Date]],"mmm")</f>
        <v>Apr</v>
      </c>
      <c r="C356" s="27" t="str">
        <f>_xlfn.IFNA(INDEX(Refer!$B$5:$B$103,MATCH(Table6[[#This Row],[TASK]],Refer!$C$5:$C$103,0)),"")</f>
        <v>PACKING</v>
      </c>
      <c r="D356" s="93" t="s">
        <v>120</v>
      </c>
      <c r="E356" s="85" t="s">
        <v>425</v>
      </c>
      <c r="F356" s="82"/>
      <c r="G356" s="27" t="s">
        <v>64</v>
      </c>
      <c r="H356" s="41">
        <v>46118</v>
      </c>
      <c r="I356" s="41">
        <v>46118</v>
      </c>
      <c r="J356" s="41">
        <v>46118</v>
      </c>
      <c r="K356" s="27" t="str">
        <f>IF(Table6[[#This Row],[Finish Date]]=0,"On process","Close")</f>
        <v>Close</v>
      </c>
      <c r="L356" s="27" t="str">
        <f>IF(Table6[[#This Row],[Status]]="On process",IF($H$2&gt;Table6[[#This Row],[Target Date]],"Overdue","On time"),"Closed")</f>
        <v>Closed</v>
      </c>
      <c r="M356" s="27" t="str" cm="1">
        <f t="array" ref="M356">_xlfn.IFS(Table6[[#This Row],[Finish Date]]=0,"",Table6[[#This Row],[Finish Date]]&gt;Table6[[#This Row],[Target Date]],"Delay",Table6[[#This Row],[Finish Date]]&lt;=Table6[[#This Row],[Target Date]],"On Time")</f>
        <v>On Time</v>
      </c>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row>
    <row r="357" spans="1:41" ht="21" hidden="1" customHeight="1">
      <c r="A357" s="27">
        <f>WEEKNUM(Table6[[#This Row],[Start Date]])</f>
        <v>15</v>
      </c>
      <c r="B357" s="27" t="str">
        <f>TEXT(Table6[[#This Row],[Start Date]],"mmm")</f>
        <v>Apr</v>
      </c>
      <c r="C357" s="27" t="str">
        <f>_xlfn.IFNA(INDEX(Refer!$B$5:$B$103,MATCH(Table6[[#This Row],[TASK]],Refer!$C$5:$C$103,0)),"")</f>
        <v>MEETING</v>
      </c>
      <c r="D357" s="93" t="s">
        <v>72</v>
      </c>
      <c r="E357" s="79" t="s">
        <v>426</v>
      </c>
      <c r="F357" s="82" t="s">
        <v>63</v>
      </c>
      <c r="G357" s="27" t="s">
        <v>64</v>
      </c>
      <c r="H357" s="41">
        <v>46119</v>
      </c>
      <c r="I357" s="41">
        <v>46119</v>
      </c>
      <c r="J357" s="41">
        <v>46119</v>
      </c>
      <c r="K357" s="27" t="str">
        <f>IF(Table6[[#This Row],[Finish Date]]=0,"On process","Close")</f>
        <v>Close</v>
      </c>
      <c r="L357" s="27" t="str">
        <f>IF(Table6[[#This Row],[Status]]="On process",IF($H$2&gt;Table6[[#This Row],[Target Date]],"Overdue","On time"),"Closed")</f>
        <v>Closed</v>
      </c>
      <c r="M357" s="27" t="str" cm="1">
        <f t="array" ref="M357">_xlfn.IFS(Table6[[#This Row],[Finish Date]]=0,"",Table6[[#This Row],[Finish Date]]&gt;Table6[[#This Row],[Target Date]],"Delay",Table6[[#This Row],[Finish Date]]&lt;=Table6[[#This Row],[Target Date]],"On Time")</f>
        <v>On Time</v>
      </c>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row>
    <row r="358" spans="1:41" ht="21" hidden="1" customHeight="1">
      <c r="A358" s="27">
        <f>WEEKNUM(Table6[[#This Row],[Start Date]])</f>
        <v>15</v>
      </c>
      <c r="B358" s="27" t="str">
        <f>TEXT(Table6[[#This Row],[Start Date]],"mmm")</f>
        <v>Apr</v>
      </c>
      <c r="C358" s="27" t="str">
        <f>_xlfn.IFNA(INDEX(Refer!$B$5:$B$103,MATCH(Table6[[#This Row],[TASK]],Refer!$C$5:$C$103,0)),"")</f>
        <v>MEETING</v>
      </c>
      <c r="D358" s="93" t="s">
        <v>72</v>
      </c>
      <c r="E358" s="79" t="s">
        <v>303</v>
      </c>
      <c r="F358" s="82" t="s">
        <v>66</v>
      </c>
      <c r="G358" s="27" t="s">
        <v>64</v>
      </c>
      <c r="H358" s="41">
        <v>46119</v>
      </c>
      <c r="I358" s="41">
        <v>46119</v>
      </c>
      <c r="J358" s="41">
        <v>46119</v>
      </c>
      <c r="K358" s="27" t="str">
        <f>IF(Table6[[#This Row],[Finish Date]]=0,"On process","Close")</f>
        <v>Close</v>
      </c>
      <c r="L358" s="27" t="str">
        <f>IF(Table6[[#This Row],[Status]]="On process",IF($H$2&gt;Table6[[#This Row],[Target Date]],"Overdue","On time"),"Closed")</f>
        <v>Closed</v>
      </c>
      <c r="M358" s="27" t="str" cm="1">
        <f t="array" ref="M358">_xlfn.IFS(Table6[[#This Row],[Finish Date]]=0,"",Table6[[#This Row],[Finish Date]]&gt;Table6[[#This Row],[Target Date]],"Delay",Table6[[#This Row],[Finish Date]]&lt;=Table6[[#This Row],[Target Date]],"On Time")</f>
        <v>On Time</v>
      </c>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row>
    <row r="359" spans="1:41" ht="21" hidden="1" customHeight="1">
      <c r="A359" s="84">
        <f>WEEKNUM(Table6[[#This Row],[Start Date]])</f>
        <v>15</v>
      </c>
      <c r="B359" s="84" t="str">
        <f>TEXT(Table6[[#This Row],[Start Date]],"mmm")</f>
        <v>Apr</v>
      </c>
      <c r="C359" s="84" t="str">
        <f>_xlfn.IFNA(INDEX(Refer!$B$5:$B$103,MATCH(Table6[[#This Row],[TASK]],Refer!$C$5:$C$103,0)),"")</f>
        <v>MEETING</v>
      </c>
      <c r="D359" s="92" t="s">
        <v>72</v>
      </c>
      <c r="E359" s="85" t="s">
        <v>353</v>
      </c>
      <c r="F359" s="86" t="s">
        <v>63</v>
      </c>
      <c r="G359" s="84" t="s">
        <v>64</v>
      </c>
      <c r="H359" s="87">
        <v>46121</v>
      </c>
      <c r="I359" s="87">
        <v>46121</v>
      </c>
      <c r="J359" s="87">
        <v>46121</v>
      </c>
      <c r="K359" s="84" t="str">
        <f>IF(Table6[[#This Row],[Finish Date]]=0,"On process","Close")</f>
        <v>Close</v>
      </c>
      <c r="L359" s="84" t="str">
        <f>IF(Table6[[#This Row],[Status]]="On process",IF($H$2&gt;Table6[[#This Row],[Target Date]],"Overdue","On time"),"Closed")</f>
        <v>Closed</v>
      </c>
      <c r="M359" s="84" t="str" cm="1">
        <f t="array" ref="M359">_xlfn.IFS(Table6[[#This Row],[Finish Date]]=0,"",Table6[[#This Row],[Finish Date]]&gt;Table6[[#This Row],[Target Date]],"Delay",Table6[[#This Row],[Finish Date]]&lt;=Table6[[#This Row],[Target Date]],"On Time")</f>
        <v>On Time</v>
      </c>
      <c r="N359" s="88"/>
      <c r="O359" s="88"/>
      <c r="P359" s="88"/>
      <c r="Q359" s="88"/>
      <c r="R359" s="88"/>
      <c r="S359" s="88"/>
      <c r="T359" s="88"/>
      <c r="U359" s="88"/>
      <c r="V359" s="88"/>
      <c r="W359" s="88"/>
      <c r="X359" s="88"/>
      <c r="Y359" s="88"/>
      <c r="Z359" s="88"/>
      <c r="AA359" s="88"/>
      <c r="AB359" s="88"/>
      <c r="AC359" s="88"/>
      <c r="AD359" s="88"/>
      <c r="AE359" s="88"/>
      <c r="AF359" s="88"/>
      <c r="AG359" s="88"/>
      <c r="AH359" s="88"/>
      <c r="AI359" s="88"/>
      <c r="AJ359" s="88"/>
      <c r="AK359" s="88"/>
      <c r="AL359" s="88"/>
      <c r="AM359" s="88"/>
      <c r="AN359" s="88"/>
      <c r="AO359" s="88"/>
    </row>
    <row r="360" spans="1:41" ht="21" hidden="1" customHeight="1">
      <c r="A360" s="27">
        <f>WEEKNUM(Table6[[#This Row],[Start Date]])</f>
        <v>15</v>
      </c>
      <c r="B360" s="27" t="str">
        <f>TEXT(Table6[[#This Row],[Start Date]],"mmm")</f>
        <v>Apr</v>
      </c>
      <c r="C360" s="27" t="str">
        <f>_xlfn.IFNA(INDEX(Refer!$B$5:$B$103,MATCH(Table6[[#This Row],[TASK]],Refer!$C$5:$C$103,0)),"")</f>
        <v>MEETING</v>
      </c>
      <c r="D360" s="92" t="s">
        <v>72</v>
      </c>
      <c r="E360" s="79" t="s">
        <v>427</v>
      </c>
      <c r="F360" s="82" t="s">
        <v>66</v>
      </c>
      <c r="G360" s="27" t="s">
        <v>64</v>
      </c>
      <c r="H360" s="41">
        <v>46121</v>
      </c>
      <c r="I360" s="41">
        <v>46122</v>
      </c>
      <c r="J360" s="41">
        <v>46122</v>
      </c>
      <c r="K360" s="27" t="str">
        <f>IF(Table6[[#This Row],[Finish Date]]=0,"On process","Close")</f>
        <v>Close</v>
      </c>
      <c r="L360" s="27" t="str">
        <f>IF(Table6[[#This Row],[Status]]="On process",IF($H$2&gt;Table6[[#This Row],[Target Date]],"Overdue","On time"),"Closed")</f>
        <v>Closed</v>
      </c>
      <c r="M360" s="27" t="str" cm="1">
        <f t="array" ref="M360">_xlfn.IFS(Table6[[#This Row],[Finish Date]]=0,"",Table6[[#This Row],[Finish Date]]&gt;Table6[[#This Row],[Target Date]],"Delay",Table6[[#This Row],[Finish Date]]&lt;=Table6[[#This Row],[Target Date]],"On Time")</f>
        <v>On Time</v>
      </c>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row>
    <row r="361" spans="1:41" ht="21" hidden="1" customHeight="1">
      <c r="A361" s="27">
        <f>WEEKNUM(Table6[[#This Row],[Start Date]])</f>
        <v>17</v>
      </c>
      <c r="B361" s="27" t="str">
        <f>TEXT(Table6[[#This Row],[Start Date]],"mmm")</f>
        <v>Apr</v>
      </c>
      <c r="C361" s="27" t="str">
        <f>_xlfn.IFNA(INDEX(Refer!$B$5:$B$103,MATCH(Table6[[#This Row],[TASK]],Refer!$C$5:$C$103,0)),"")</f>
        <v>PACKING</v>
      </c>
      <c r="D361" s="93" t="s">
        <v>120</v>
      </c>
      <c r="E361" s="95" t="s">
        <v>428</v>
      </c>
      <c r="F361" s="82" t="s">
        <v>429</v>
      </c>
      <c r="G361" s="27" t="s">
        <v>64</v>
      </c>
      <c r="H361" s="41">
        <v>46133</v>
      </c>
      <c r="I361" s="41">
        <v>46134</v>
      </c>
      <c r="J361" s="41">
        <v>46134</v>
      </c>
      <c r="K361" s="27" t="str">
        <f>IF(Table6[[#This Row],[Finish Date]]=0,"On process","Close")</f>
        <v>Close</v>
      </c>
      <c r="L361" s="27" t="str">
        <f>IF(Table6[[#This Row],[Status]]="On process",IF($H$2&gt;Table6[[#This Row],[Target Date]],"Overdue","On time"),"Closed")</f>
        <v>Closed</v>
      </c>
      <c r="M361" s="27" t="str" cm="1">
        <f t="array" ref="M361">_xlfn.IFS(Table6[[#This Row],[Finish Date]]=0,"",Table6[[#This Row],[Finish Date]]&gt;Table6[[#This Row],[Target Date]],"Delay",Table6[[#This Row],[Finish Date]]&lt;=Table6[[#This Row],[Target Date]],"On Time")</f>
        <v>On Time</v>
      </c>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row>
    <row r="362" spans="1:41" ht="21" hidden="1" customHeight="1">
      <c r="A362" s="27">
        <f>WEEKNUM(Table6[[#This Row],[Start Date]])</f>
        <v>15</v>
      </c>
      <c r="B362" s="27" t="str">
        <f>TEXT(Table6[[#This Row],[Start Date]],"mmm")</f>
        <v>Apr</v>
      </c>
      <c r="C362" s="27" t="str">
        <f>_xlfn.IFNA(INDEX(Refer!$B$5:$B$103,MATCH(Table6[[#This Row],[TASK]],Refer!$C$5:$C$103,0)),"")</f>
        <v>PACKING</v>
      </c>
      <c r="D362" s="93" t="s">
        <v>120</v>
      </c>
      <c r="E362" s="79" t="s">
        <v>430</v>
      </c>
      <c r="F362" s="82" t="s">
        <v>407</v>
      </c>
      <c r="G362" s="27" t="s">
        <v>64</v>
      </c>
      <c r="H362" s="41">
        <v>46122</v>
      </c>
      <c r="I362" s="41">
        <v>46122</v>
      </c>
      <c r="J362" s="41">
        <v>46122</v>
      </c>
      <c r="K362" s="27" t="str">
        <f>IF(Table6[[#This Row],[Finish Date]]=0,"On process","Close")</f>
        <v>Close</v>
      </c>
      <c r="L362" s="27" t="str">
        <f>IF(Table6[[#This Row],[Status]]="On process",IF($H$2&gt;Table6[[#This Row],[Target Date]],"Overdue","On time"),"Closed")</f>
        <v>Closed</v>
      </c>
      <c r="M362" s="27" t="str" cm="1">
        <f t="array" ref="M362">_xlfn.IFS(Table6[[#This Row],[Finish Date]]=0,"",Table6[[#This Row],[Finish Date]]&gt;Table6[[#This Row],[Target Date]],"Delay",Table6[[#This Row],[Finish Date]]&lt;=Table6[[#This Row],[Target Date]],"On Time")</f>
        <v>On Time</v>
      </c>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row>
    <row r="363" spans="1:41" ht="21" hidden="1" customHeight="1">
      <c r="A363" s="27">
        <f>WEEKNUM(Table6[[#This Row],[Start Date]])</f>
        <v>14</v>
      </c>
      <c r="B363" s="27" t="str">
        <f>TEXT(Table6[[#This Row],[Start Date]],"mmm")</f>
        <v>Mar</v>
      </c>
      <c r="C363" s="27" t="str">
        <f>_xlfn.IFNA(INDEX(Refer!$B$5:$B$103,MATCH(Table6[[#This Row],[TASK]],Refer!$C$5:$C$103,0)),"")</f>
        <v>MEETING</v>
      </c>
      <c r="D363" s="93" t="s">
        <v>72</v>
      </c>
      <c r="E363" s="79" t="s">
        <v>391</v>
      </c>
      <c r="F363" s="82"/>
      <c r="G363" s="27" t="s">
        <v>169</v>
      </c>
      <c r="H363" s="41">
        <v>46111</v>
      </c>
      <c r="I363" s="41">
        <v>46111</v>
      </c>
      <c r="J363" s="41">
        <v>46111</v>
      </c>
      <c r="K363" s="27" t="str">
        <f>IF(Table6[[#This Row],[Finish Date]]=0,"On process","Close")</f>
        <v>Close</v>
      </c>
      <c r="L363" s="27" t="str">
        <f>IF(Table6[[#This Row],[Status]]="On process",IF($H$2&gt;Table6[[#This Row],[Target Date]],"Overdue","On time"),"Closed")</f>
        <v>Closed</v>
      </c>
      <c r="M363" s="27" t="str" cm="1">
        <f t="array" ref="M363">_xlfn.IFS(Table6[[#This Row],[Finish Date]]=0,"",Table6[[#This Row],[Finish Date]]&gt;Table6[[#This Row],[Target Date]],"Delay",Table6[[#This Row],[Finish Date]]&lt;=Table6[[#This Row],[Target Date]],"On Time")</f>
        <v>On Time</v>
      </c>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row>
    <row r="364" spans="1:41" ht="21" hidden="1" customHeight="1">
      <c r="A364" s="27">
        <f>WEEKNUM(Table6[[#This Row],[Start Date]])</f>
        <v>14</v>
      </c>
      <c r="B364" s="27" t="str">
        <f>TEXT(Table6[[#This Row],[Start Date]],"mmm")</f>
        <v>Apr</v>
      </c>
      <c r="C364" s="27" t="str">
        <f>_xlfn.IFNA(INDEX(Refer!$B$5:$B$103,MATCH(Table6[[#This Row],[TASK]],Refer!$C$5:$C$103,0)),"")</f>
        <v>NPI</v>
      </c>
      <c r="D364" s="93" t="s">
        <v>61</v>
      </c>
      <c r="E364" s="79" t="s">
        <v>431</v>
      </c>
      <c r="F364" s="82" t="s">
        <v>366</v>
      </c>
      <c r="G364" s="27" t="s">
        <v>169</v>
      </c>
      <c r="H364" s="41">
        <v>46113</v>
      </c>
      <c r="I364" s="41">
        <v>46114</v>
      </c>
      <c r="J364" s="41">
        <v>46114</v>
      </c>
      <c r="K364" s="27" t="str">
        <f>IF(Table6[[#This Row],[Finish Date]]=0,"On process","Close")</f>
        <v>Close</v>
      </c>
      <c r="L364" s="27" t="str">
        <f>IF(Table6[[#This Row],[Status]]="On process",IF($H$2&gt;Table6[[#This Row],[Target Date]],"Overdue","On time"),"Closed")</f>
        <v>Closed</v>
      </c>
      <c r="M364" s="27" t="str" cm="1">
        <f t="array" ref="M364">_xlfn.IFS(Table6[[#This Row],[Finish Date]]=0,"",Table6[[#This Row],[Finish Date]]&gt;Table6[[#This Row],[Target Date]],"Delay",Table6[[#This Row],[Finish Date]]&lt;=Table6[[#This Row],[Target Date]],"On Time")</f>
        <v>On Time</v>
      </c>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row>
    <row r="365" spans="1:41" ht="10.5" hidden="1" customHeight="1">
      <c r="A365" s="27">
        <f>WEEKNUM(Table6[[#This Row],[Start Date]])</f>
        <v>14</v>
      </c>
      <c r="B365" s="27" t="str">
        <f>TEXT(Table6[[#This Row],[Start Date]],"mmm")</f>
        <v>Apr</v>
      </c>
      <c r="C365" s="27" t="str">
        <f>_xlfn.IFNA(INDEX(Refer!$B$5:$B$103,MATCH(Table6[[#This Row],[TASK]],Refer!$C$5:$C$103,0)),"")</f>
        <v>RFQ</v>
      </c>
      <c r="D365" s="93" t="s">
        <v>21</v>
      </c>
      <c r="E365" s="79" t="s">
        <v>432</v>
      </c>
      <c r="F365" s="82" t="s">
        <v>433</v>
      </c>
      <c r="G365" s="27" t="s">
        <v>182</v>
      </c>
      <c r="H365" s="41">
        <v>46115</v>
      </c>
      <c r="I365" s="41">
        <v>46115</v>
      </c>
      <c r="J365" s="41">
        <v>46115</v>
      </c>
      <c r="K365" s="27" t="str">
        <f>IF(Table6[[#This Row],[Finish Date]]=0,"On process","Close")</f>
        <v>Close</v>
      </c>
      <c r="L365" s="27" t="str">
        <f>IF(Table6[[#This Row],[Status]]="On process",IF($H$2&gt;Table6[[#This Row],[Target Date]],"Overdue","On time"),"Closed")</f>
        <v>Closed</v>
      </c>
      <c r="M365" s="27" t="str" cm="1">
        <f t="array" ref="M365">_xlfn.IFS(Table6[[#This Row],[Finish Date]]=0,"",Table6[[#This Row],[Finish Date]]&gt;Table6[[#This Row],[Target Date]],"Delay",Table6[[#This Row],[Finish Date]]&lt;=Table6[[#This Row],[Target Date]],"On Time")</f>
        <v>On Time</v>
      </c>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row>
    <row r="366" spans="1:41" ht="21" hidden="1" customHeight="1">
      <c r="A366" s="27">
        <f>WEEKNUM(Table6[[#This Row],[Start Date]])</f>
        <v>17</v>
      </c>
      <c r="B366" s="27" t="str">
        <f>TEXT(Table6[[#This Row],[Start Date]],"mmm")</f>
        <v>Apr</v>
      </c>
      <c r="C366" s="27" t="str">
        <f>_xlfn.IFNA(INDEX(Refer!$B$5:$B$103,MATCH(Table6[[#This Row],[TASK]],Refer!$C$5:$C$103,0)),"")</f>
        <v>PACKING</v>
      </c>
      <c r="D366" s="93" t="s">
        <v>112</v>
      </c>
      <c r="E366" s="79" t="s">
        <v>434</v>
      </c>
      <c r="F366" s="82" t="s">
        <v>95</v>
      </c>
      <c r="G366" s="27" t="s">
        <v>182</v>
      </c>
      <c r="H366" s="41">
        <v>46132</v>
      </c>
      <c r="I366" s="41">
        <v>46133</v>
      </c>
      <c r="J366" s="41">
        <v>46132</v>
      </c>
      <c r="K366" s="27" t="str">
        <f>IF(Table6[[#This Row],[Finish Date]]=0,"On process","Close")</f>
        <v>Close</v>
      </c>
      <c r="L366" s="27" t="str">
        <f>IF(Table6[[#This Row],[Status]]="On process",IF($H$2&gt;Table6[[#This Row],[Target Date]],"Overdue","On time"),"Closed")</f>
        <v>Closed</v>
      </c>
      <c r="M366" s="27" t="str" cm="1">
        <f t="array" ref="M366">_xlfn.IFS(Table6[[#This Row],[Finish Date]]=0,"",Table6[[#This Row],[Finish Date]]&gt;Table6[[#This Row],[Target Date]],"Delay",Table6[[#This Row],[Finish Date]]&lt;=Table6[[#This Row],[Target Date]],"On Time")</f>
        <v>On Time</v>
      </c>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row>
    <row r="367" spans="1:41" ht="21" hidden="1" customHeight="1">
      <c r="A367" s="84">
        <f>WEEKNUM(Table6[[#This Row],[Start Date]])</f>
        <v>15</v>
      </c>
      <c r="B367" s="84" t="str">
        <f>TEXT(Table6[[#This Row],[Start Date]],"mmm")</f>
        <v>Apr</v>
      </c>
      <c r="C367" s="84" t="str">
        <f>_xlfn.IFNA(INDEX(Refer!$B$5:$B$103,MATCH(Table6[[#This Row],[TASK]],Refer!$C$5:$C$103,0)),"")</f>
        <v>MEETING</v>
      </c>
      <c r="D367" s="92" t="s">
        <v>72</v>
      </c>
      <c r="E367" s="85" t="s">
        <v>303</v>
      </c>
      <c r="F367" s="86" t="s">
        <v>66</v>
      </c>
      <c r="G367" s="84" t="s">
        <v>182</v>
      </c>
      <c r="H367" s="87">
        <v>46120</v>
      </c>
      <c r="I367" s="87">
        <v>46120</v>
      </c>
      <c r="J367" s="87">
        <v>46120</v>
      </c>
      <c r="K367" s="84" t="str">
        <f>IF(Table6[[#This Row],[Finish Date]]=0,"On process","Close")</f>
        <v>Close</v>
      </c>
      <c r="L367" s="84" t="str">
        <f>IF(Table6[[#This Row],[Status]]="On process",IF($H$2&gt;Table6[[#This Row],[Target Date]],"Overdue","On time"),"Closed")</f>
        <v>Closed</v>
      </c>
      <c r="M367" s="84" t="str" cm="1">
        <f t="array" ref="M367">_xlfn.IFS(Table6[[#This Row],[Finish Date]]=0,"",Table6[[#This Row],[Finish Date]]&gt;Table6[[#This Row],[Target Date]],"Delay",Table6[[#This Row],[Finish Date]]&lt;=Table6[[#This Row],[Target Date]],"On Time")</f>
        <v>On Time</v>
      </c>
      <c r="N367" s="88"/>
      <c r="O367" s="88"/>
      <c r="P367" s="88"/>
      <c r="Q367" s="88"/>
      <c r="R367" s="88"/>
      <c r="S367" s="88"/>
      <c r="T367" s="88"/>
      <c r="U367" s="88"/>
      <c r="V367" s="88"/>
      <c r="W367" s="88"/>
      <c r="X367" s="88"/>
      <c r="Y367" s="88"/>
      <c r="Z367" s="88"/>
      <c r="AA367" s="88"/>
      <c r="AB367" s="88"/>
      <c r="AC367" s="88"/>
      <c r="AD367" s="88"/>
      <c r="AE367" s="88"/>
      <c r="AF367" s="88"/>
      <c r="AG367" s="88"/>
      <c r="AH367" s="88"/>
      <c r="AI367" s="88"/>
      <c r="AJ367" s="88"/>
      <c r="AK367" s="88"/>
      <c r="AL367" s="88"/>
      <c r="AM367" s="88"/>
      <c r="AN367" s="88"/>
      <c r="AO367" s="88"/>
    </row>
    <row r="368" spans="1:41" ht="21" hidden="1" customHeight="1">
      <c r="A368" s="27">
        <f>WEEKNUM(Table6[[#This Row],[Start Date]])</f>
        <v>15</v>
      </c>
      <c r="B368" s="27" t="str">
        <f>TEXT(Table6[[#This Row],[Start Date]],"mmm")</f>
        <v>Apr</v>
      </c>
      <c r="C368" s="27" t="str">
        <f>_xlfn.IFNA(INDEX(Refer!$B$5:$B$103,MATCH(Table6[[#This Row],[TASK]],Refer!$C$5:$C$103,0)),"")</f>
        <v>MEETING</v>
      </c>
      <c r="D368" s="92" t="s">
        <v>72</v>
      </c>
      <c r="E368" s="79" t="s">
        <v>353</v>
      </c>
      <c r="F368" s="82" t="s">
        <v>63</v>
      </c>
      <c r="G368" s="27" t="s">
        <v>182</v>
      </c>
      <c r="H368" s="41">
        <v>46121</v>
      </c>
      <c r="I368" s="41">
        <v>46121</v>
      </c>
      <c r="J368" s="41">
        <v>46121</v>
      </c>
      <c r="K368" s="27" t="str">
        <f>IF(Table6[[#This Row],[Finish Date]]=0,"On process","Close")</f>
        <v>Close</v>
      </c>
      <c r="L368" s="27" t="str">
        <f>IF(Table6[[#This Row],[Status]]="On process",IF($H$2&gt;Table6[[#This Row],[Target Date]],"Overdue","On time"),"Closed")</f>
        <v>Closed</v>
      </c>
      <c r="M368" s="27" t="str" cm="1">
        <f t="array" ref="M368">_xlfn.IFS(Table6[[#This Row],[Finish Date]]=0,"",Table6[[#This Row],[Finish Date]]&gt;Table6[[#This Row],[Target Date]],"Delay",Table6[[#This Row],[Finish Date]]&lt;=Table6[[#This Row],[Target Date]],"On Time")</f>
        <v>On Time</v>
      </c>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row>
    <row r="369" spans="1:41" ht="21" hidden="1" customHeight="1">
      <c r="A369" s="27">
        <f>WEEKNUM(Table6[[#This Row],[Start Date]])</f>
        <v>15</v>
      </c>
      <c r="B369" s="27" t="str">
        <f>TEXT(Table6[[#This Row],[Start Date]],"mmm")</f>
        <v>Apr</v>
      </c>
      <c r="C369" s="27" t="str">
        <f>_xlfn.IFNA(INDEX(Refer!$B$5:$B$103,MATCH(Table6[[#This Row],[TASK]],Refer!$C$5:$C$103,0)),"")</f>
        <v>NPI</v>
      </c>
      <c r="D369" s="93" t="s">
        <v>61</v>
      </c>
      <c r="E369" s="79" t="s">
        <v>435</v>
      </c>
      <c r="F369" s="82" t="s">
        <v>366</v>
      </c>
      <c r="G369" s="27" t="s">
        <v>436</v>
      </c>
      <c r="H369" s="41">
        <v>46121</v>
      </c>
      <c r="I369" s="41">
        <v>46122</v>
      </c>
      <c r="J369" s="41">
        <v>46122</v>
      </c>
      <c r="K369" s="27" t="str">
        <f>IF(Table6[[#This Row],[Finish Date]]=0,"On process","Close")</f>
        <v>Close</v>
      </c>
      <c r="L369" s="27" t="str">
        <f>IF(Table6[[#This Row],[Status]]="On process",IF($H$2&gt;Table6[[#This Row],[Target Date]],"Overdue","On time"),"Closed")</f>
        <v>Closed</v>
      </c>
      <c r="M369" s="27" t="str" cm="1">
        <f t="array" ref="M369">_xlfn.IFS(Table6[[#This Row],[Finish Date]]=0,"",Table6[[#This Row],[Finish Date]]&gt;Table6[[#This Row],[Target Date]],"Delay",Table6[[#This Row],[Finish Date]]&lt;=Table6[[#This Row],[Target Date]],"On Time")</f>
        <v>On Time</v>
      </c>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row>
    <row r="370" spans="1:41" ht="21" hidden="1" customHeight="1">
      <c r="A370" s="27">
        <f>WEEKNUM(Table6[[#This Row],[Start Date]])</f>
        <v>17</v>
      </c>
      <c r="B370" s="27" t="str">
        <f>TEXT(Table6[[#This Row],[Start Date]],"mmm")</f>
        <v>Apr</v>
      </c>
      <c r="C370" s="27" t="str">
        <f>_xlfn.IFNA(INDEX(Refer!$B$5:$B$103,MATCH(Table6[[#This Row],[TASK]],Refer!$C$5:$C$103,0)),"")</f>
        <v>NPI</v>
      </c>
      <c r="D370" s="93" t="s">
        <v>61</v>
      </c>
      <c r="E370" s="79" t="s">
        <v>435</v>
      </c>
      <c r="F370" s="82" t="s">
        <v>366</v>
      </c>
      <c r="G370" s="27" t="s">
        <v>436</v>
      </c>
      <c r="H370" s="41">
        <v>46132</v>
      </c>
      <c r="I370" s="41">
        <v>46132</v>
      </c>
      <c r="J370" s="41">
        <v>46132</v>
      </c>
      <c r="K370" s="27" t="str">
        <f>IF(Table6[[#This Row],[Finish Date]]=0,"On process","Close")</f>
        <v>Close</v>
      </c>
      <c r="L370" s="27" t="str">
        <f>IF(Table6[[#This Row],[Status]]="On process",IF($H$2&gt;Table6[[#This Row],[Target Date]],"Overdue","On time"),"Closed")</f>
        <v>Closed</v>
      </c>
      <c r="M370" s="27" t="str" cm="1">
        <f t="array" ref="M370">_xlfn.IFS(Table6[[#This Row],[Finish Date]]=0,"",Table6[[#This Row],[Finish Date]]&gt;Table6[[#This Row],[Target Date]],"Delay",Table6[[#This Row],[Finish Date]]&lt;=Table6[[#This Row],[Target Date]],"On Time")</f>
        <v>On Time</v>
      </c>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row>
    <row r="371" spans="1:41" ht="21" hidden="1" customHeight="1">
      <c r="A371" s="27">
        <f>WEEKNUM(Table6[[#This Row],[Start Date]])</f>
        <v>17</v>
      </c>
      <c r="B371" s="27" t="str">
        <f>TEXT(Table6[[#This Row],[Start Date]],"mmm")</f>
        <v>Apr</v>
      </c>
      <c r="C371" s="27" t="str">
        <f>_xlfn.IFNA(INDEX(Refer!$B$5:$B$103,MATCH(Table6[[#This Row],[TASK]],Refer!$C$5:$C$103,0)),"")</f>
        <v>PACKING</v>
      </c>
      <c r="D371" s="93" t="s">
        <v>120</v>
      </c>
      <c r="E371" s="79" t="s">
        <v>437</v>
      </c>
      <c r="F371" s="82" t="s">
        <v>366</v>
      </c>
      <c r="G371" s="27" t="s">
        <v>436</v>
      </c>
      <c r="H371" s="41">
        <v>46134</v>
      </c>
      <c r="I371" s="41">
        <v>46135</v>
      </c>
      <c r="J371" s="41">
        <v>46135</v>
      </c>
      <c r="K371" s="27" t="str">
        <f>IF(Table6[[#This Row],[Finish Date]]=0,"On process","Close")</f>
        <v>Close</v>
      </c>
      <c r="L371" s="27" t="str">
        <f>IF(Table6[[#This Row],[Status]]="On process",IF($H$2&gt;Table6[[#This Row],[Target Date]],"Overdue","On time"),"Closed")</f>
        <v>Closed</v>
      </c>
      <c r="M371" s="27" t="str" cm="1">
        <f t="array" ref="M371">_xlfn.IFS(Table6[[#This Row],[Finish Date]]=0,"",Table6[[#This Row],[Finish Date]]&gt;Table6[[#This Row],[Target Date]],"Delay",Table6[[#This Row],[Finish Date]]&lt;=Table6[[#This Row],[Target Date]],"On Time")</f>
        <v>On Time</v>
      </c>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row>
    <row r="372" spans="1:41" ht="21" hidden="1" customHeight="1">
      <c r="A372" s="27">
        <f>WEEKNUM(Table6[[#This Row],[Start Date]])</f>
        <v>17</v>
      </c>
      <c r="B372" s="27" t="str">
        <f>TEXT(Table6[[#This Row],[Start Date]],"mmm")</f>
        <v>Apr</v>
      </c>
      <c r="C372" s="27" t="str">
        <f>_xlfn.IFNA(INDEX(Refer!$B$5:$B$103,MATCH(Table6[[#This Row],[TASK]],Refer!$C$5:$C$103,0)),"")</f>
        <v>OTHER</v>
      </c>
      <c r="D372" s="93" t="s">
        <v>108</v>
      </c>
      <c r="E372" s="79" t="s">
        <v>438</v>
      </c>
      <c r="F372" s="82"/>
      <c r="G372" s="27" t="s">
        <v>64</v>
      </c>
      <c r="H372" s="41">
        <v>46132</v>
      </c>
      <c r="I372" s="41">
        <v>46134</v>
      </c>
      <c r="J372" s="41">
        <v>46134</v>
      </c>
      <c r="K372" s="27" t="str">
        <f>IF(Table6[[#This Row],[Finish Date]]=0,"On process","Close")</f>
        <v>Close</v>
      </c>
      <c r="L372" s="27" t="str">
        <f>IF(Table6[[#This Row],[Status]]="On process",IF($H$2&gt;Table6[[#This Row],[Target Date]],"Overdue","On time"),"Closed")</f>
        <v>Closed</v>
      </c>
      <c r="M372" s="27" t="str" cm="1">
        <f t="array" ref="M372">_xlfn.IFS(Table6[[#This Row],[Finish Date]]=0,"",Table6[[#This Row],[Finish Date]]&gt;Table6[[#This Row],[Target Date]],"Delay",Table6[[#This Row],[Finish Date]]&lt;=Table6[[#This Row],[Target Date]],"On Time")</f>
        <v>On Time</v>
      </c>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row>
    <row r="373" spans="1:41" ht="21" hidden="1" customHeight="1">
      <c r="A373" s="27">
        <f>WEEKNUM(Table6[[#This Row],[Start Date]])</f>
        <v>18</v>
      </c>
      <c r="B373" s="27" t="str">
        <f>TEXT(Table6[[#This Row],[Start Date]],"mmm")</f>
        <v>Apr</v>
      </c>
      <c r="C373" s="27" t="str">
        <f>_xlfn.IFNA(INDEX(Refer!$B$5:$B$103,MATCH(Table6[[#This Row],[TASK]],Refer!$C$5:$C$103,0)),"")</f>
        <v>RFQ</v>
      </c>
      <c r="D373" s="93" t="s">
        <v>123</v>
      </c>
      <c r="E373" s="79" t="s">
        <v>439</v>
      </c>
      <c r="F373" s="82" t="s">
        <v>198</v>
      </c>
      <c r="G373" s="27" t="s">
        <v>440</v>
      </c>
      <c r="H373" s="41">
        <v>46140</v>
      </c>
      <c r="I373" s="41">
        <v>46142</v>
      </c>
      <c r="J373" s="41">
        <v>46142</v>
      </c>
      <c r="K373" s="27" t="str">
        <f>IF(Table6[[#This Row],[Finish Date]]=0,"On process","Close")</f>
        <v>Close</v>
      </c>
      <c r="L373" s="27" t="str">
        <f>IF(Table6[[#This Row],[Status]]="On process",IF($H$2&gt;Table6[[#This Row],[Target Date]],"Overdue","On time"),"Closed")</f>
        <v>Closed</v>
      </c>
      <c r="M373" s="27" t="str" cm="1">
        <f t="array" ref="M373">_xlfn.IFS(Table6[[#This Row],[Finish Date]]=0,"",Table6[[#This Row],[Finish Date]]&gt;Table6[[#This Row],[Target Date]],"Delay",Table6[[#This Row],[Finish Date]]&lt;=Table6[[#This Row],[Target Date]],"On Time")</f>
        <v>On Time</v>
      </c>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row>
    <row r="374" spans="1:41" ht="21" hidden="1" customHeight="1">
      <c r="A374" s="27">
        <f>WEEKNUM(Table6[[#This Row],[Start Date]])</f>
        <v>18</v>
      </c>
      <c r="B374" s="27" t="str">
        <f>TEXT(Table6[[#This Row],[Start Date]],"mmm")</f>
        <v>Apr</v>
      </c>
      <c r="C374" s="27" t="str">
        <f>_xlfn.IFNA(INDEX(Refer!$B$5:$B$103,MATCH(Table6[[#This Row],[TASK]],Refer!$C$5:$C$103,0)),"")</f>
        <v>RFQ</v>
      </c>
      <c r="D374" s="93" t="s">
        <v>21</v>
      </c>
      <c r="E374" s="79" t="s">
        <v>441</v>
      </c>
      <c r="F374" s="82" t="s">
        <v>198</v>
      </c>
      <c r="G374" s="27" t="s">
        <v>182</v>
      </c>
      <c r="H374" s="41">
        <v>46140</v>
      </c>
      <c r="I374" s="41">
        <v>46141</v>
      </c>
      <c r="J374" s="41">
        <v>46141</v>
      </c>
      <c r="K374" s="27" t="str">
        <f>IF(Table6[[#This Row],[Finish Date]]=0,"On process","Close")</f>
        <v>Close</v>
      </c>
      <c r="L374" s="27" t="str">
        <f>IF(Table6[[#This Row],[Status]]="On process",IF($H$2&gt;Table6[[#This Row],[Target Date]],"Overdue","On time"),"Closed")</f>
        <v>Closed</v>
      </c>
      <c r="M374" s="27" t="str" cm="1">
        <f t="array" ref="M374">_xlfn.IFS(Table6[[#This Row],[Finish Date]]=0,"",Table6[[#This Row],[Finish Date]]&gt;Table6[[#This Row],[Target Date]],"Delay",Table6[[#This Row],[Finish Date]]&lt;=Table6[[#This Row],[Target Date]],"On Time")</f>
        <v>On Time</v>
      </c>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row>
    <row r="375" spans="1:41" ht="21" hidden="1" customHeight="1">
      <c r="A375" s="27">
        <f>WEEKNUM(Table6[[#This Row],[Start Date]])</f>
        <v>17</v>
      </c>
      <c r="B375" s="27" t="str">
        <f>TEXT(Table6[[#This Row],[Start Date]],"mmm")</f>
        <v>Apr</v>
      </c>
      <c r="C375" s="27" t="str">
        <f>_xlfn.IFNA(INDEX(Refer!$B$5:$B$103,MATCH(Table6[[#This Row],[TASK]],Refer!$C$5:$C$103,0)),"")</f>
        <v>RFQ</v>
      </c>
      <c r="D375" s="93" t="s">
        <v>123</v>
      </c>
      <c r="E375" s="79" t="s">
        <v>442</v>
      </c>
      <c r="F375" s="82" t="s">
        <v>198</v>
      </c>
      <c r="G375" s="27" t="s">
        <v>182</v>
      </c>
      <c r="H375" s="41">
        <v>46135</v>
      </c>
      <c r="I375" s="41">
        <v>46136</v>
      </c>
      <c r="J375" s="41">
        <v>46136</v>
      </c>
      <c r="K375" s="27" t="str">
        <f>IF(Table6[[#This Row],[Finish Date]]=0,"On process","Close")</f>
        <v>Close</v>
      </c>
      <c r="L375" s="27" t="str">
        <f>IF(Table6[[#This Row],[Status]]="On process",IF($H$2&gt;Table6[[#This Row],[Target Date]],"Overdue","On time"),"Closed")</f>
        <v>Closed</v>
      </c>
      <c r="M375" s="27" t="str" cm="1">
        <f t="array" ref="M375">_xlfn.IFS(Table6[[#This Row],[Finish Date]]=0,"",Table6[[#This Row],[Finish Date]]&gt;Table6[[#This Row],[Target Date]],"Delay",Table6[[#This Row],[Finish Date]]&lt;=Table6[[#This Row],[Target Date]],"On Time")</f>
        <v>On Time</v>
      </c>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row>
    <row r="376" spans="1:41" ht="21" hidden="1" customHeight="1">
      <c r="A376" s="27">
        <f>WEEKNUM(Table6[[#This Row],[Start Date]])</f>
        <v>17</v>
      </c>
      <c r="B376" s="27" t="str">
        <f>TEXT(Table6[[#This Row],[Start Date]],"mmm")</f>
        <v>Apr</v>
      </c>
      <c r="C376" s="27" t="str">
        <f>_xlfn.IFNA(INDEX(Refer!$B$5:$B$103,MATCH(Table6[[#This Row],[TASK]],Refer!$C$5:$C$103,0)),"")</f>
        <v>RFQ</v>
      </c>
      <c r="D376" s="93" t="s">
        <v>21</v>
      </c>
      <c r="E376" s="79" t="s">
        <v>443</v>
      </c>
      <c r="F376" s="82" t="s">
        <v>198</v>
      </c>
      <c r="G376" s="27" t="s">
        <v>182</v>
      </c>
      <c r="H376" s="41">
        <v>46135</v>
      </c>
      <c r="I376" s="41">
        <v>46136</v>
      </c>
      <c r="J376" s="41">
        <v>46116</v>
      </c>
      <c r="K376" s="27" t="str">
        <f>IF(Table6[[#This Row],[Finish Date]]=0,"On process","Close")</f>
        <v>Close</v>
      </c>
      <c r="L376" s="27" t="str">
        <f>IF(Table6[[#This Row],[Status]]="On process",IF($H$2&gt;Table6[[#This Row],[Target Date]],"Overdue","On time"),"Closed")</f>
        <v>Closed</v>
      </c>
      <c r="M376" s="27" t="str" cm="1">
        <f t="array" ref="M376">_xlfn.IFS(Table6[[#This Row],[Finish Date]]=0,"",Table6[[#This Row],[Finish Date]]&gt;Table6[[#This Row],[Target Date]],"Delay",Table6[[#This Row],[Finish Date]]&lt;=Table6[[#This Row],[Target Date]],"On Time")</f>
        <v>On Time</v>
      </c>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row>
    <row r="377" spans="1:41" ht="21" hidden="1" customHeight="1">
      <c r="A377" s="27">
        <f>WEEKNUM(Table6[[#This Row],[Start Date]])</f>
        <v>18</v>
      </c>
      <c r="B377" s="27" t="str">
        <f>TEXT(Table6[[#This Row],[Start Date]],"mmm")</f>
        <v>Apr</v>
      </c>
      <c r="C377" s="27" t="str">
        <f>_xlfn.IFNA(INDEX(Refer!$B$5:$B$103,MATCH(Table6[[#This Row],[TASK]],Refer!$C$5:$C$103,0)),"")</f>
        <v>RFQ</v>
      </c>
      <c r="D377" s="93" t="s">
        <v>123</v>
      </c>
      <c r="E377" s="79" t="s">
        <v>444</v>
      </c>
      <c r="F377" s="82" t="s">
        <v>445</v>
      </c>
      <c r="G377" s="27" t="s">
        <v>182</v>
      </c>
      <c r="H377" s="41">
        <v>46139</v>
      </c>
      <c r="I377" s="41">
        <v>46140</v>
      </c>
      <c r="J377" s="41">
        <v>46140</v>
      </c>
      <c r="K377" s="27" t="str">
        <f>IF(Table6[[#This Row],[Finish Date]]=0,"On process","Close")</f>
        <v>Close</v>
      </c>
      <c r="L377" s="27" t="str">
        <f>IF(Table6[[#This Row],[Status]]="On process",IF($H$2&gt;Table6[[#This Row],[Target Date]],"Overdue","On time"),"Closed")</f>
        <v>Closed</v>
      </c>
      <c r="M377" s="27" t="str" cm="1">
        <f t="array" ref="M377">_xlfn.IFS(Table6[[#This Row],[Finish Date]]=0,"",Table6[[#This Row],[Finish Date]]&gt;Table6[[#This Row],[Target Date]],"Delay",Table6[[#This Row],[Finish Date]]&lt;=Table6[[#This Row],[Target Date]],"On Time")</f>
        <v>On Time</v>
      </c>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row>
    <row r="378" spans="1:41" ht="21" hidden="1" customHeight="1">
      <c r="A378" s="27">
        <f>WEEKNUM(Table6[[#This Row],[Start Date]])</f>
        <v>18</v>
      </c>
      <c r="B378" s="27" t="str">
        <f>TEXT(Table6[[#This Row],[Start Date]],"mmm")</f>
        <v>Apr</v>
      </c>
      <c r="C378" s="27" t="str">
        <f>_xlfn.IFNA(INDEX(Refer!$B$5:$B$103,MATCH(Table6[[#This Row],[TASK]],Refer!$C$5:$C$103,0)),"")</f>
        <v>RFQ</v>
      </c>
      <c r="D378" s="93" t="s">
        <v>21</v>
      </c>
      <c r="E378" s="79" t="s">
        <v>446</v>
      </c>
      <c r="F378" s="82" t="s">
        <v>445</v>
      </c>
      <c r="G378" s="27" t="s">
        <v>182</v>
      </c>
      <c r="H378" s="41">
        <v>46139</v>
      </c>
      <c r="I378" s="41">
        <v>46140</v>
      </c>
      <c r="J378" s="41">
        <v>46139</v>
      </c>
      <c r="K378" s="27" t="str">
        <f>IF(Table6[[#This Row],[Finish Date]]=0,"On process","Close")</f>
        <v>Close</v>
      </c>
      <c r="L378" s="27" t="str">
        <f>IF(Table6[[#This Row],[Status]]="On process",IF($H$2&gt;Table6[[#This Row],[Target Date]],"Overdue","On time"),"Closed")</f>
        <v>Closed</v>
      </c>
      <c r="M378" s="27" t="str" cm="1">
        <f t="array" ref="M378">_xlfn.IFS(Table6[[#This Row],[Finish Date]]=0,"",Table6[[#This Row],[Finish Date]]&gt;Table6[[#This Row],[Target Date]],"Delay",Table6[[#This Row],[Finish Date]]&lt;=Table6[[#This Row],[Target Date]],"On Time")</f>
        <v>On Time</v>
      </c>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row>
    <row r="379" spans="1:41" ht="21" hidden="1" customHeight="1">
      <c r="A379" s="27">
        <f>WEEKNUM(Table6[[#This Row],[Start Date]])</f>
        <v>17</v>
      </c>
      <c r="B379" s="27" t="str">
        <f>TEXT(Table6[[#This Row],[Start Date]],"mmm")</f>
        <v>Apr</v>
      </c>
      <c r="C379" s="27" t="str">
        <f>_xlfn.IFNA(INDEX(Refer!$B$5:$B$103,MATCH(Table6[[#This Row],[TASK]],Refer!$C$5:$C$103,0)),"")</f>
        <v>Part DFM</v>
      </c>
      <c r="D379" s="93" t="s">
        <v>447</v>
      </c>
      <c r="E379" s="79" t="s">
        <v>448</v>
      </c>
      <c r="F379" s="82" t="s">
        <v>66</v>
      </c>
      <c r="G379" s="27" t="s">
        <v>182</v>
      </c>
      <c r="H379" s="41">
        <v>46135</v>
      </c>
      <c r="I379" s="41">
        <v>46136</v>
      </c>
      <c r="J379" s="41">
        <v>46136</v>
      </c>
      <c r="K379" s="27" t="str">
        <f>IF(Table6[[#This Row],[Finish Date]]=0,"On process","Close")</f>
        <v>Close</v>
      </c>
      <c r="L379" s="27" t="str">
        <f>IF(Table6[[#This Row],[Status]]="On process",IF($H$2&gt;Table6[[#This Row],[Target Date]],"Overdue","On time"),"Closed")</f>
        <v>Closed</v>
      </c>
      <c r="M379" s="27" t="str" cm="1">
        <f t="array" ref="M379">_xlfn.IFS(Table6[[#This Row],[Finish Date]]=0,"",Table6[[#This Row],[Finish Date]]&gt;Table6[[#This Row],[Target Date]],"Delay",Table6[[#This Row],[Finish Date]]&lt;=Table6[[#This Row],[Target Date]],"On Time")</f>
        <v>On Time</v>
      </c>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row>
    <row r="380" spans="1:41" ht="21" hidden="1" customHeight="1">
      <c r="A380" s="27">
        <f>WEEKNUM(Table6[[#This Row],[Start Date]])</f>
        <v>17</v>
      </c>
      <c r="B380" s="27" t="str">
        <f>TEXT(Table6[[#This Row],[Start Date]],"mmm")</f>
        <v>Apr</v>
      </c>
      <c r="C380" s="27" t="str">
        <f>_xlfn.IFNA(INDEX(Refer!$B$5:$B$103,MATCH(Table6[[#This Row],[TASK]],Refer!$C$5:$C$103,0)),"")</f>
        <v>NPI</v>
      </c>
      <c r="D380" s="93" t="s">
        <v>61</v>
      </c>
      <c r="E380" s="79" t="s">
        <v>449</v>
      </c>
      <c r="F380" s="82" t="s">
        <v>63</v>
      </c>
      <c r="G380" s="27" t="s">
        <v>182</v>
      </c>
      <c r="H380" s="41">
        <v>46134</v>
      </c>
      <c r="I380" s="41">
        <v>46135</v>
      </c>
      <c r="J380" s="41">
        <v>46135</v>
      </c>
      <c r="K380" s="27" t="str">
        <f>IF(Table6[[#This Row],[Finish Date]]=0,"On process","Close")</f>
        <v>Close</v>
      </c>
      <c r="L380" s="27" t="str">
        <f>IF(Table6[[#This Row],[Status]]="On process",IF($H$2&gt;Table6[[#This Row],[Target Date]],"Overdue","On time"),"Closed")</f>
        <v>Closed</v>
      </c>
      <c r="M380" s="27" t="str" cm="1">
        <f t="array" ref="M380">_xlfn.IFS(Table6[[#This Row],[Finish Date]]=0,"",Table6[[#This Row],[Finish Date]]&gt;Table6[[#This Row],[Target Date]],"Delay",Table6[[#This Row],[Finish Date]]&lt;=Table6[[#This Row],[Target Date]],"On Time")</f>
        <v>On Time</v>
      </c>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row>
    <row r="381" spans="1:41" ht="21" hidden="1" customHeight="1">
      <c r="A381" s="27">
        <f>WEEKNUM(Table6[[#This Row],[Start Date]])</f>
        <v>17</v>
      </c>
      <c r="B381" s="27" t="str">
        <f>TEXT(Table6[[#This Row],[Start Date]],"mmm")</f>
        <v>Apr</v>
      </c>
      <c r="C381" s="27" t="str">
        <f>_xlfn.IFNA(INDEX(Refer!$B$5:$B$103,MATCH(Table6[[#This Row],[TASK]],Refer!$C$5:$C$103,0)),"")</f>
        <v>PACKING</v>
      </c>
      <c r="D381" s="93" t="s">
        <v>120</v>
      </c>
      <c r="E381" s="79" t="s">
        <v>450</v>
      </c>
      <c r="F381" s="82" t="s">
        <v>63</v>
      </c>
      <c r="G381" s="27" t="s">
        <v>440</v>
      </c>
      <c r="H381" s="41">
        <v>46135</v>
      </c>
      <c r="I381" s="41">
        <v>46136</v>
      </c>
      <c r="J381" s="41">
        <v>46136</v>
      </c>
      <c r="K381" s="27" t="str">
        <f>IF(Table6[[#This Row],[Finish Date]]=0,"On process","Close")</f>
        <v>Close</v>
      </c>
      <c r="L381" s="27" t="str">
        <f>IF(Table6[[#This Row],[Status]]="On process",IF($H$2&gt;Table6[[#This Row],[Target Date]],"Overdue","On time"),"Closed")</f>
        <v>Closed</v>
      </c>
      <c r="M381" s="27" t="str" cm="1">
        <f t="array" ref="M381">_xlfn.IFS(Table6[[#This Row],[Finish Date]]=0,"",Table6[[#This Row],[Finish Date]]&gt;Table6[[#This Row],[Target Date]],"Delay",Table6[[#This Row],[Finish Date]]&lt;=Table6[[#This Row],[Target Date]],"On Time")</f>
        <v>On Time</v>
      </c>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row>
    <row r="382" spans="1:41" ht="21" hidden="1" customHeight="1">
      <c r="A382" s="27">
        <f>WEEKNUM(Table6[[#This Row],[Start Date]])</f>
        <v>17</v>
      </c>
      <c r="B382" s="27" t="str">
        <f>TEXT(Table6[[#This Row],[Start Date]],"mmm")</f>
        <v>Apr</v>
      </c>
      <c r="C382" s="27" t="str">
        <f>_xlfn.IFNA(INDEX(Refer!$B$5:$B$103,MATCH(Table6[[#This Row],[TASK]],Refer!$C$5:$C$103,0)),"")</f>
        <v>PACKING</v>
      </c>
      <c r="D382" s="93" t="s">
        <v>120</v>
      </c>
      <c r="E382" s="79" t="s">
        <v>450</v>
      </c>
      <c r="F382" s="82" t="s">
        <v>63</v>
      </c>
      <c r="G382" s="27" t="s">
        <v>64</v>
      </c>
      <c r="H382" s="41">
        <v>46135</v>
      </c>
      <c r="I382" s="41">
        <v>46136</v>
      </c>
      <c r="J382" s="41">
        <v>46136</v>
      </c>
      <c r="K382" s="27" t="str">
        <f>IF(Table6[[#This Row],[Finish Date]]=0,"On process","Close")</f>
        <v>Close</v>
      </c>
      <c r="L382" s="27" t="str">
        <f>IF(Table6[[#This Row],[Status]]="On process",IF($H$2&gt;Table6[[#This Row],[Target Date]],"Overdue","On time"),"Closed")</f>
        <v>Closed</v>
      </c>
      <c r="M382" s="27" t="str" cm="1">
        <f t="array" ref="M382">_xlfn.IFS(Table6[[#This Row],[Finish Date]]=0,"",Table6[[#This Row],[Finish Date]]&gt;Table6[[#This Row],[Target Date]],"Delay",Table6[[#This Row],[Finish Date]]&lt;=Table6[[#This Row],[Target Date]],"On Time")</f>
        <v>On Time</v>
      </c>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row>
    <row r="383" spans="1:41" ht="21" hidden="1" customHeight="1">
      <c r="A383" s="27">
        <f>WEEKNUM(Table6[[#This Row],[Start Date]])</f>
        <v>17</v>
      </c>
      <c r="B383" s="27" t="str">
        <f>TEXT(Table6[[#This Row],[Start Date]],"mmm")</f>
        <v>Apr</v>
      </c>
      <c r="C383" s="27" t="str">
        <f>_xlfn.IFNA(INDEX(Refer!$B$5:$B$103,MATCH(Table6[[#This Row],[TASK]],Refer!$C$5:$C$103,0)),"")</f>
        <v>MEETING</v>
      </c>
      <c r="D383" s="93" t="s">
        <v>72</v>
      </c>
      <c r="E383" s="79" t="s">
        <v>451</v>
      </c>
      <c r="F383" s="82" t="s">
        <v>206</v>
      </c>
      <c r="G383" s="27" t="s">
        <v>182</v>
      </c>
      <c r="H383" s="41">
        <v>46136</v>
      </c>
      <c r="I383" s="41">
        <v>46136</v>
      </c>
      <c r="J383" s="41">
        <v>46136</v>
      </c>
      <c r="K383" s="27" t="str">
        <f>IF(Table6[[#This Row],[Finish Date]]=0,"On process","Close")</f>
        <v>Close</v>
      </c>
      <c r="L383" s="27" t="str">
        <f>IF(Table6[[#This Row],[Status]]="On process",IF($H$2&gt;Table6[[#This Row],[Target Date]],"Overdue","On time"),"Closed")</f>
        <v>Closed</v>
      </c>
      <c r="M383" s="27" t="str" cm="1">
        <f t="array" ref="M383">_xlfn.IFS(Table6[[#This Row],[Finish Date]]=0,"",Table6[[#This Row],[Finish Date]]&gt;Table6[[#This Row],[Target Date]],"Delay",Table6[[#This Row],[Finish Date]]&lt;=Table6[[#This Row],[Target Date]],"On Time")</f>
        <v>On Time</v>
      </c>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row>
    <row r="384" spans="1:41" ht="21" hidden="1" customHeight="1">
      <c r="A384" s="27">
        <f>WEEKNUM(Table6[[#This Row],[Start Date]])</f>
        <v>19</v>
      </c>
      <c r="B384" s="27" t="str">
        <f>TEXT(Table6[[#This Row],[Start Date]],"mmm")</f>
        <v>May</v>
      </c>
      <c r="C384" s="27" t="str">
        <f>_xlfn.IFNA(INDEX(Refer!$B$5:$B$103,MATCH(Table6[[#This Row],[TASK]],Refer!$C$5:$C$103,0)),"")</f>
        <v>PACKING</v>
      </c>
      <c r="D384" s="93" t="s">
        <v>112</v>
      </c>
      <c r="E384" s="79" t="s">
        <v>452</v>
      </c>
      <c r="F384" s="82" t="s">
        <v>114</v>
      </c>
      <c r="G384" s="27" t="s">
        <v>440</v>
      </c>
      <c r="H384" s="41">
        <v>46147</v>
      </c>
      <c r="I384" s="41">
        <v>46149</v>
      </c>
      <c r="J384" s="41">
        <v>46149</v>
      </c>
      <c r="K384" s="27" t="str">
        <f>IF(Table6[[#This Row],[Finish Date]]=0,"On process","Close")</f>
        <v>Close</v>
      </c>
      <c r="L384" s="27" t="str">
        <f>IF(Table6[[#This Row],[Status]]="On process",IF($H$2&gt;Table6[[#This Row],[Target Date]],"Overdue","On time"),"Closed")</f>
        <v>Closed</v>
      </c>
      <c r="M384" s="27" t="str" cm="1">
        <f t="array" ref="M384">_xlfn.IFS(Table6[[#This Row],[Finish Date]]=0,"",Table6[[#This Row],[Finish Date]]&gt;Table6[[#This Row],[Target Date]],"Delay",Table6[[#This Row],[Finish Date]]&lt;=Table6[[#This Row],[Target Date]],"On Time")</f>
        <v>On Time</v>
      </c>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row>
    <row r="385" spans="1:41" ht="21" hidden="1" customHeight="1">
      <c r="A385" s="27">
        <f>WEEKNUM(Table6[[#This Row],[Start Date]])</f>
        <v>19</v>
      </c>
      <c r="B385" s="27" t="str">
        <f>TEXT(Table6[[#This Row],[Start Date]],"mmm")</f>
        <v>May</v>
      </c>
      <c r="C385" s="27" t="str">
        <f>_xlfn.IFNA(INDEX(Refer!$B$5:$B$103,MATCH(Table6[[#This Row],[TASK]],Refer!$C$5:$C$103,0)),"")</f>
        <v>PACKING</v>
      </c>
      <c r="D385" s="93" t="s">
        <v>112</v>
      </c>
      <c r="E385" s="79" t="s">
        <v>453</v>
      </c>
      <c r="F385" s="82" t="s">
        <v>114</v>
      </c>
      <c r="G385" s="27" t="s">
        <v>440</v>
      </c>
      <c r="H385" s="41">
        <v>46147</v>
      </c>
      <c r="I385" s="41">
        <v>46149</v>
      </c>
      <c r="J385" s="41">
        <v>46149</v>
      </c>
      <c r="K385" s="27" t="str">
        <f>IF(Table6[[#This Row],[Finish Date]]=0,"On process","Close")</f>
        <v>Close</v>
      </c>
      <c r="L385" s="27" t="str">
        <f>IF(Table6[[#This Row],[Status]]="On process",IF($H$2&gt;Table6[[#This Row],[Target Date]],"Overdue","On time"),"Closed")</f>
        <v>Closed</v>
      </c>
      <c r="M385" s="27" t="str" cm="1">
        <f t="array" ref="M385">_xlfn.IFS(Table6[[#This Row],[Finish Date]]=0,"",Table6[[#This Row],[Finish Date]]&gt;Table6[[#This Row],[Target Date]],"Delay",Table6[[#This Row],[Finish Date]]&lt;=Table6[[#This Row],[Target Date]],"On Time")</f>
        <v>On Time</v>
      </c>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row>
    <row r="386" spans="1:41" ht="35.25" hidden="1" customHeight="1">
      <c r="A386" s="27">
        <f>WEEKNUM(Table6[[#This Row],[Start Date]])</f>
        <v>20</v>
      </c>
      <c r="B386" s="27" t="str">
        <f>TEXT(Table6[[#This Row],[Start Date]],"mmm")</f>
        <v>May</v>
      </c>
      <c r="C386" s="27" t="str">
        <f>_xlfn.IFNA(INDEX(Refer!$B$5:$B$103,MATCH(Table6[[#This Row],[TASK]],Refer!$C$5:$C$103,0)),"")</f>
        <v>PACKING</v>
      </c>
      <c r="D386" s="93" t="s">
        <v>112</v>
      </c>
      <c r="E386" s="79" t="s">
        <v>454</v>
      </c>
      <c r="F386" s="82" t="s">
        <v>114</v>
      </c>
      <c r="G386" s="27" t="s">
        <v>440</v>
      </c>
      <c r="H386" s="41">
        <v>46157</v>
      </c>
      <c r="I386" s="41">
        <v>46161</v>
      </c>
      <c r="J386" s="41">
        <v>46160</v>
      </c>
      <c r="K386" s="27" t="str">
        <f>IF(Table6[[#This Row],[Finish Date]]=0,"On process","Close")</f>
        <v>Close</v>
      </c>
      <c r="L386" s="27" t="str">
        <f>IF(Table6[[#This Row],[Status]]="On process",IF($H$2&gt;Table6[[#This Row],[Target Date]],"Overdue","On time"),"Closed")</f>
        <v>Closed</v>
      </c>
      <c r="M386" s="27" t="str" cm="1">
        <f t="array" ref="M386">_xlfn.IFS(Table6[[#This Row],[Finish Date]]=0,"",Table6[[#This Row],[Finish Date]]&gt;Table6[[#This Row],[Target Date]],"Delay",Table6[[#This Row],[Finish Date]]&lt;=Table6[[#This Row],[Target Date]],"On Time")</f>
        <v>On Time</v>
      </c>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row>
    <row r="387" spans="1:41" ht="21" hidden="1" customHeight="1">
      <c r="A387" s="27">
        <f>WEEKNUM(Table6[[#This Row],[Start Date]])</f>
        <v>17</v>
      </c>
      <c r="B387" s="27" t="str">
        <f>TEXT(Table6[[#This Row],[Start Date]],"mmm")</f>
        <v>Apr</v>
      </c>
      <c r="C387" s="27" t="str">
        <f>_xlfn.IFNA(INDEX(Refer!$B$5:$B$103,MATCH(Table6[[#This Row],[TASK]],Refer!$C$5:$C$103,0)),"")</f>
        <v>NPI</v>
      </c>
      <c r="D387" s="93" t="s">
        <v>61</v>
      </c>
      <c r="E387" s="79" t="s">
        <v>455</v>
      </c>
      <c r="F387" s="82" t="s">
        <v>63</v>
      </c>
      <c r="G387" s="27" t="s">
        <v>64</v>
      </c>
      <c r="H387" s="41">
        <v>46136</v>
      </c>
      <c r="I387" s="41">
        <v>46136</v>
      </c>
      <c r="J387" s="41">
        <v>46136</v>
      </c>
      <c r="K387" s="27" t="str">
        <f>IF(Table6[[#This Row],[Finish Date]]=0,"On process","Close")</f>
        <v>Close</v>
      </c>
      <c r="L387" s="27" t="str">
        <f>IF(Table6[[#This Row],[Status]]="On process",IF($H$2&gt;Table6[[#This Row],[Target Date]],"Overdue","On time"),"Closed")</f>
        <v>Closed</v>
      </c>
      <c r="M387" s="27" t="str" cm="1">
        <f t="array" ref="M387">_xlfn.IFS(Table6[[#This Row],[Finish Date]]=0,"",Table6[[#This Row],[Finish Date]]&gt;Table6[[#This Row],[Target Date]],"Delay",Table6[[#This Row],[Finish Date]]&lt;=Table6[[#This Row],[Target Date]],"On Time")</f>
        <v>On Time</v>
      </c>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row>
    <row r="388" spans="1:41" ht="21" hidden="1" customHeight="1">
      <c r="A388" s="27">
        <f>WEEKNUM(Table6[[#This Row],[Start Date]])</f>
        <v>17</v>
      </c>
      <c r="B388" s="27" t="str">
        <f>TEXT(Table6[[#This Row],[Start Date]],"mmm")</f>
        <v>Apr</v>
      </c>
      <c r="C388" s="27" t="str">
        <f>_xlfn.IFNA(INDEX(Refer!$B$5:$B$103,MATCH(Table6[[#This Row],[TASK]],Refer!$C$5:$C$103,0)),"")</f>
        <v>PACKING</v>
      </c>
      <c r="D388" s="93" t="s">
        <v>120</v>
      </c>
      <c r="E388" s="79" t="s">
        <v>456</v>
      </c>
      <c r="F388" s="82" t="s">
        <v>95</v>
      </c>
      <c r="G388" s="27" t="s">
        <v>64</v>
      </c>
      <c r="H388" s="41">
        <v>46136</v>
      </c>
      <c r="I388" s="41">
        <v>46136</v>
      </c>
      <c r="J388" s="41">
        <v>46135</v>
      </c>
      <c r="K388" s="27" t="str">
        <f>IF(Table6[[#This Row],[Finish Date]]=0,"On process","Close")</f>
        <v>Close</v>
      </c>
      <c r="L388" s="27" t="str">
        <f>IF(Table6[[#This Row],[Status]]="On process",IF($H$2&gt;Table6[[#This Row],[Target Date]],"Overdue","On time"),"Closed")</f>
        <v>Closed</v>
      </c>
      <c r="M388" s="27" t="str" cm="1">
        <f t="array" ref="M388">_xlfn.IFS(Table6[[#This Row],[Finish Date]]=0,"",Table6[[#This Row],[Finish Date]]&gt;Table6[[#This Row],[Target Date]],"Delay",Table6[[#This Row],[Finish Date]]&lt;=Table6[[#This Row],[Target Date]],"On Time")</f>
        <v>On Time</v>
      </c>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row>
    <row r="389" spans="1:41" ht="21" hidden="1" customHeight="1">
      <c r="A389" s="27">
        <f>WEEKNUM(Table6[[#This Row],[Start Date]])</f>
        <v>17</v>
      </c>
      <c r="B389" s="27" t="str">
        <f>TEXT(Table6[[#This Row],[Start Date]],"mmm")</f>
        <v>Apr</v>
      </c>
      <c r="C389" s="27" t="str">
        <f>_xlfn.IFNA(INDEX(Refer!$B$5:$B$103,MATCH(Table6[[#This Row],[TASK]],Refer!$C$5:$C$103,0)),"")</f>
        <v>PACKING</v>
      </c>
      <c r="D389" s="93" t="s">
        <v>120</v>
      </c>
      <c r="E389" s="79" t="s">
        <v>457</v>
      </c>
      <c r="F389" s="82" t="s">
        <v>95</v>
      </c>
      <c r="G389" s="27" t="s">
        <v>64</v>
      </c>
      <c r="H389" s="41">
        <v>46135</v>
      </c>
      <c r="I389" s="41">
        <v>46135</v>
      </c>
      <c r="J389" s="41">
        <v>46135</v>
      </c>
      <c r="K389" s="27" t="str">
        <f>IF(Table6[[#This Row],[Finish Date]]=0,"On process","Close")</f>
        <v>Close</v>
      </c>
      <c r="L389" s="27" t="str">
        <f>IF(Table6[[#This Row],[Status]]="On process",IF($H$2&gt;Table6[[#This Row],[Target Date]],"Overdue","On time"),"Closed")</f>
        <v>Closed</v>
      </c>
      <c r="M389" s="27" t="str" cm="1">
        <f t="array" ref="M389">_xlfn.IFS(Table6[[#This Row],[Finish Date]]=0,"",Table6[[#This Row],[Finish Date]]&gt;Table6[[#This Row],[Target Date]],"Delay",Table6[[#This Row],[Finish Date]]&lt;=Table6[[#This Row],[Target Date]],"On Time")</f>
        <v>On Time</v>
      </c>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row>
    <row r="390" spans="1:41" ht="21" hidden="1" customHeight="1">
      <c r="A390" s="27">
        <f>WEEKNUM(Table6[[#This Row],[Start Date]])</f>
        <v>17</v>
      </c>
      <c r="B390" s="27" t="str">
        <f>TEXT(Table6[[#This Row],[Start Date]],"mmm")</f>
        <v>Apr</v>
      </c>
      <c r="C390" s="27" t="str">
        <f>_xlfn.IFNA(INDEX(Refer!$B$5:$B$103,MATCH(Table6[[#This Row],[TASK]],Refer!$C$5:$C$103,0)),"")</f>
        <v>PACKING</v>
      </c>
      <c r="D390" s="93" t="s">
        <v>120</v>
      </c>
      <c r="E390" s="79" t="s">
        <v>458</v>
      </c>
      <c r="F390" s="82" t="s">
        <v>95</v>
      </c>
      <c r="G390" s="27" t="s">
        <v>64</v>
      </c>
      <c r="H390" s="41">
        <v>46135</v>
      </c>
      <c r="I390" s="41">
        <v>46135</v>
      </c>
      <c r="J390" s="41">
        <v>46135</v>
      </c>
      <c r="K390" s="27" t="str">
        <f>IF(Table6[[#This Row],[Finish Date]]=0,"On process","Close")</f>
        <v>Close</v>
      </c>
      <c r="L390" s="27" t="str">
        <f>IF(Table6[[#This Row],[Status]]="On process",IF($H$2&gt;Table6[[#This Row],[Target Date]],"Overdue","On time"),"Closed")</f>
        <v>Closed</v>
      </c>
      <c r="M390" s="27" t="str" cm="1">
        <f t="array" ref="M390">_xlfn.IFS(Table6[[#This Row],[Finish Date]]=0,"",Table6[[#This Row],[Finish Date]]&gt;Table6[[#This Row],[Target Date]],"Delay",Table6[[#This Row],[Finish Date]]&lt;=Table6[[#This Row],[Target Date]],"On Time")</f>
        <v>On Time</v>
      </c>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row>
    <row r="391" spans="1:41" ht="21" hidden="1" customHeight="1">
      <c r="A391" s="27">
        <f>WEEKNUM(Table6[[#This Row],[Start Date]])</f>
        <v>18</v>
      </c>
      <c r="B391" s="27" t="str">
        <f>TEXT(Table6[[#This Row],[Start Date]],"mmm")</f>
        <v>Apr</v>
      </c>
      <c r="C391" s="27" t="str">
        <f>_xlfn.IFNA(INDEX(Refer!$B$5:$B$103,MATCH(Table6[[#This Row],[TASK]],Refer!$C$5:$C$103,0)),"")</f>
        <v>NPI</v>
      </c>
      <c r="D391" s="93" t="s">
        <v>61</v>
      </c>
      <c r="E391" s="79" t="s">
        <v>459</v>
      </c>
      <c r="F391" s="82" t="s">
        <v>63</v>
      </c>
      <c r="G391" s="27" t="s">
        <v>64</v>
      </c>
      <c r="H391" s="41">
        <v>46139</v>
      </c>
      <c r="I391" s="41">
        <v>46139</v>
      </c>
      <c r="J391" s="41">
        <v>46139</v>
      </c>
      <c r="K391" s="27" t="str">
        <f>IF(Table6[[#This Row],[Finish Date]]=0,"On process","Close")</f>
        <v>Close</v>
      </c>
      <c r="L391" s="27" t="str">
        <f>IF(Table6[[#This Row],[Status]]="On process",IF($H$2&gt;Table6[[#This Row],[Target Date]],"Overdue","On time"),"Closed")</f>
        <v>Closed</v>
      </c>
      <c r="M391" s="27" t="str" cm="1">
        <f t="array" ref="M391">_xlfn.IFS(Table6[[#This Row],[Finish Date]]=0,"",Table6[[#This Row],[Finish Date]]&gt;Table6[[#This Row],[Target Date]],"Delay",Table6[[#This Row],[Finish Date]]&lt;=Table6[[#This Row],[Target Date]],"On Time")</f>
        <v>On Time</v>
      </c>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row>
    <row r="392" spans="1:41" ht="21" hidden="1" customHeight="1">
      <c r="A392" s="27">
        <f>WEEKNUM(Table6[[#This Row],[Start Date]])</f>
        <v>18</v>
      </c>
      <c r="B392" s="27" t="str">
        <f>TEXT(Table6[[#This Row],[Start Date]],"mmm")</f>
        <v>Apr</v>
      </c>
      <c r="C392" s="27" t="str">
        <f>_xlfn.IFNA(INDEX(Refer!$B$5:$B$103,MATCH(Table6[[#This Row],[TASK]],Refer!$C$5:$C$103,0)),"")</f>
        <v>PACKING</v>
      </c>
      <c r="D392" s="93" t="s">
        <v>120</v>
      </c>
      <c r="E392" s="79" t="s">
        <v>460</v>
      </c>
      <c r="F392" s="82" t="s">
        <v>407</v>
      </c>
      <c r="G392" s="27" t="s">
        <v>64</v>
      </c>
      <c r="H392" s="41">
        <v>46139</v>
      </c>
      <c r="I392" s="41">
        <v>46139</v>
      </c>
      <c r="J392" s="41">
        <v>46139</v>
      </c>
      <c r="K392" s="27" t="str">
        <f>IF(Table6[[#This Row],[Finish Date]]=0,"On process","Close")</f>
        <v>Close</v>
      </c>
      <c r="L392" s="27" t="str">
        <f>IF(Table6[[#This Row],[Status]]="On process",IF($H$2&gt;Table6[[#This Row],[Target Date]],"Overdue","On time"),"Closed")</f>
        <v>Closed</v>
      </c>
      <c r="M392" s="27" t="str" cm="1">
        <f t="array" ref="M392">_xlfn.IFS(Table6[[#This Row],[Finish Date]]=0,"",Table6[[#This Row],[Finish Date]]&gt;Table6[[#This Row],[Target Date]],"Delay",Table6[[#This Row],[Finish Date]]&lt;=Table6[[#This Row],[Target Date]],"On Time")</f>
        <v>On Time</v>
      </c>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row>
    <row r="393" spans="1:41" ht="21" hidden="1" customHeight="1">
      <c r="A393" s="27">
        <f>WEEKNUM(Table6[[#This Row],[Start Date]])</f>
        <v>18</v>
      </c>
      <c r="B393" s="27" t="str">
        <f>TEXT(Table6[[#This Row],[Start Date]],"mmm")</f>
        <v>Apr</v>
      </c>
      <c r="C393" s="27" t="str">
        <f>_xlfn.IFNA(INDEX(Refer!$B$5:$B$103,MATCH(Table6[[#This Row],[TASK]],Refer!$C$5:$C$103,0)),"")</f>
        <v>PACKING</v>
      </c>
      <c r="D393" s="93" t="s">
        <v>120</v>
      </c>
      <c r="E393" s="79" t="s">
        <v>461</v>
      </c>
      <c r="F393" s="82" t="s">
        <v>114</v>
      </c>
      <c r="G393" s="27" t="s">
        <v>64</v>
      </c>
      <c r="H393" s="41">
        <v>46139</v>
      </c>
      <c r="I393" s="41">
        <v>46139</v>
      </c>
      <c r="J393" s="41">
        <v>46139</v>
      </c>
      <c r="K393" s="27" t="str">
        <f>IF(Table6[[#This Row],[Finish Date]]=0,"On process","Close")</f>
        <v>Close</v>
      </c>
      <c r="L393" s="27" t="str">
        <f>IF(Table6[[#This Row],[Status]]="On process",IF($H$2&gt;Table6[[#This Row],[Target Date]],"Overdue","On time"),"Closed")</f>
        <v>Closed</v>
      </c>
      <c r="M393" s="27" t="str" cm="1">
        <f t="array" ref="M393">_xlfn.IFS(Table6[[#This Row],[Finish Date]]=0,"",Table6[[#This Row],[Finish Date]]&gt;Table6[[#This Row],[Target Date]],"Delay",Table6[[#This Row],[Finish Date]]&lt;=Table6[[#This Row],[Target Date]],"On Time")</f>
        <v>On Time</v>
      </c>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row>
    <row r="394" spans="1:41" ht="21" hidden="1" customHeight="1">
      <c r="A394" s="27">
        <f>WEEKNUM(Table6[[#This Row],[Start Date]])</f>
        <v>18</v>
      </c>
      <c r="B394" s="27" t="str">
        <f>TEXT(Table6[[#This Row],[Start Date]],"mmm")</f>
        <v>Apr</v>
      </c>
      <c r="C394" s="27" t="str">
        <f>_xlfn.IFNA(INDEX(Refer!$B$5:$B$103,MATCH(Table6[[#This Row],[TASK]],Refer!$C$5:$C$103,0)),"")</f>
        <v>PACKING</v>
      </c>
      <c r="D394" s="93" t="s">
        <v>120</v>
      </c>
      <c r="E394" s="79" t="s">
        <v>461</v>
      </c>
      <c r="F394" s="82" t="s">
        <v>114</v>
      </c>
      <c r="G394" s="27" t="s">
        <v>436</v>
      </c>
      <c r="H394" s="41">
        <v>46139</v>
      </c>
      <c r="I394" s="41">
        <v>46139</v>
      </c>
      <c r="J394" s="41">
        <v>46139</v>
      </c>
      <c r="K394" s="27" t="str">
        <f>IF(Table6[[#This Row],[Finish Date]]=0,"On process","Close")</f>
        <v>Close</v>
      </c>
      <c r="L394" s="27" t="str">
        <f>IF(Table6[[#This Row],[Status]]="On process",IF($H$2&gt;Table6[[#This Row],[Target Date]],"Overdue","On time"),"Closed")</f>
        <v>Closed</v>
      </c>
      <c r="M394" s="27" t="str" cm="1">
        <f t="array" ref="M394">_xlfn.IFS(Table6[[#This Row],[Finish Date]]=0,"",Table6[[#This Row],[Finish Date]]&gt;Table6[[#This Row],[Target Date]],"Delay",Table6[[#This Row],[Finish Date]]&lt;=Table6[[#This Row],[Target Date]],"On Time")</f>
        <v>On Time</v>
      </c>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row>
    <row r="395" spans="1:41" ht="21" hidden="1" customHeight="1">
      <c r="A395" s="27">
        <f>WEEKNUM(Table6[[#This Row],[Start Date]])</f>
        <v>18</v>
      </c>
      <c r="B395" s="27" t="str">
        <f>TEXT(Table6[[#This Row],[Start Date]],"mmm")</f>
        <v>Apr</v>
      </c>
      <c r="C395" s="27" t="str">
        <f>_xlfn.IFNA(INDEX(Refer!$B$5:$B$103,MATCH(Table6[[#This Row],[TASK]],Refer!$C$5:$C$103,0)),"")</f>
        <v>PACKING</v>
      </c>
      <c r="D395" s="93" t="s">
        <v>120</v>
      </c>
      <c r="E395" s="79" t="s">
        <v>462</v>
      </c>
      <c r="F395" s="82" t="s">
        <v>63</v>
      </c>
      <c r="G395" s="27" t="s">
        <v>64</v>
      </c>
      <c r="H395" s="41">
        <v>46140</v>
      </c>
      <c r="I395" s="41">
        <v>46140</v>
      </c>
      <c r="J395" s="41">
        <v>46140</v>
      </c>
      <c r="K395" s="27" t="str">
        <f>IF(Table6[[#This Row],[Finish Date]]=0,"On process","Close")</f>
        <v>Close</v>
      </c>
      <c r="L395" s="27" t="str">
        <f>IF(Table6[[#This Row],[Status]]="On process",IF($H$2&gt;Table6[[#This Row],[Target Date]],"Overdue","On time"),"Closed")</f>
        <v>Closed</v>
      </c>
      <c r="M395" s="27" t="str" cm="1">
        <f t="array" ref="M395">_xlfn.IFS(Table6[[#This Row],[Finish Date]]=0,"",Table6[[#This Row],[Finish Date]]&gt;Table6[[#This Row],[Target Date]],"Delay",Table6[[#This Row],[Finish Date]]&lt;=Table6[[#This Row],[Target Date]],"On Time")</f>
        <v>On Time</v>
      </c>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row>
    <row r="396" spans="1:41" ht="21" hidden="1" customHeight="1">
      <c r="A396" s="27">
        <f>WEEKNUM(Table6[[#This Row],[Start Date]])</f>
        <v>18</v>
      </c>
      <c r="B396" s="27" t="str">
        <f>TEXT(Table6[[#This Row],[Start Date]],"mmm")</f>
        <v>Apr</v>
      </c>
      <c r="C396" s="27" t="str">
        <f>_xlfn.IFNA(INDEX(Refer!$B$5:$B$103,MATCH(Table6[[#This Row],[TASK]],Refer!$C$5:$C$103,0)),"")</f>
        <v>PACKING</v>
      </c>
      <c r="D396" s="93" t="s">
        <v>120</v>
      </c>
      <c r="E396" s="79" t="s">
        <v>463</v>
      </c>
      <c r="F396" s="82" t="s">
        <v>149</v>
      </c>
      <c r="G396" s="27" t="s">
        <v>64</v>
      </c>
      <c r="H396" s="41">
        <v>46140</v>
      </c>
      <c r="I396" s="41">
        <v>46140</v>
      </c>
      <c r="J396" s="41">
        <v>46140</v>
      </c>
      <c r="K396" s="27" t="str">
        <f>IF(Table6[[#This Row],[Finish Date]]=0,"On process","Close")</f>
        <v>Close</v>
      </c>
      <c r="L396" s="27" t="str">
        <f>IF(Table6[[#This Row],[Status]]="On process",IF($H$2&gt;Table6[[#This Row],[Target Date]],"Overdue","On time"),"Closed")</f>
        <v>Closed</v>
      </c>
      <c r="M396" s="27" t="str" cm="1">
        <f t="array" ref="M396">_xlfn.IFS(Table6[[#This Row],[Finish Date]]=0,"",Table6[[#This Row],[Finish Date]]&gt;Table6[[#This Row],[Target Date]],"Delay",Table6[[#This Row],[Finish Date]]&lt;=Table6[[#This Row],[Target Date]],"On Time")</f>
        <v>On Time</v>
      </c>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row>
    <row r="397" spans="1:41" ht="21" hidden="1" customHeight="1">
      <c r="A397" s="27">
        <f>WEEKNUM(Table6[[#This Row],[Start Date]])</f>
        <v>18</v>
      </c>
      <c r="B397" s="27" t="str">
        <f>TEXT(Table6[[#This Row],[Start Date]],"mmm")</f>
        <v>Apr</v>
      </c>
      <c r="C397" s="27" t="str">
        <f>_xlfn.IFNA(INDEX(Refer!$B$5:$B$103,MATCH(Table6[[#This Row],[TASK]],Refer!$C$5:$C$103,0)),"")</f>
        <v>PACKING</v>
      </c>
      <c r="D397" s="93" t="s">
        <v>120</v>
      </c>
      <c r="E397" s="79" t="s">
        <v>463</v>
      </c>
      <c r="F397" s="82" t="s">
        <v>149</v>
      </c>
      <c r="G397" s="27" t="s">
        <v>436</v>
      </c>
      <c r="H397" s="41">
        <v>46140</v>
      </c>
      <c r="I397" s="41">
        <v>46140</v>
      </c>
      <c r="J397" s="41">
        <v>46140</v>
      </c>
      <c r="K397" s="27" t="str">
        <f>IF(Table6[[#This Row],[Finish Date]]=0,"On process","Close")</f>
        <v>Close</v>
      </c>
      <c r="L397" s="27" t="str">
        <f>IF(Table6[[#This Row],[Status]]="On process",IF($H$2&gt;Table6[[#This Row],[Target Date]],"Overdue","On time"),"Closed")</f>
        <v>Closed</v>
      </c>
      <c r="M397" s="27" t="str" cm="1">
        <f t="array" ref="M397">_xlfn.IFS(Table6[[#This Row],[Finish Date]]=0,"",Table6[[#This Row],[Finish Date]]&gt;Table6[[#This Row],[Target Date]],"Delay",Table6[[#This Row],[Finish Date]]&lt;=Table6[[#This Row],[Target Date]],"On Time")</f>
        <v>On Time</v>
      </c>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row>
    <row r="398" spans="1:41" ht="21" hidden="1" customHeight="1">
      <c r="A398" s="27">
        <f>WEEKNUM(Table6[[#This Row],[Start Date]])</f>
        <v>18</v>
      </c>
      <c r="B398" s="27" t="str">
        <f>TEXT(Table6[[#This Row],[Start Date]],"mmm")</f>
        <v>Apr</v>
      </c>
      <c r="C398" s="27" t="str">
        <f>_xlfn.IFNA(INDEX(Refer!$B$5:$B$103,MATCH(Table6[[#This Row],[TASK]],Refer!$C$5:$C$103,0)),"")</f>
        <v>PACKING</v>
      </c>
      <c r="D398" s="93" t="s">
        <v>120</v>
      </c>
      <c r="E398" s="79" t="s">
        <v>464</v>
      </c>
      <c r="F398" s="82" t="s">
        <v>149</v>
      </c>
      <c r="G398" s="27" t="s">
        <v>64</v>
      </c>
      <c r="H398" s="41">
        <v>46140</v>
      </c>
      <c r="I398" s="41">
        <v>46140</v>
      </c>
      <c r="J398" s="41">
        <v>46140</v>
      </c>
      <c r="K398" s="27" t="str">
        <f>IF(Table6[[#This Row],[Finish Date]]=0,"On process","Close")</f>
        <v>Close</v>
      </c>
      <c r="L398" s="27" t="str">
        <f>IF(Table6[[#This Row],[Status]]="On process",IF($H$2&gt;Table6[[#This Row],[Target Date]],"Overdue","On time"),"Closed")</f>
        <v>Closed</v>
      </c>
      <c r="M398" s="27" t="str" cm="1">
        <f t="array" ref="M398">_xlfn.IFS(Table6[[#This Row],[Finish Date]]=0,"",Table6[[#This Row],[Finish Date]]&gt;Table6[[#This Row],[Target Date]],"Delay",Table6[[#This Row],[Finish Date]]&lt;=Table6[[#This Row],[Target Date]],"On Time")</f>
        <v>On Time</v>
      </c>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row>
    <row r="399" spans="1:41" ht="21" hidden="1" customHeight="1">
      <c r="A399" s="27">
        <f>WEEKNUM(Table6[[#This Row],[Start Date]])</f>
        <v>18</v>
      </c>
      <c r="B399" s="27" t="str">
        <f>TEXT(Table6[[#This Row],[Start Date]],"mmm")</f>
        <v>Apr</v>
      </c>
      <c r="C399" s="27" t="str">
        <f>_xlfn.IFNA(INDEX(Refer!$B$5:$B$103,MATCH(Table6[[#This Row],[TASK]],Refer!$C$5:$C$103,0)),"")</f>
        <v>PACKING</v>
      </c>
      <c r="D399" s="93" t="s">
        <v>120</v>
      </c>
      <c r="E399" s="79" t="s">
        <v>464</v>
      </c>
      <c r="F399" s="82" t="s">
        <v>149</v>
      </c>
      <c r="G399" s="27" t="s">
        <v>436</v>
      </c>
      <c r="H399" s="41">
        <v>46140</v>
      </c>
      <c r="I399" s="41">
        <v>46140</v>
      </c>
      <c r="J399" s="41">
        <v>46140</v>
      </c>
      <c r="K399" s="27" t="str">
        <f>IF(Table6[[#This Row],[Finish Date]]=0,"On process","Close")</f>
        <v>Close</v>
      </c>
      <c r="L399" s="27" t="str">
        <f>IF(Table6[[#This Row],[Status]]="On process",IF($H$2&gt;Table6[[#This Row],[Target Date]],"Overdue","On time"),"Closed")</f>
        <v>Closed</v>
      </c>
      <c r="M399" s="27" t="str" cm="1">
        <f t="array" ref="M399">_xlfn.IFS(Table6[[#This Row],[Finish Date]]=0,"",Table6[[#This Row],[Finish Date]]&gt;Table6[[#This Row],[Target Date]],"Delay",Table6[[#This Row],[Finish Date]]&lt;=Table6[[#This Row],[Target Date]],"On Time")</f>
        <v>On Time</v>
      </c>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row>
    <row r="400" spans="1:41" ht="21" hidden="1" customHeight="1">
      <c r="A400" s="27">
        <f>WEEKNUM(Table6[[#This Row],[Start Date]])</f>
        <v>17</v>
      </c>
      <c r="B400" s="27" t="str">
        <f>TEXT(Table6[[#This Row],[Start Date]],"mmm")</f>
        <v>Apr</v>
      </c>
      <c r="C400" s="27" t="str">
        <f>_xlfn.IFNA(INDEX(Refer!$B$5:$B$103,MATCH(Table6[[#This Row],[TASK]],Refer!$C$5:$C$103,0)),"")</f>
        <v>NPI</v>
      </c>
      <c r="D400" s="93" t="s">
        <v>61</v>
      </c>
      <c r="E400" s="79" t="s">
        <v>465</v>
      </c>
      <c r="F400" s="82" t="s">
        <v>63</v>
      </c>
      <c r="G400" s="27" t="s">
        <v>182</v>
      </c>
      <c r="H400" s="41">
        <v>46132</v>
      </c>
      <c r="I400" s="41">
        <v>46132</v>
      </c>
      <c r="J400" s="41">
        <v>46132</v>
      </c>
      <c r="K400" s="27" t="str">
        <f>IF(Table6[[#This Row],[Finish Date]]=0,"On process","Close")</f>
        <v>Close</v>
      </c>
      <c r="L400" s="27" t="str">
        <f>IF(Table6[[#This Row],[Status]]="On process",IF($H$2&gt;Table6[[#This Row],[Target Date]],"Overdue","On time"),"Closed")</f>
        <v>Closed</v>
      </c>
      <c r="M400" s="27" t="str" cm="1">
        <f t="array" ref="M400">_xlfn.IFS(Table6[[#This Row],[Finish Date]]=0,"",Table6[[#This Row],[Finish Date]]&gt;Table6[[#This Row],[Target Date]],"Delay",Table6[[#This Row],[Finish Date]]&lt;=Table6[[#This Row],[Target Date]],"On Time")</f>
        <v>On Time</v>
      </c>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row>
    <row r="401" spans="1:41" ht="21" hidden="1" customHeight="1">
      <c r="A401" s="27">
        <f>WEEKNUM(Table6[[#This Row],[Start Date]])</f>
        <v>17</v>
      </c>
      <c r="B401" s="27" t="str">
        <f>TEXT(Table6[[#This Row],[Start Date]],"mmm")</f>
        <v>Apr</v>
      </c>
      <c r="C401" s="27" t="str">
        <f>_xlfn.IFNA(INDEX(Refer!$B$5:$B$103,MATCH(Table6[[#This Row],[TASK]],Refer!$C$5:$C$103,0)),"")</f>
        <v>NPI</v>
      </c>
      <c r="D401" s="93" t="s">
        <v>61</v>
      </c>
      <c r="E401" s="79" t="s">
        <v>466</v>
      </c>
      <c r="F401" s="82" t="s">
        <v>366</v>
      </c>
      <c r="G401" s="27" t="s">
        <v>436</v>
      </c>
      <c r="H401" s="41">
        <v>46133</v>
      </c>
      <c r="I401" s="41">
        <v>46133</v>
      </c>
      <c r="J401" s="41">
        <v>46133</v>
      </c>
      <c r="K401" s="27" t="str">
        <f>IF(Table6[[#This Row],[Finish Date]]=0,"On process","Close")</f>
        <v>Close</v>
      </c>
      <c r="L401" s="27" t="str">
        <f>IF(Table6[[#This Row],[Status]]="On process",IF($H$2&gt;Table6[[#This Row],[Target Date]],"Overdue","On time"),"Closed")</f>
        <v>Closed</v>
      </c>
      <c r="M401" s="27" t="str" cm="1">
        <f t="array" ref="M401">_xlfn.IFS(Table6[[#This Row],[Finish Date]]=0,"",Table6[[#This Row],[Finish Date]]&gt;Table6[[#This Row],[Target Date]],"Delay",Table6[[#This Row],[Finish Date]]&lt;=Table6[[#This Row],[Target Date]],"On Time")</f>
        <v>On Time</v>
      </c>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row>
    <row r="402" spans="1:41" ht="21" hidden="1" customHeight="1">
      <c r="A402" s="27">
        <f>WEEKNUM(Table6[[#This Row],[Start Date]])</f>
        <v>17</v>
      </c>
      <c r="B402" s="27" t="str">
        <f>TEXT(Table6[[#This Row],[Start Date]],"mmm")</f>
        <v>Apr</v>
      </c>
      <c r="C402" s="27" t="str">
        <f>_xlfn.IFNA(INDEX(Refer!$B$5:$B$103,MATCH(Table6[[#This Row],[TASK]],Refer!$C$5:$C$103,0)),"")</f>
        <v>PACKING</v>
      </c>
      <c r="D402" s="93" t="s">
        <v>120</v>
      </c>
      <c r="E402" s="79" t="s">
        <v>467</v>
      </c>
      <c r="F402" s="82" t="s">
        <v>95</v>
      </c>
      <c r="G402" s="27" t="s">
        <v>64</v>
      </c>
      <c r="H402" s="41">
        <v>46135</v>
      </c>
      <c r="I402" s="41">
        <v>46135</v>
      </c>
      <c r="J402" s="41">
        <v>46135</v>
      </c>
      <c r="K402" s="27" t="str">
        <f>IF(Table6[[#This Row],[Finish Date]]=0,"On process","Close")</f>
        <v>Close</v>
      </c>
      <c r="L402" s="27" t="str">
        <f>IF(Table6[[#This Row],[Status]]="On process",IF($H$2&gt;Table6[[#This Row],[Target Date]],"Overdue","On time"),"Closed")</f>
        <v>Closed</v>
      </c>
      <c r="M402" s="27" t="str" cm="1">
        <f t="array" ref="M402">_xlfn.IFS(Table6[[#This Row],[Finish Date]]=0,"",Table6[[#This Row],[Finish Date]]&gt;Table6[[#This Row],[Target Date]],"Delay",Table6[[#This Row],[Finish Date]]&lt;=Table6[[#This Row],[Target Date]],"On Time")</f>
        <v>On Time</v>
      </c>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row>
    <row r="403" spans="1:41" ht="21" hidden="1" customHeight="1">
      <c r="A403" s="27">
        <f>WEEKNUM(Table6[[#This Row],[Start Date]])</f>
        <v>17</v>
      </c>
      <c r="B403" s="27" t="str">
        <f>TEXT(Table6[[#This Row],[Start Date]],"mmm")</f>
        <v>Apr</v>
      </c>
      <c r="C403" s="27" t="str">
        <f>_xlfn.IFNA(INDEX(Refer!$B$5:$B$103,MATCH(Table6[[#This Row],[TASK]],Refer!$C$5:$C$103,0)),"")</f>
        <v>PACKING</v>
      </c>
      <c r="D403" s="93" t="s">
        <v>120</v>
      </c>
      <c r="E403" s="79" t="s">
        <v>468</v>
      </c>
      <c r="F403" s="82" t="s">
        <v>95</v>
      </c>
      <c r="G403" s="27" t="s">
        <v>64</v>
      </c>
      <c r="H403" s="41">
        <v>46135</v>
      </c>
      <c r="I403" s="41">
        <v>46135</v>
      </c>
      <c r="J403" s="41">
        <v>46135</v>
      </c>
      <c r="K403" s="27" t="str">
        <f>IF(Table6[[#This Row],[Finish Date]]=0,"On process","Close")</f>
        <v>Close</v>
      </c>
      <c r="L403" s="27" t="str">
        <f>IF(Table6[[#This Row],[Status]]="On process",IF($H$2&gt;Table6[[#This Row],[Target Date]],"Overdue","On time"),"Closed")</f>
        <v>Closed</v>
      </c>
      <c r="M403" s="27" t="str" cm="1">
        <f t="array" ref="M403">_xlfn.IFS(Table6[[#This Row],[Finish Date]]=0,"",Table6[[#This Row],[Finish Date]]&gt;Table6[[#This Row],[Target Date]],"Delay",Table6[[#This Row],[Finish Date]]&lt;=Table6[[#This Row],[Target Date]],"On Time")</f>
        <v>On Time</v>
      </c>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row>
    <row r="404" spans="1:41" ht="21" hidden="1" customHeight="1">
      <c r="A404" s="27">
        <f>WEEKNUM(Table6[[#This Row],[Start Date]])</f>
        <v>18</v>
      </c>
      <c r="B404" s="27" t="str">
        <f>TEXT(Table6[[#This Row],[Start Date]],"mmm")</f>
        <v>Apr</v>
      </c>
      <c r="C404" s="27" t="str">
        <f>_xlfn.IFNA(INDEX(Refer!$B$5:$B$103,MATCH(Table6[[#This Row],[TASK]],Refer!$C$5:$C$103,0)),"")</f>
        <v>RFQ</v>
      </c>
      <c r="D404" s="93" t="s">
        <v>123</v>
      </c>
      <c r="E404" s="79" t="s">
        <v>469</v>
      </c>
      <c r="F404" s="82" t="s">
        <v>470</v>
      </c>
      <c r="G404" s="27" t="s">
        <v>440</v>
      </c>
      <c r="H404" s="41">
        <v>46142</v>
      </c>
      <c r="I404" s="41">
        <v>46147</v>
      </c>
      <c r="J404" s="41">
        <v>46147</v>
      </c>
      <c r="K404" s="27" t="str">
        <f>IF(Table6[[#This Row],[Finish Date]]=0,"On process","Close")</f>
        <v>Close</v>
      </c>
      <c r="L404" s="27" t="str">
        <f>IF(Table6[[#This Row],[Status]]="On process",IF($H$2&gt;Table6[[#This Row],[Target Date]],"Overdue","On time"),"Closed")</f>
        <v>Closed</v>
      </c>
      <c r="M404" s="27" t="str" cm="1">
        <f t="array" ref="M404">_xlfn.IFS(Table6[[#This Row],[Finish Date]]=0,"",Table6[[#This Row],[Finish Date]]&gt;Table6[[#This Row],[Target Date]],"Delay",Table6[[#This Row],[Finish Date]]&lt;=Table6[[#This Row],[Target Date]],"On Time")</f>
        <v>On Time</v>
      </c>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row>
    <row r="405" spans="1:41" hidden="1">
      <c r="A405" s="27">
        <f>WEEKNUM(Table6[[#This Row],[Start Date]])</f>
        <v>18</v>
      </c>
      <c r="B405" s="27" t="str">
        <f>TEXT(Table6[[#This Row],[Start Date]],"mmm")</f>
        <v>Apr</v>
      </c>
      <c r="C405" s="27" t="str">
        <f>_xlfn.IFNA(INDEX(Refer!$B$5:$B$103,MATCH(Table6[[#This Row],[TASK]],Refer!$C$5:$C$103,0)),"")</f>
        <v>DFA</v>
      </c>
      <c r="D405" s="93" t="s">
        <v>264</v>
      </c>
      <c r="E405" s="79" t="s">
        <v>471</v>
      </c>
      <c r="F405" s="82" t="s">
        <v>63</v>
      </c>
      <c r="G405" s="27" t="s">
        <v>64</v>
      </c>
      <c r="H405" s="41">
        <v>46140</v>
      </c>
      <c r="I405" s="41">
        <v>46141</v>
      </c>
      <c r="J405" s="41">
        <v>46141</v>
      </c>
      <c r="K405" s="27" t="str">
        <f>IF(Table6[[#This Row],[Finish Date]]=0,"On process","Close")</f>
        <v>Close</v>
      </c>
      <c r="L405" s="27" t="str">
        <f>IF(Table6[[#This Row],[Status]]="On process",IF($H$2&gt;Table6[[#This Row],[Target Date]],"Overdue","On time"),"Closed")</f>
        <v>Closed</v>
      </c>
      <c r="M405" s="27" t="str" cm="1">
        <f t="array" ref="M405">_xlfn.IFS(Table6[[#This Row],[Finish Date]]=0,"",Table6[[#This Row],[Finish Date]]&gt;Table6[[#This Row],[Target Date]],"Delay",Table6[[#This Row],[Finish Date]]&lt;=Table6[[#This Row],[Target Date]],"On Time")</f>
        <v>On Time</v>
      </c>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row>
    <row r="406" spans="1:41" ht="21" hidden="1" customHeight="1">
      <c r="A406" s="27">
        <f>WEEKNUM(Table6[[#This Row],[Start Date]])</f>
        <v>20</v>
      </c>
      <c r="B406" s="27" t="str">
        <f>TEXT(Table6[[#This Row],[Start Date]],"mmm")</f>
        <v>May</v>
      </c>
      <c r="C406" s="27" t="str">
        <f>_xlfn.IFNA(INDEX(Refer!$B$5:$B$103,MATCH(Table6[[#This Row],[TASK]],Refer!$C$5:$C$103,0)),"")</f>
        <v>DFM Mold</v>
      </c>
      <c r="D406" s="93" t="s">
        <v>99</v>
      </c>
      <c r="E406" s="79" t="s">
        <v>472</v>
      </c>
      <c r="F406" s="82" t="s">
        <v>95</v>
      </c>
      <c r="G406" s="27" t="s">
        <v>182</v>
      </c>
      <c r="H406" s="41">
        <v>46153</v>
      </c>
      <c r="I406" s="41">
        <v>46153</v>
      </c>
      <c r="J406" s="41">
        <v>46153</v>
      </c>
      <c r="K406" s="27" t="str">
        <f>IF(Table6[[#This Row],[Finish Date]]=0,"On process","Close")</f>
        <v>Close</v>
      </c>
      <c r="L406" s="27" t="str">
        <f>IF(Table6[[#This Row],[Status]]="On process",IF($H$2&gt;Table6[[#This Row],[Target Date]],"Overdue","On time"),"Closed")</f>
        <v>Closed</v>
      </c>
      <c r="M406" s="27" t="str" cm="1">
        <f t="array" ref="M406">_xlfn.IFS(Table6[[#This Row],[Finish Date]]=0,"",Table6[[#This Row],[Finish Date]]&gt;Table6[[#This Row],[Target Date]],"Delay",Table6[[#This Row],[Finish Date]]&lt;=Table6[[#This Row],[Target Date]],"On Time")</f>
        <v>On Time</v>
      </c>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row>
    <row r="407" spans="1:41" ht="21" hidden="1" customHeight="1">
      <c r="A407" s="27">
        <f>WEEKNUM(Table6[[#This Row],[Start Date]])</f>
        <v>20</v>
      </c>
      <c r="B407" s="27" t="str">
        <f>TEXT(Table6[[#This Row],[Start Date]],"mmm")</f>
        <v>May</v>
      </c>
      <c r="C407" s="27" t="str">
        <f>_xlfn.IFNA(INDEX(Refer!$B$5:$B$103,MATCH(Table6[[#This Row],[TASK]],Refer!$C$5:$C$103,0)),"")</f>
        <v>DFM Mold</v>
      </c>
      <c r="D407" s="93" t="s">
        <v>99</v>
      </c>
      <c r="E407" s="79" t="s">
        <v>473</v>
      </c>
      <c r="F407" s="82" t="s">
        <v>95</v>
      </c>
      <c r="G407" s="27" t="s">
        <v>182</v>
      </c>
      <c r="H407" s="41">
        <v>46153</v>
      </c>
      <c r="I407" s="41">
        <v>46153</v>
      </c>
      <c r="J407" s="41">
        <v>46153</v>
      </c>
      <c r="K407" s="27" t="str">
        <f>IF(Table6[[#This Row],[Finish Date]]=0,"On process","Close")</f>
        <v>Close</v>
      </c>
      <c r="L407" s="27" t="str">
        <f>IF(Table6[[#This Row],[Status]]="On process",IF($H$2&gt;Table6[[#This Row],[Target Date]],"Overdue","On time"),"Closed")</f>
        <v>Closed</v>
      </c>
      <c r="M407" s="27" t="str" cm="1">
        <f t="array" ref="M407">_xlfn.IFS(Table6[[#This Row],[Finish Date]]=0,"",Table6[[#This Row],[Finish Date]]&gt;Table6[[#This Row],[Target Date]],"Delay",Table6[[#This Row],[Finish Date]]&lt;=Table6[[#This Row],[Target Date]],"On Time")</f>
        <v>On Time</v>
      </c>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row>
    <row r="408" spans="1:41" ht="21" hidden="1" customHeight="1">
      <c r="A408" s="27">
        <f>WEEKNUM(Table6[[#This Row],[Start Date]])</f>
        <v>20</v>
      </c>
      <c r="B408" s="27" t="str">
        <f>TEXT(Table6[[#This Row],[Start Date]],"mmm")</f>
        <v>May</v>
      </c>
      <c r="C408" s="27" t="str">
        <f>_xlfn.IFNA(INDEX(Refer!$B$5:$B$103,MATCH(Table6[[#This Row],[TASK]],Refer!$C$5:$C$103,0)),"")</f>
        <v>DFM Mold</v>
      </c>
      <c r="D408" s="93" t="s">
        <v>99</v>
      </c>
      <c r="E408" s="79" t="s">
        <v>474</v>
      </c>
      <c r="F408" s="82" t="s">
        <v>95</v>
      </c>
      <c r="G408" s="27" t="s">
        <v>182</v>
      </c>
      <c r="H408" s="41">
        <v>46154</v>
      </c>
      <c r="I408" s="41">
        <v>46154</v>
      </c>
      <c r="J408" s="41">
        <v>46154</v>
      </c>
      <c r="K408" s="27" t="str">
        <f>IF(Table6[[#This Row],[Finish Date]]=0,"On process","Close")</f>
        <v>Close</v>
      </c>
      <c r="L408" s="27" t="str">
        <f>IF(Table6[[#This Row],[Status]]="On process",IF($H$2&gt;Table6[[#This Row],[Target Date]],"Overdue","On time"),"Closed")</f>
        <v>Closed</v>
      </c>
      <c r="M408" s="27" t="str" cm="1">
        <f t="array" ref="M408">_xlfn.IFS(Table6[[#This Row],[Finish Date]]=0,"",Table6[[#This Row],[Finish Date]]&gt;Table6[[#This Row],[Target Date]],"Delay",Table6[[#This Row],[Finish Date]]&lt;=Table6[[#This Row],[Target Date]],"On Time")</f>
        <v>On Time</v>
      </c>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row>
    <row r="409" spans="1:41" ht="21" hidden="1" customHeight="1">
      <c r="A409" s="27">
        <f>WEEKNUM(Table6[[#This Row],[Start Date]])</f>
        <v>20</v>
      </c>
      <c r="B409" s="27" t="str">
        <f>TEXT(Table6[[#This Row],[Start Date]],"mmm")</f>
        <v>May</v>
      </c>
      <c r="C409" s="27" t="str">
        <f>_xlfn.IFNA(INDEX(Refer!$B$5:$B$103,MATCH(Table6[[#This Row],[TASK]],Refer!$C$5:$C$103,0)),"")</f>
        <v>DFM Mold</v>
      </c>
      <c r="D409" s="93" t="s">
        <v>99</v>
      </c>
      <c r="E409" s="79" t="s">
        <v>475</v>
      </c>
      <c r="F409" s="82" t="s">
        <v>95</v>
      </c>
      <c r="G409" s="27" t="s">
        <v>182</v>
      </c>
      <c r="H409" s="41">
        <v>46154</v>
      </c>
      <c r="I409" s="41">
        <v>46154</v>
      </c>
      <c r="J409" s="41">
        <v>46154</v>
      </c>
      <c r="K409" s="27" t="str">
        <f>IF(Table6[[#This Row],[Finish Date]]=0,"On process","Close")</f>
        <v>Close</v>
      </c>
      <c r="L409" s="27" t="str">
        <f>IF(Table6[[#This Row],[Status]]="On process",IF($H$2&gt;Table6[[#This Row],[Target Date]],"Overdue","On time"),"Closed")</f>
        <v>Closed</v>
      </c>
      <c r="M409" s="27" t="str" cm="1">
        <f t="array" ref="M409">_xlfn.IFS(Table6[[#This Row],[Finish Date]]=0,"",Table6[[#This Row],[Finish Date]]&gt;Table6[[#This Row],[Target Date]],"Delay",Table6[[#This Row],[Finish Date]]&lt;=Table6[[#This Row],[Target Date]],"On Time")</f>
        <v>On Time</v>
      </c>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row>
    <row r="410" spans="1:41" ht="21" hidden="1" customHeight="1">
      <c r="A410" s="27">
        <f>WEEKNUM(Table6[[#This Row],[Start Date]])</f>
        <v>20</v>
      </c>
      <c r="B410" s="27" t="str">
        <f>TEXT(Table6[[#This Row],[Start Date]],"mmm")</f>
        <v>May</v>
      </c>
      <c r="C410" s="27" t="str">
        <f>_xlfn.IFNA(INDEX(Refer!$B$5:$B$103,MATCH(Table6[[#This Row],[TASK]],Refer!$C$5:$C$103,0)),"")</f>
        <v>DFM Mold</v>
      </c>
      <c r="D410" s="93" t="s">
        <v>99</v>
      </c>
      <c r="E410" s="79" t="s">
        <v>476</v>
      </c>
      <c r="F410" s="82" t="s">
        <v>95</v>
      </c>
      <c r="G410" s="27" t="s">
        <v>182</v>
      </c>
      <c r="H410" s="41">
        <v>46155</v>
      </c>
      <c r="I410" s="41">
        <v>46155</v>
      </c>
      <c r="J410" s="41">
        <v>46155</v>
      </c>
      <c r="K410" s="27" t="str">
        <f>IF(Table6[[#This Row],[Finish Date]]=0,"On process","Close")</f>
        <v>Close</v>
      </c>
      <c r="L410" s="27" t="str">
        <f>IF(Table6[[#This Row],[Status]]="On process",IF($H$2&gt;Table6[[#This Row],[Target Date]],"Overdue","On time"),"Closed")</f>
        <v>Closed</v>
      </c>
      <c r="M410" s="27" t="str" cm="1">
        <f t="array" ref="M410">_xlfn.IFS(Table6[[#This Row],[Finish Date]]=0,"",Table6[[#This Row],[Finish Date]]&gt;Table6[[#This Row],[Target Date]],"Delay",Table6[[#This Row],[Finish Date]]&lt;=Table6[[#This Row],[Target Date]],"On Time")</f>
        <v>On Time</v>
      </c>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row>
    <row r="411" spans="1:41" ht="21" hidden="1" customHeight="1">
      <c r="A411" s="27">
        <f>WEEKNUM(Table6[[#This Row],[Start Date]])</f>
        <v>20</v>
      </c>
      <c r="B411" s="27" t="str">
        <f>TEXT(Table6[[#This Row],[Start Date]],"mmm")</f>
        <v>May</v>
      </c>
      <c r="C411" s="27" t="str">
        <f>_xlfn.IFNA(INDEX(Refer!$B$5:$B$103,MATCH(Table6[[#This Row],[TASK]],Refer!$C$5:$C$103,0)),"")</f>
        <v>DFM Mold</v>
      </c>
      <c r="D411" s="93" t="s">
        <v>99</v>
      </c>
      <c r="E411" s="79" t="s">
        <v>477</v>
      </c>
      <c r="F411" s="82" t="s">
        <v>95</v>
      </c>
      <c r="G411" s="27" t="s">
        <v>182</v>
      </c>
      <c r="H411" s="41">
        <v>46155</v>
      </c>
      <c r="I411" s="41">
        <v>46155</v>
      </c>
      <c r="J411" s="41">
        <v>46155</v>
      </c>
      <c r="K411" s="27" t="str">
        <f>IF(Table6[[#This Row],[Finish Date]]=0,"On process","Close")</f>
        <v>Close</v>
      </c>
      <c r="L411" s="27" t="str">
        <f>IF(Table6[[#This Row],[Status]]="On process",IF($H$2&gt;Table6[[#This Row],[Target Date]],"Overdue","On time"),"Closed")</f>
        <v>Closed</v>
      </c>
      <c r="M411" s="27" t="str" cm="1">
        <f t="array" ref="M411">_xlfn.IFS(Table6[[#This Row],[Finish Date]]=0,"",Table6[[#This Row],[Finish Date]]&gt;Table6[[#This Row],[Target Date]],"Delay",Table6[[#This Row],[Finish Date]]&lt;=Table6[[#This Row],[Target Date]],"On Time")</f>
        <v>On Time</v>
      </c>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row>
    <row r="412" spans="1:41" ht="21" hidden="1" customHeight="1">
      <c r="A412" s="27">
        <f>WEEKNUM(Table6[[#This Row],[Start Date]])</f>
        <v>20</v>
      </c>
      <c r="B412" s="27" t="str">
        <f>TEXT(Table6[[#This Row],[Start Date]],"mmm")</f>
        <v>May</v>
      </c>
      <c r="C412" s="27" t="str">
        <f>_xlfn.IFNA(INDEX(Refer!$B$5:$B$103,MATCH(Table6[[#This Row],[TASK]],Refer!$C$5:$C$103,0)),"")</f>
        <v>DFM Mold</v>
      </c>
      <c r="D412" s="93" t="s">
        <v>99</v>
      </c>
      <c r="E412" s="79" t="s">
        <v>478</v>
      </c>
      <c r="F412" s="82" t="s">
        <v>95</v>
      </c>
      <c r="G412" s="27" t="s">
        <v>182</v>
      </c>
      <c r="H412" s="41">
        <v>46157</v>
      </c>
      <c r="I412" s="41">
        <v>46157</v>
      </c>
      <c r="J412" s="41">
        <v>46157</v>
      </c>
      <c r="K412" s="27" t="str">
        <f>IF(Table6[[#This Row],[Finish Date]]=0,"On process","Close")</f>
        <v>Close</v>
      </c>
      <c r="L412" s="27" t="str">
        <f>IF(Table6[[#This Row],[Status]]="On process",IF($H$2&gt;Table6[[#This Row],[Target Date]],"Overdue","On time"),"Closed")</f>
        <v>Closed</v>
      </c>
      <c r="M412" s="27" t="str" cm="1">
        <f t="array" ref="M412">_xlfn.IFS(Table6[[#This Row],[Finish Date]]=0,"",Table6[[#This Row],[Finish Date]]&gt;Table6[[#This Row],[Target Date]],"Delay",Table6[[#This Row],[Finish Date]]&lt;=Table6[[#This Row],[Target Date]],"On Time")</f>
        <v>On Time</v>
      </c>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row>
    <row r="413" spans="1:41" ht="21" hidden="1" customHeight="1">
      <c r="A413" s="27">
        <f>WEEKNUM(Table6[[#This Row],[Start Date]])</f>
        <v>20</v>
      </c>
      <c r="B413" s="27" t="str">
        <f>TEXT(Table6[[#This Row],[Start Date]],"mmm")</f>
        <v>May</v>
      </c>
      <c r="C413" s="27" t="str">
        <f>_xlfn.IFNA(INDEX(Refer!$B$5:$B$103,MATCH(Table6[[#This Row],[TASK]],Refer!$C$5:$C$103,0)),"")</f>
        <v>DFM Mold</v>
      </c>
      <c r="D413" s="93" t="s">
        <v>99</v>
      </c>
      <c r="E413" s="79" t="s">
        <v>472</v>
      </c>
      <c r="F413" s="82" t="s">
        <v>95</v>
      </c>
      <c r="G413" s="27" t="s">
        <v>64</v>
      </c>
      <c r="H413" s="41">
        <v>46153</v>
      </c>
      <c r="I413" s="41">
        <v>46153</v>
      </c>
      <c r="J413" s="41">
        <v>46153</v>
      </c>
      <c r="K413" s="27" t="str">
        <f>IF(Table6[[#This Row],[Finish Date]]=0,"On process","Close")</f>
        <v>Close</v>
      </c>
      <c r="L413" s="27" t="str">
        <f>IF(Table6[[#This Row],[Status]]="On process",IF($H$2&gt;Table6[[#This Row],[Target Date]],"Overdue","On time"),"Closed")</f>
        <v>Closed</v>
      </c>
      <c r="M413" s="27" t="str" cm="1">
        <f t="array" ref="M413">_xlfn.IFS(Table6[[#This Row],[Finish Date]]=0,"",Table6[[#This Row],[Finish Date]]&gt;Table6[[#This Row],[Target Date]],"Delay",Table6[[#This Row],[Finish Date]]&lt;=Table6[[#This Row],[Target Date]],"On Time")</f>
        <v>On Time</v>
      </c>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row>
    <row r="414" spans="1:41" ht="21" hidden="1" customHeight="1">
      <c r="A414" s="27">
        <f>WEEKNUM(Table6[[#This Row],[Start Date]])</f>
        <v>20</v>
      </c>
      <c r="B414" s="27" t="str">
        <f>TEXT(Table6[[#This Row],[Start Date]],"mmm")</f>
        <v>May</v>
      </c>
      <c r="C414" s="27" t="str">
        <f>_xlfn.IFNA(INDEX(Refer!$B$5:$B$103,MATCH(Table6[[#This Row],[TASK]],Refer!$C$5:$C$103,0)),"")</f>
        <v>DFM Mold</v>
      </c>
      <c r="D414" s="93" t="s">
        <v>99</v>
      </c>
      <c r="E414" s="79" t="s">
        <v>473</v>
      </c>
      <c r="F414" s="82" t="s">
        <v>95</v>
      </c>
      <c r="G414" s="27" t="s">
        <v>64</v>
      </c>
      <c r="H414" s="41">
        <v>46153</v>
      </c>
      <c r="I414" s="41">
        <v>46153</v>
      </c>
      <c r="J414" s="41">
        <v>46153</v>
      </c>
      <c r="K414" s="27" t="str">
        <f>IF(Table6[[#This Row],[Finish Date]]=0,"On process","Close")</f>
        <v>Close</v>
      </c>
      <c r="L414" s="27" t="str">
        <f>IF(Table6[[#This Row],[Status]]="On process",IF($H$2&gt;Table6[[#This Row],[Target Date]],"Overdue","On time"),"Closed")</f>
        <v>Closed</v>
      </c>
      <c r="M414" s="27" t="str" cm="1">
        <f t="array" ref="M414">_xlfn.IFS(Table6[[#This Row],[Finish Date]]=0,"",Table6[[#This Row],[Finish Date]]&gt;Table6[[#This Row],[Target Date]],"Delay",Table6[[#This Row],[Finish Date]]&lt;=Table6[[#This Row],[Target Date]],"On Time")</f>
        <v>On Time</v>
      </c>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row>
    <row r="415" spans="1:41" ht="21" hidden="1" customHeight="1">
      <c r="A415" s="27">
        <f>WEEKNUM(Table6[[#This Row],[Start Date]])</f>
        <v>20</v>
      </c>
      <c r="B415" s="27" t="str">
        <f>TEXT(Table6[[#This Row],[Start Date]],"mmm")</f>
        <v>May</v>
      </c>
      <c r="C415" s="27" t="str">
        <f>_xlfn.IFNA(INDEX(Refer!$B$5:$B$103,MATCH(Table6[[#This Row],[TASK]],Refer!$C$5:$C$103,0)),"")</f>
        <v>DFM Mold</v>
      </c>
      <c r="D415" s="93" t="s">
        <v>99</v>
      </c>
      <c r="E415" s="79" t="s">
        <v>474</v>
      </c>
      <c r="F415" s="82" t="s">
        <v>95</v>
      </c>
      <c r="G415" s="27" t="s">
        <v>64</v>
      </c>
      <c r="H415" s="41">
        <v>46154</v>
      </c>
      <c r="I415" s="41">
        <v>46154</v>
      </c>
      <c r="J415" s="41">
        <v>46154</v>
      </c>
      <c r="K415" s="27" t="str">
        <f>IF(Table6[[#This Row],[Finish Date]]=0,"On process","Close")</f>
        <v>Close</v>
      </c>
      <c r="L415" s="27" t="str">
        <f>IF(Table6[[#This Row],[Status]]="On process",IF($H$2&gt;Table6[[#This Row],[Target Date]],"Overdue","On time"),"Closed")</f>
        <v>Closed</v>
      </c>
      <c r="M415" s="27" t="str" cm="1">
        <f t="array" ref="M415">_xlfn.IFS(Table6[[#This Row],[Finish Date]]=0,"",Table6[[#This Row],[Finish Date]]&gt;Table6[[#This Row],[Target Date]],"Delay",Table6[[#This Row],[Finish Date]]&lt;=Table6[[#This Row],[Target Date]],"On Time")</f>
        <v>On Time</v>
      </c>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row>
    <row r="416" spans="1:41" ht="21" hidden="1" customHeight="1">
      <c r="A416" s="27">
        <f>WEEKNUM(Table6[[#This Row],[Start Date]])</f>
        <v>20</v>
      </c>
      <c r="B416" s="27" t="str">
        <f>TEXT(Table6[[#This Row],[Start Date]],"mmm")</f>
        <v>May</v>
      </c>
      <c r="C416" s="27" t="str">
        <f>_xlfn.IFNA(INDEX(Refer!$B$5:$B$103,MATCH(Table6[[#This Row],[TASK]],Refer!$C$5:$C$103,0)),"")</f>
        <v>DFM Mold</v>
      </c>
      <c r="D416" s="93" t="s">
        <v>99</v>
      </c>
      <c r="E416" s="79" t="s">
        <v>475</v>
      </c>
      <c r="F416" s="82" t="s">
        <v>95</v>
      </c>
      <c r="G416" s="27" t="s">
        <v>64</v>
      </c>
      <c r="H416" s="41">
        <v>46154</v>
      </c>
      <c r="I416" s="41">
        <v>46154</v>
      </c>
      <c r="J416" s="41">
        <v>46154</v>
      </c>
      <c r="K416" s="27" t="str">
        <f>IF(Table6[[#This Row],[Finish Date]]=0,"On process","Close")</f>
        <v>Close</v>
      </c>
      <c r="L416" s="27" t="str">
        <f>IF(Table6[[#This Row],[Status]]="On process",IF($H$2&gt;Table6[[#This Row],[Target Date]],"Overdue","On time"),"Closed")</f>
        <v>Closed</v>
      </c>
      <c r="M416" s="27" t="str" cm="1">
        <f t="array" ref="M416">_xlfn.IFS(Table6[[#This Row],[Finish Date]]=0,"",Table6[[#This Row],[Finish Date]]&gt;Table6[[#This Row],[Target Date]],"Delay",Table6[[#This Row],[Finish Date]]&lt;=Table6[[#This Row],[Target Date]],"On Time")</f>
        <v>On Time</v>
      </c>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row>
    <row r="417" spans="1:41" ht="21" hidden="1" customHeight="1">
      <c r="A417" s="27">
        <f>WEEKNUM(Table6[[#This Row],[Start Date]])</f>
        <v>20</v>
      </c>
      <c r="B417" s="27" t="str">
        <f>TEXT(Table6[[#This Row],[Start Date]],"mmm")</f>
        <v>May</v>
      </c>
      <c r="C417" s="27" t="str">
        <f>_xlfn.IFNA(INDEX(Refer!$B$5:$B$103,MATCH(Table6[[#This Row],[TASK]],Refer!$C$5:$C$103,0)),"")</f>
        <v>DFM Mold</v>
      </c>
      <c r="D417" s="93" t="s">
        <v>99</v>
      </c>
      <c r="E417" s="79" t="s">
        <v>476</v>
      </c>
      <c r="F417" s="82" t="s">
        <v>95</v>
      </c>
      <c r="G417" s="27" t="s">
        <v>64</v>
      </c>
      <c r="H417" s="41">
        <v>46155</v>
      </c>
      <c r="I417" s="41">
        <v>46155</v>
      </c>
      <c r="J417" s="41">
        <v>46155</v>
      </c>
      <c r="K417" s="27" t="str">
        <f>IF(Table6[[#This Row],[Finish Date]]=0,"On process","Close")</f>
        <v>Close</v>
      </c>
      <c r="L417" s="27" t="str">
        <f>IF(Table6[[#This Row],[Status]]="On process",IF($H$2&gt;Table6[[#This Row],[Target Date]],"Overdue","On time"),"Closed")</f>
        <v>Closed</v>
      </c>
      <c r="M417" s="27" t="str" cm="1">
        <f t="array" ref="M417">_xlfn.IFS(Table6[[#This Row],[Finish Date]]=0,"",Table6[[#This Row],[Finish Date]]&gt;Table6[[#This Row],[Target Date]],"Delay",Table6[[#This Row],[Finish Date]]&lt;=Table6[[#This Row],[Target Date]],"On Time")</f>
        <v>On Time</v>
      </c>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row>
    <row r="418" spans="1:41" ht="21" hidden="1" customHeight="1">
      <c r="A418" s="27">
        <f>WEEKNUM(Table6[[#This Row],[Start Date]])</f>
        <v>20</v>
      </c>
      <c r="B418" s="27" t="str">
        <f>TEXT(Table6[[#This Row],[Start Date]],"mmm")</f>
        <v>May</v>
      </c>
      <c r="C418" s="27" t="str">
        <f>_xlfn.IFNA(INDEX(Refer!$B$5:$B$103,MATCH(Table6[[#This Row],[TASK]],Refer!$C$5:$C$103,0)),"")</f>
        <v>DFM Mold</v>
      </c>
      <c r="D418" s="93" t="s">
        <v>99</v>
      </c>
      <c r="E418" s="79" t="s">
        <v>477</v>
      </c>
      <c r="F418" s="82" t="s">
        <v>95</v>
      </c>
      <c r="G418" s="27" t="s">
        <v>64</v>
      </c>
      <c r="H418" s="41">
        <v>46155</v>
      </c>
      <c r="I418" s="41">
        <v>46155</v>
      </c>
      <c r="J418" s="41">
        <v>46155</v>
      </c>
      <c r="K418" s="27" t="str">
        <f>IF(Table6[[#This Row],[Finish Date]]=0,"On process","Close")</f>
        <v>Close</v>
      </c>
      <c r="L418" s="27" t="str">
        <f>IF(Table6[[#This Row],[Status]]="On process",IF($H$2&gt;Table6[[#This Row],[Target Date]],"Overdue","On time"),"Closed")</f>
        <v>Closed</v>
      </c>
      <c r="M418" s="27" t="str" cm="1">
        <f t="array" ref="M418">_xlfn.IFS(Table6[[#This Row],[Finish Date]]=0,"",Table6[[#This Row],[Finish Date]]&gt;Table6[[#This Row],[Target Date]],"Delay",Table6[[#This Row],[Finish Date]]&lt;=Table6[[#This Row],[Target Date]],"On Time")</f>
        <v>On Time</v>
      </c>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row>
    <row r="419" spans="1:41" ht="21" hidden="1" customHeight="1">
      <c r="A419" s="27">
        <f>WEEKNUM(Table6[[#This Row],[Start Date]])</f>
        <v>20</v>
      </c>
      <c r="B419" s="27" t="str">
        <f>TEXT(Table6[[#This Row],[Start Date]],"mmm")</f>
        <v>May</v>
      </c>
      <c r="C419" s="27" t="str">
        <f>_xlfn.IFNA(INDEX(Refer!$B$5:$B$103,MATCH(Table6[[#This Row],[TASK]],Refer!$C$5:$C$103,0)),"")</f>
        <v>DFM Mold</v>
      </c>
      <c r="D419" s="93" t="s">
        <v>99</v>
      </c>
      <c r="E419" s="79" t="s">
        <v>472</v>
      </c>
      <c r="F419" s="82" t="s">
        <v>95</v>
      </c>
      <c r="G419" s="27" t="s">
        <v>479</v>
      </c>
      <c r="H419" s="41">
        <v>46153</v>
      </c>
      <c r="I419" s="41">
        <v>46153</v>
      </c>
      <c r="J419" s="41">
        <v>46153</v>
      </c>
      <c r="K419" s="27" t="str">
        <f>IF(Table6[[#This Row],[Finish Date]]=0,"On process","Close")</f>
        <v>Close</v>
      </c>
      <c r="L419" s="27" t="str">
        <f>IF(Table6[[#This Row],[Status]]="On process",IF($H$2&gt;Table6[[#This Row],[Target Date]],"Overdue","On time"),"Closed")</f>
        <v>Closed</v>
      </c>
      <c r="M419" s="27" t="str" cm="1">
        <f t="array" ref="M419">_xlfn.IFS(Table6[[#This Row],[Finish Date]]=0,"",Table6[[#This Row],[Finish Date]]&gt;Table6[[#This Row],[Target Date]],"Delay",Table6[[#This Row],[Finish Date]]&lt;=Table6[[#This Row],[Target Date]],"On Time")</f>
        <v>On Time</v>
      </c>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row>
    <row r="420" spans="1:41" ht="21" hidden="1" customHeight="1">
      <c r="A420" s="27">
        <f>WEEKNUM(Table6[[#This Row],[Start Date]])</f>
        <v>20</v>
      </c>
      <c r="B420" s="27" t="str">
        <f>TEXT(Table6[[#This Row],[Start Date]],"mmm")</f>
        <v>May</v>
      </c>
      <c r="C420" s="27" t="str">
        <f>_xlfn.IFNA(INDEX(Refer!$B$5:$B$103,MATCH(Table6[[#This Row],[TASK]],Refer!$C$5:$C$103,0)),"")</f>
        <v>DFM Mold</v>
      </c>
      <c r="D420" s="93" t="s">
        <v>99</v>
      </c>
      <c r="E420" s="79" t="s">
        <v>473</v>
      </c>
      <c r="F420" s="82" t="s">
        <v>95</v>
      </c>
      <c r="G420" s="27" t="s">
        <v>479</v>
      </c>
      <c r="H420" s="41">
        <v>46153</v>
      </c>
      <c r="I420" s="41">
        <v>46153</v>
      </c>
      <c r="J420" s="41">
        <v>46153</v>
      </c>
      <c r="K420" s="27" t="str">
        <f>IF(Table6[[#This Row],[Finish Date]]=0,"On process","Close")</f>
        <v>Close</v>
      </c>
      <c r="L420" s="27" t="str">
        <f>IF(Table6[[#This Row],[Status]]="On process",IF($H$2&gt;Table6[[#This Row],[Target Date]],"Overdue","On time"),"Closed")</f>
        <v>Closed</v>
      </c>
      <c r="M420" s="27" t="str" cm="1">
        <f t="array" ref="M420">_xlfn.IFS(Table6[[#This Row],[Finish Date]]=0,"",Table6[[#This Row],[Finish Date]]&gt;Table6[[#This Row],[Target Date]],"Delay",Table6[[#This Row],[Finish Date]]&lt;=Table6[[#This Row],[Target Date]],"On Time")</f>
        <v>On Time</v>
      </c>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row>
    <row r="421" spans="1:41" ht="21" hidden="1" customHeight="1">
      <c r="A421" s="27">
        <f>WEEKNUM(Table6[[#This Row],[Start Date]])</f>
        <v>20</v>
      </c>
      <c r="B421" s="27" t="str">
        <f>TEXT(Table6[[#This Row],[Start Date]],"mmm")</f>
        <v>May</v>
      </c>
      <c r="C421" s="27" t="str">
        <f>_xlfn.IFNA(INDEX(Refer!$B$5:$B$103,MATCH(Table6[[#This Row],[TASK]],Refer!$C$5:$C$103,0)),"")</f>
        <v>DFM Mold</v>
      </c>
      <c r="D421" s="93" t="s">
        <v>99</v>
      </c>
      <c r="E421" s="79" t="s">
        <v>474</v>
      </c>
      <c r="F421" s="82" t="s">
        <v>95</v>
      </c>
      <c r="G421" s="27" t="s">
        <v>479</v>
      </c>
      <c r="H421" s="41">
        <v>46154</v>
      </c>
      <c r="I421" s="41">
        <v>46154</v>
      </c>
      <c r="J421" s="41">
        <v>46154</v>
      </c>
      <c r="K421" s="27" t="str">
        <f>IF(Table6[[#This Row],[Finish Date]]=0,"On process","Close")</f>
        <v>Close</v>
      </c>
      <c r="L421" s="27" t="str">
        <f>IF(Table6[[#This Row],[Status]]="On process",IF($H$2&gt;Table6[[#This Row],[Target Date]],"Overdue","On time"),"Closed")</f>
        <v>Closed</v>
      </c>
      <c r="M421" s="27" t="str" cm="1">
        <f t="array" ref="M421">_xlfn.IFS(Table6[[#This Row],[Finish Date]]=0,"",Table6[[#This Row],[Finish Date]]&gt;Table6[[#This Row],[Target Date]],"Delay",Table6[[#This Row],[Finish Date]]&lt;=Table6[[#This Row],[Target Date]],"On Time")</f>
        <v>On Time</v>
      </c>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row>
    <row r="422" spans="1:41" ht="21" hidden="1" customHeight="1">
      <c r="A422" s="27">
        <f>WEEKNUM(Table6[[#This Row],[Start Date]])</f>
        <v>20</v>
      </c>
      <c r="B422" s="27" t="str">
        <f>TEXT(Table6[[#This Row],[Start Date]],"mmm")</f>
        <v>May</v>
      </c>
      <c r="C422" s="27" t="str">
        <f>_xlfn.IFNA(INDEX(Refer!$B$5:$B$103,MATCH(Table6[[#This Row],[TASK]],Refer!$C$5:$C$103,0)),"")</f>
        <v>DFM Mold</v>
      </c>
      <c r="D422" s="93" t="s">
        <v>99</v>
      </c>
      <c r="E422" s="79" t="s">
        <v>480</v>
      </c>
      <c r="F422" s="82" t="s">
        <v>95</v>
      </c>
      <c r="G422" s="27" t="s">
        <v>479</v>
      </c>
      <c r="H422" s="41">
        <v>46154</v>
      </c>
      <c r="I422" s="41">
        <v>46154</v>
      </c>
      <c r="J422" s="41">
        <v>46154</v>
      </c>
      <c r="K422" s="27" t="str">
        <f>IF(Table6[[#This Row],[Finish Date]]=0,"On process","Close")</f>
        <v>Close</v>
      </c>
      <c r="L422" s="27" t="str">
        <f>IF(Table6[[#This Row],[Status]]="On process",IF($H$2&gt;Table6[[#This Row],[Target Date]],"Overdue","On time"),"Closed")</f>
        <v>Closed</v>
      </c>
      <c r="M422" s="27" t="str" cm="1">
        <f t="array" ref="M422">_xlfn.IFS(Table6[[#This Row],[Finish Date]]=0,"",Table6[[#This Row],[Finish Date]]&gt;Table6[[#This Row],[Target Date]],"Delay",Table6[[#This Row],[Finish Date]]&lt;=Table6[[#This Row],[Target Date]],"On Time")</f>
        <v>On Time</v>
      </c>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row>
    <row r="423" spans="1:41" ht="21" hidden="1" customHeight="1">
      <c r="A423" s="27">
        <f>WEEKNUM(Table6[[#This Row],[Start Date]])</f>
        <v>20</v>
      </c>
      <c r="B423" s="27" t="str">
        <f>TEXT(Table6[[#This Row],[Start Date]],"mmm")</f>
        <v>May</v>
      </c>
      <c r="C423" s="27" t="str">
        <f>_xlfn.IFNA(INDEX(Refer!$B$5:$B$103,MATCH(Table6[[#This Row],[TASK]],Refer!$C$5:$C$103,0)),"")</f>
        <v>DFM Mold</v>
      </c>
      <c r="D423" s="93" t="s">
        <v>99</v>
      </c>
      <c r="E423" s="79" t="s">
        <v>474</v>
      </c>
      <c r="F423" s="82" t="s">
        <v>95</v>
      </c>
      <c r="G423" s="27" t="s">
        <v>479</v>
      </c>
      <c r="H423" s="41">
        <v>46154</v>
      </c>
      <c r="I423" s="41">
        <v>46154</v>
      </c>
      <c r="J423" s="41">
        <v>46154</v>
      </c>
      <c r="K423" s="27" t="str">
        <f>IF(Table6[[#This Row],[Finish Date]]=0,"On process","Close")</f>
        <v>Close</v>
      </c>
      <c r="L423" s="27" t="str">
        <f>IF(Table6[[#This Row],[Status]]="On process",IF($H$2&gt;Table6[[#This Row],[Target Date]],"Overdue","On time"),"Closed")</f>
        <v>Closed</v>
      </c>
      <c r="M423" s="27" t="str" cm="1">
        <f t="array" ref="M423">_xlfn.IFS(Table6[[#This Row],[Finish Date]]=0,"",Table6[[#This Row],[Finish Date]]&gt;Table6[[#This Row],[Target Date]],"Delay",Table6[[#This Row],[Finish Date]]&lt;=Table6[[#This Row],[Target Date]],"On Time")</f>
        <v>On Time</v>
      </c>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row>
    <row r="424" spans="1:41" ht="21" hidden="1" customHeight="1">
      <c r="A424" s="27">
        <f>WEEKNUM(Table6[[#This Row],[Start Date]])</f>
        <v>20</v>
      </c>
      <c r="B424" s="27" t="str">
        <f>TEXT(Table6[[#This Row],[Start Date]],"mmm")</f>
        <v>May</v>
      </c>
      <c r="C424" s="27" t="str">
        <f>_xlfn.IFNA(INDEX(Refer!$B$5:$B$103,MATCH(Table6[[#This Row],[TASK]],Refer!$C$5:$C$103,0)),"")</f>
        <v>DFM Mold</v>
      </c>
      <c r="D424" s="93" t="s">
        <v>99</v>
      </c>
      <c r="E424" s="79" t="s">
        <v>476</v>
      </c>
      <c r="F424" s="82" t="s">
        <v>95</v>
      </c>
      <c r="G424" s="27" t="s">
        <v>479</v>
      </c>
      <c r="H424" s="41">
        <v>46155</v>
      </c>
      <c r="I424" s="41">
        <v>46155</v>
      </c>
      <c r="J424" s="41">
        <v>46155</v>
      </c>
      <c r="K424" s="27" t="str">
        <f>IF(Table6[[#This Row],[Finish Date]]=0,"On process","Close")</f>
        <v>Close</v>
      </c>
      <c r="L424" s="27" t="str">
        <f>IF(Table6[[#This Row],[Status]]="On process",IF($H$2&gt;Table6[[#This Row],[Target Date]],"Overdue","On time"),"Closed")</f>
        <v>Closed</v>
      </c>
      <c r="M424" s="27" t="str" cm="1">
        <f t="array" ref="M424">_xlfn.IFS(Table6[[#This Row],[Finish Date]]=0,"",Table6[[#This Row],[Finish Date]]&gt;Table6[[#This Row],[Target Date]],"Delay",Table6[[#This Row],[Finish Date]]&lt;=Table6[[#This Row],[Target Date]],"On Time")</f>
        <v>On Time</v>
      </c>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row>
    <row r="425" spans="1:41" ht="21" hidden="1" customHeight="1">
      <c r="A425" s="27">
        <f>WEEKNUM(Table6[[#This Row],[Start Date]])</f>
        <v>20</v>
      </c>
      <c r="B425" s="27" t="str">
        <f>TEXT(Table6[[#This Row],[Start Date]],"mmm")</f>
        <v>May</v>
      </c>
      <c r="C425" s="27" t="str">
        <f>_xlfn.IFNA(INDEX(Refer!$B$5:$B$103,MATCH(Table6[[#This Row],[TASK]],Refer!$C$5:$C$103,0)),"")</f>
        <v>DFM Mold</v>
      </c>
      <c r="D425" s="93" t="s">
        <v>99</v>
      </c>
      <c r="E425" s="79" t="s">
        <v>481</v>
      </c>
      <c r="F425" s="82" t="s">
        <v>95</v>
      </c>
      <c r="G425" s="27" t="s">
        <v>479</v>
      </c>
      <c r="H425" s="41">
        <v>46155</v>
      </c>
      <c r="I425" s="41">
        <v>46155</v>
      </c>
      <c r="J425" s="41">
        <v>46155</v>
      </c>
      <c r="K425" s="27" t="str">
        <f>IF(Table6[[#This Row],[Finish Date]]=0,"On process","Close")</f>
        <v>Close</v>
      </c>
      <c r="L425" s="27" t="str">
        <f>IF(Table6[[#This Row],[Status]]="On process",IF($H$2&gt;Table6[[#This Row],[Target Date]],"Overdue","On time"),"Closed")</f>
        <v>Closed</v>
      </c>
      <c r="M425" s="27" t="str" cm="1">
        <f t="array" ref="M425">_xlfn.IFS(Table6[[#This Row],[Finish Date]]=0,"",Table6[[#This Row],[Finish Date]]&gt;Table6[[#This Row],[Target Date]],"Delay",Table6[[#This Row],[Finish Date]]&lt;=Table6[[#This Row],[Target Date]],"On Time")</f>
        <v>On Time</v>
      </c>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row>
    <row r="426" spans="1:41" ht="21" hidden="1" customHeight="1">
      <c r="A426" s="27">
        <f>WEEKNUM(Table6[[#This Row],[Start Date]])</f>
        <v>20</v>
      </c>
      <c r="B426" s="27" t="str">
        <f>TEXT(Table6[[#This Row],[Start Date]],"mmm")</f>
        <v>May</v>
      </c>
      <c r="C426" s="27" t="str">
        <f>_xlfn.IFNA(INDEX(Refer!$B$5:$B$103,MATCH(Table6[[#This Row],[TASK]],Refer!$C$5:$C$103,0)),"")</f>
        <v>DFM Mold</v>
      </c>
      <c r="D426" s="93" t="s">
        <v>91</v>
      </c>
      <c r="E426" s="79" t="s">
        <v>482</v>
      </c>
      <c r="F426" s="82" t="s">
        <v>134</v>
      </c>
      <c r="G426" s="27" t="s">
        <v>479</v>
      </c>
      <c r="H426" s="41">
        <v>46156</v>
      </c>
      <c r="I426" s="41">
        <v>46157</v>
      </c>
      <c r="J426" s="41">
        <v>46157</v>
      </c>
      <c r="K426" s="27" t="str">
        <f>IF(Table6[[#This Row],[Finish Date]]=0,"On process","Close")</f>
        <v>Close</v>
      </c>
      <c r="L426" s="27" t="str">
        <f>IF(Table6[[#This Row],[Status]]="On process",IF($H$2&gt;Table6[[#This Row],[Target Date]],"Overdue","On time"),"Closed")</f>
        <v>Closed</v>
      </c>
      <c r="M426" s="27" t="str" cm="1">
        <f t="array" ref="M426">_xlfn.IFS(Table6[[#This Row],[Finish Date]]=0,"",Table6[[#This Row],[Finish Date]]&gt;Table6[[#This Row],[Target Date]],"Delay",Table6[[#This Row],[Finish Date]]&lt;=Table6[[#This Row],[Target Date]],"On Time")</f>
        <v>On Time</v>
      </c>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row>
    <row r="427" spans="1:41" ht="21" hidden="1" customHeight="1">
      <c r="A427" s="27">
        <f>WEEKNUM(Table6[[#This Row],[Start Date]])</f>
        <v>20</v>
      </c>
      <c r="B427" s="27" t="str">
        <f>TEXT(Table6[[#This Row],[Start Date]],"mmm")</f>
        <v>May</v>
      </c>
      <c r="C427" s="27" t="str">
        <f>_xlfn.IFNA(INDEX(Refer!$B$5:$B$103,MATCH(Table6[[#This Row],[TASK]],Refer!$C$5:$C$103,0)),"")</f>
        <v>DFM Mold</v>
      </c>
      <c r="D427" s="93" t="s">
        <v>91</v>
      </c>
      <c r="E427" s="79" t="s">
        <v>483</v>
      </c>
      <c r="F427" s="82" t="s">
        <v>134</v>
      </c>
      <c r="G427" s="27" t="s">
        <v>479</v>
      </c>
      <c r="H427" s="41">
        <v>46156</v>
      </c>
      <c r="I427" s="41">
        <v>46157</v>
      </c>
      <c r="J427" s="41">
        <v>46157</v>
      </c>
      <c r="K427" s="27" t="str">
        <f>IF(Table6[[#This Row],[Finish Date]]=0,"On process","Close")</f>
        <v>Close</v>
      </c>
      <c r="L427" s="27" t="str">
        <f>IF(Table6[[#This Row],[Status]]="On process",IF($H$2&gt;Table6[[#This Row],[Target Date]],"Overdue","On time"),"Closed")</f>
        <v>Closed</v>
      </c>
      <c r="M427" s="27" t="str" cm="1">
        <f t="array" ref="M427">_xlfn.IFS(Table6[[#This Row],[Finish Date]]=0,"",Table6[[#This Row],[Finish Date]]&gt;Table6[[#This Row],[Target Date]],"Delay",Table6[[#This Row],[Finish Date]]&lt;=Table6[[#This Row],[Target Date]],"On Time")</f>
        <v>On Time</v>
      </c>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row>
    <row r="428" spans="1:41" ht="21" hidden="1" customHeight="1">
      <c r="A428" s="27">
        <f>WEEKNUM(Table6[[#This Row],[Start Date]])</f>
        <v>20</v>
      </c>
      <c r="B428" s="27" t="str">
        <f>TEXT(Table6[[#This Row],[Start Date]],"mmm")</f>
        <v>May</v>
      </c>
      <c r="C428" s="27" t="str">
        <f>_xlfn.IFNA(INDEX(Refer!$B$5:$B$103,MATCH(Table6[[#This Row],[TASK]],Refer!$C$5:$C$103,0)),"")</f>
        <v>DFM Mold</v>
      </c>
      <c r="D428" s="93" t="s">
        <v>99</v>
      </c>
      <c r="E428" s="79" t="s">
        <v>478</v>
      </c>
      <c r="F428" s="82" t="s">
        <v>95</v>
      </c>
      <c r="G428" s="27" t="s">
        <v>479</v>
      </c>
      <c r="H428" s="41">
        <v>46157</v>
      </c>
      <c r="I428" s="41">
        <v>46157</v>
      </c>
      <c r="J428" s="41">
        <v>46157</v>
      </c>
      <c r="K428" s="27" t="str">
        <f>IF(Table6[[#This Row],[Finish Date]]=0,"On process","Close")</f>
        <v>Close</v>
      </c>
      <c r="L428" s="27" t="str">
        <f>IF(Table6[[#This Row],[Status]]="On process",IF($H$2&gt;Table6[[#This Row],[Target Date]],"Overdue","On time"),"Closed")</f>
        <v>Closed</v>
      </c>
      <c r="M428" s="27" t="str" cm="1">
        <f t="array" ref="M428">_xlfn.IFS(Table6[[#This Row],[Finish Date]]=0,"",Table6[[#This Row],[Finish Date]]&gt;Table6[[#This Row],[Target Date]],"Delay",Table6[[#This Row],[Finish Date]]&lt;=Table6[[#This Row],[Target Date]],"On Time")</f>
        <v>On Time</v>
      </c>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row>
    <row r="429" spans="1:41" ht="21" hidden="1" customHeight="1">
      <c r="A429" s="27">
        <f>WEEKNUM(Table6[[#This Row],[Start Date]])</f>
        <v>21</v>
      </c>
      <c r="B429" s="27" t="str">
        <f>TEXT(Table6[[#This Row],[Start Date]],"mmm")</f>
        <v>May</v>
      </c>
      <c r="C429" s="27" t="str">
        <f>_xlfn.IFNA(INDEX(Refer!$B$5:$B$103,MATCH(Table6[[#This Row],[TASK]],Refer!$C$5:$C$103,0)),"")</f>
        <v>DFM Mold</v>
      </c>
      <c r="D429" s="93" t="s">
        <v>99</v>
      </c>
      <c r="E429" s="79" t="s">
        <v>484</v>
      </c>
      <c r="F429" s="82" t="s">
        <v>95</v>
      </c>
      <c r="G429" s="27" t="s">
        <v>479</v>
      </c>
      <c r="H429" s="41">
        <v>46160</v>
      </c>
      <c r="I429" s="41">
        <v>46160</v>
      </c>
      <c r="J429" s="41">
        <v>46160</v>
      </c>
      <c r="K429" s="27" t="str">
        <f>IF(Table6[[#This Row],[Finish Date]]=0,"On process","Close")</f>
        <v>Close</v>
      </c>
      <c r="L429" s="27" t="str">
        <f>IF(Table6[[#This Row],[Status]]="On process",IF($H$2&gt;Table6[[#This Row],[Target Date]],"Overdue","On time"),"Closed")</f>
        <v>Closed</v>
      </c>
      <c r="M429" s="27" t="str" cm="1">
        <f t="array" ref="M429">_xlfn.IFS(Table6[[#This Row],[Finish Date]]=0,"",Table6[[#This Row],[Finish Date]]&gt;Table6[[#This Row],[Target Date]],"Delay",Table6[[#This Row],[Finish Date]]&lt;=Table6[[#This Row],[Target Date]],"On Time")</f>
        <v>On Time</v>
      </c>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row>
    <row r="430" spans="1:41" ht="21" hidden="1" customHeight="1">
      <c r="A430" s="27">
        <f>WEEKNUM(Table6[[#This Row],[Start Date]])</f>
        <v>20</v>
      </c>
      <c r="B430" s="27" t="str">
        <f>TEXT(Table6[[#This Row],[Start Date]],"mmm")</f>
        <v>May</v>
      </c>
      <c r="C430" s="27" t="str">
        <f>_xlfn.IFNA(INDEX(Refer!$B$5:$B$103,MATCH(Table6[[#This Row],[TASK]],Refer!$C$5:$C$103,0)),"")</f>
        <v>RFQ</v>
      </c>
      <c r="D430" s="93" t="s">
        <v>123</v>
      </c>
      <c r="E430" s="79" t="s">
        <v>485</v>
      </c>
      <c r="F430" s="82" t="s">
        <v>198</v>
      </c>
      <c r="G430" s="27" t="s">
        <v>440</v>
      </c>
      <c r="H430" s="41">
        <v>46153</v>
      </c>
      <c r="I430" s="41">
        <v>46155</v>
      </c>
      <c r="J430" s="41">
        <v>46155</v>
      </c>
      <c r="K430" s="27" t="str">
        <f>IF(Table6[[#This Row],[Finish Date]]=0,"On process","Close")</f>
        <v>Close</v>
      </c>
      <c r="L430" s="27" t="str">
        <f>IF(Table6[[#This Row],[Status]]="On process",IF($H$2&gt;Table6[[#This Row],[Target Date]],"Overdue","On time"),"Closed")</f>
        <v>Closed</v>
      </c>
      <c r="M430" s="27" t="str" cm="1">
        <f t="array" ref="M430">_xlfn.IFS(Table6[[#This Row],[Finish Date]]=0,"",Table6[[#This Row],[Finish Date]]&gt;Table6[[#This Row],[Target Date]],"Delay",Table6[[#This Row],[Finish Date]]&lt;=Table6[[#This Row],[Target Date]],"On Time")</f>
        <v>On Time</v>
      </c>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row>
    <row r="431" spans="1:41" ht="21" hidden="1" customHeight="1">
      <c r="A431" s="27">
        <f>WEEKNUM(Table6[[#This Row],[Start Date]])</f>
        <v>20</v>
      </c>
      <c r="B431" s="27" t="str">
        <f>TEXT(Table6[[#This Row],[Start Date]],"mmm")</f>
        <v>May</v>
      </c>
      <c r="C431" s="27" t="str">
        <f>_xlfn.IFNA(INDEX(Refer!$B$5:$B$103,MATCH(Table6[[#This Row],[TASK]],Refer!$C$5:$C$103,0)),"")</f>
        <v>RFQ</v>
      </c>
      <c r="D431" s="93" t="s">
        <v>123</v>
      </c>
      <c r="E431" s="79" t="s">
        <v>486</v>
      </c>
      <c r="F431" s="82" t="s">
        <v>487</v>
      </c>
      <c r="G431" s="27" t="s">
        <v>440</v>
      </c>
      <c r="H431" s="41">
        <v>46154</v>
      </c>
      <c r="I431" s="41">
        <v>46156</v>
      </c>
      <c r="J431" s="41">
        <v>46156</v>
      </c>
      <c r="K431" s="27" t="str">
        <f>IF(Table6[[#This Row],[Finish Date]]=0,"On process","Close")</f>
        <v>Close</v>
      </c>
      <c r="L431" s="27" t="str">
        <f>IF(Table6[[#This Row],[Status]]="On process",IF($H$2&gt;Table6[[#This Row],[Target Date]],"Overdue","On time"),"Closed")</f>
        <v>Closed</v>
      </c>
      <c r="M431" s="27" t="str" cm="1">
        <f t="array" ref="M431">_xlfn.IFS(Table6[[#This Row],[Finish Date]]=0,"",Table6[[#This Row],[Finish Date]]&gt;Table6[[#This Row],[Target Date]],"Delay",Table6[[#This Row],[Finish Date]]&lt;=Table6[[#This Row],[Target Date]],"On Time")</f>
        <v>On Time</v>
      </c>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row>
    <row r="432" spans="1:41" ht="21" hidden="1" customHeight="1">
      <c r="A432" s="27">
        <f>WEEKNUM(Table6[[#This Row],[Start Date]])</f>
        <v>20</v>
      </c>
      <c r="B432" s="27" t="str">
        <f>TEXT(Table6[[#This Row],[Start Date]],"mmm")</f>
        <v>May</v>
      </c>
      <c r="C432" s="27" t="str">
        <f>_xlfn.IFNA(INDEX(Refer!$B$5:$B$103,MATCH(Table6[[#This Row],[TASK]],Refer!$C$5:$C$103,0)),"")</f>
        <v>PACKING</v>
      </c>
      <c r="D432" s="93" t="s">
        <v>112</v>
      </c>
      <c r="E432" s="79" t="s">
        <v>488</v>
      </c>
      <c r="F432" s="82" t="s">
        <v>114</v>
      </c>
      <c r="G432" s="27" t="s">
        <v>440</v>
      </c>
      <c r="H432" s="41">
        <v>46155</v>
      </c>
      <c r="I432" s="41">
        <v>46157</v>
      </c>
      <c r="J432" s="41">
        <v>46157</v>
      </c>
      <c r="K432" s="27" t="str">
        <f>IF(Table6[[#This Row],[Finish Date]]=0,"On process","Close")</f>
        <v>Close</v>
      </c>
      <c r="L432" s="27" t="str">
        <f>IF(Table6[[#This Row],[Status]]="On process",IF($H$2&gt;Table6[[#This Row],[Target Date]],"Overdue","On time"),"Closed")</f>
        <v>Closed</v>
      </c>
      <c r="M432" s="27" t="str" cm="1">
        <f t="array" ref="M432">_xlfn.IFS(Table6[[#This Row],[Finish Date]]=0,"",Table6[[#This Row],[Finish Date]]&gt;Table6[[#This Row],[Target Date]],"Delay",Table6[[#This Row],[Finish Date]]&lt;=Table6[[#This Row],[Target Date]],"On Time")</f>
        <v>On Time</v>
      </c>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row>
    <row r="433" spans="1:41" ht="21" hidden="1" customHeight="1">
      <c r="A433" s="27">
        <f>WEEKNUM(Table6[[#This Row],[Start Date]])</f>
        <v>21</v>
      </c>
      <c r="B433" s="27" t="str">
        <f>TEXT(Table6[[#This Row],[Start Date]],"mmm")</f>
        <v>May</v>
      </c>
      <c r="C433" s="27" t="str">
        <f>_xlfn.IFNA(INDEX(Refer!$B$5:$B$103,MATCH(Table6[[#This Row],[TASK]],Refer!$C$5:$C$103,0)),"")</f>
        <v>NPI</v>
      </c>
      <c r="D433" s="93" t="s">
        <v>61</v>
      </c>
      <c r="E433" s="79" t="s">
        <v>489</v>
      </c>
      <c r="F433" s="82" t="s">
        <v>206</v>
      </c>
      <c r="G433" s="27" t="s">
        <v>182</v>
      </c>
      <c r="H433" s="41">
        <v>46161</v>
      </c>
      <c r="I433" s="41">
        <v>46163</v>
      </c>
      <c r="J433" s="41">
        <v>46163</v>
      </c>
      <c r="K433" s="27" t="str">
        <f>IF(Table6[[#This Row],[Finish Date]]=0,"On process","Close")</f>
        <v>Close</v>
      </c>
      <c r="L433" s="27" t="str">
        <f>IF(Table6[[#This Row],[Status]]="On process",IF($H$2&gt;Table6[[#This Row],[Target Date]],"Overdue","On time"),"Closed")</f>
        <v>Closed</v>
      </c>
      <c r="M433" s="27" t="str" cm="1">
        <f t="array" ref="M433">_xlfn.IFS(Table6[[#This Row],[Finish Date]]=0,"",Table6[[#This Row],[Finish Date]]&gt;Table6[[#This Row],[Target Date]],"Delay",Table6[[#This Row],[Finish Date]]&lt;=Table6[[#This Row],[Target Date]],"On Time")</f>
        <v>On Time</v>
      </c>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row>
    <row r="434" spans="1:41" ht="21" hidden="1" customHeight="1">
      <c r="A434" s="27">
        <f>WEEKNUM(Table6[[#This Row],[Start Date]])</f>
        <v>21</v>
      </c>
      <c r="B434" s="27" t="str">
        <f>TEXT(Table6[[#This Row],[Start Date]],"mmm")</f>
        <v>May</v>
      </c>
      <c r="C434" s="27" t="str">
        <f>_xlfn.IFNA(INDEX(Refer!$B$5:$B$103,MATCH(Table6[[#This Row],[TASK]],Refer!$C$5:$C$103,0)),"")</f>
        <v>DFM Mold</v>
      </c>
      <c r="D434" s="93" t="s">
        <v>99</v>
      </c>
      <c r="E434" s="79" t="s">
        <v>490</v>
      </c>
      <c r="F434" s="82" t="s">
        <v>95</v>
      </c>
      <c r="G434" s="27" t="s">
        <v>182</v>
      </c>
      <c r="H434" s="41">
        <v>46163</v>
      </c>
      <c r="I434" s="41">
        <v>46163</v>
      </c>
      <c r="J434" s="41">
        <v>46163</v>
      </c>
      <c r="K434" s="27" t="str">
        <f>IF(Table6[[#This Row],[Finish Date]]=0,"On process","Close")</f>
        <v>Close</v>
      </c>
      <c r="L434" s="27" t="str">
        <f>IF(Table6[[#This Row],[Status]]="On process",IF($H$2&gt;Table6[[#This Row],[Target Date]],"Overdue","On time"),"Closed")</f>
        <v>Closed</v>
      </c>
      <c r="M434" s="27" t="str" cm="1">
        <f t="array" ref="M434">_xlfn.IFS(Table6[[#This Row],[Finish Date]]=0,"",Table6[[#This Row],[Finish Date]]&gt;Table6[[#This Row],[Target Date]],"Delay",Table6[[#This Row],[Finish Date]]&lt;=Table6[[#This Row],[Target Date]],"On Time")</f>
        <v>On Time</v>
      </c>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row>
    <row r="435" spans="1:41" ht="21" hidden="1" customHeight="1">
      <c r="A435" s="27">
        <f>WEEKNUM(Table6[[#This Row],[Start Date]])</f>
        <v>21</v>
      </c>
      <c r="B435" s="27" t="str">
        <f>TEXT(Table6[[#This Row],[Start Date]],"mmm")</f>
        <v>May</v>
      </c>
      <c r="C435" s="27" t="str">
        <f>_xlfn.IFNA(INDEX(Refer!$B$5:$B$103,MATCH(Table6[[#This Row],[TASK]],Refer!$C$5:$C$103,0)),"")</f>
        <v>MEETING</v>
      </c>
      <c r="D435" s="93" t="s">
        <v>72</v>
      </c>
      <c r="E435" s="79" t="s">
        <v>491</v>
      </c>
      <c r="F435" s="82" t="s">
        <v>492</v>
      </c>
      <c r="G435" s="27" t="s">
        <v>182</v>
      </c>
      <c r="H435" s="41">
        <v>46164</v>
      </c>
      <c r="I435" s="41">
        <v>46164</v>
      </c>
      <c r="J435" s="41">
        <v>46164</v>
      </c>
      <c r="K435" s="27" t="str">
        <f>IF(Table6[[#This Row],[Finish Date]]=0,"On process","Close")</f>
        <v>Close</v>
      </c>
      <c r="L435" s="27" t="str">
        <f>IF(Table6[[#This Row],[Status]]="On process",IF($H$2&gt;Table6[[#This Row],[Target Date]],"Overdue","On time"),"Closed")</f>
        <v>Closed</v>
      </c>
      <c r="M435" s="27" t="str" cm="1">
        <f t="array" ref="M435">_xlfn.IFS(Table6[[#This Row],[Finish Date]]=0,"",Table6[[#This Row],[Finish Date]]&gt;Table6[[#This Row],[Target Date]],"Delay",Table6[[#This Row],[Finish Date]]&lt;=Table6[[#This Row],[Target Date]],"On Time")</f>
        <v>On Time</v>
      </c>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row>
    <row r="436" spans="1:41" ht="21" hidden="1" customHeight="1">
      <c r="A436" s="27">
        <f>WEEKNUM(Table6[[#This Row],[Start Date]])</f>
        <v>21</v>
      </c>
      <c r="B436" s="27" t="str">
        <f>TEXT(Table6[[#This Row],[Start Date]],"mmm")</f>
        <v>May</v>
      </c>
      <c r="C436" s="27" t="str">
        <f>_xlfn.IFNA(INDEX(Refer!$B$5:$B$103,MATCH(Table6[[#This Row],[TASK]],Refer!$C$5:$C$103,0)),"")</f>
        <v>DFM Mold</v>
      </c>
      <c r="D436" s="93" t="s">
        <v>99</v>
      </c>
      <c r="E436" s="79" t="s">
        <v>484</v>
      </c>
      <c r="F436" s="82" t="s">
        <v>95</v>
      </c>
      <c r="G436" s="27" t="s">
        <v>64</v>
      </c>
      <c r="H436" s="41">
        <v>46160</v>
      </c>
      <c r="I436" s="41">
        <v>46160</v>
      </c>
      <c r="J436" s="41">
        <v>46160</v>
      </c>
      <c r="K436" s="27" t="str">
        <f>IF(Table6[[#This Row],[Finish Date]]=0,"On process","Close")</f>
        <v>Close</v>
      </c>
      <c r="L436" s="27" t="str">
        <f>IF(Table6[[#This Row],[Status]]="On process",IF($H$2&gt;Table6[[#This Row],[Target Date]],"Overdue","On time"),"Closed")</f>
        <v>Closed</v>
      </c>
      <c r="M436" s="27" t="str" cm="1">
        <f t="array" ref="M436">_xlfn.IFS(Table6[[#This Row],[Finish Date]]=0,"",Table6[[#This Row],[Finish Date]]&gt;Table6[[#This Row],[Target Date]],"Delay",Table6[[#This Row],[Finish Date]]&lt;=Table6[[#This Row],[Target Date]],"On Time")</f>
        <v>On Time</v>
      </c>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row>
    <row r="437" spans="1:41" ht="21" hidden="1" customHeight="1">
      <c r="A437" s="27">
        <f>WEEKNUM(Table6[[#This Row],[Start Date]])</f>
        <v>21</v>
      </c>
      <c r="B437" s="27" t="str">
        <f>TEXT(Table6[[#This Row],[Start Date]],"mmm")</f>
        <v>May</v>
      </c>
      <c r="C437" s="27" t="str">
        <f>_xlfn.IFNA(INDEX(Refer!$B$5:$B$103,MATCH(Table6[[#This Row],[TASK]],Refer!$C$5:$C$103,0)),"")</f>
        <v>MEETING</v>
      </c>
      <c r="D437" s="93" t="s">
        <v>72</v>
      </c>
      <c r="E437" s="79" t="s">
        <v>493</v>
      </c>
      <c r="F437" s="82" t="s">
        <v>66</v>
      </c>
      <c r="G437" s="27" t="s">
        <v>64</v>
      </c>
      <c r="H437" s="41">
        <v>46160</v>
      </c>
      <c r="I437" s="41">
        <v>46160</v>
      </c>
      <c r="J437" s="41">
        <v>46160</v>
      </c>
      <c r="K437" s="27" t="str">
        <f>IF(Table6[[#This Row],[Finish Date]]=0,"On process","Close")</f>
        <v>Close</v>
      </c>
      <c r="L437" s="27" t="str">
        <f>IF(Table6[[#This Row],[Status]]="On process",IF($H$2&gt;Table6[[#This Row],[Target Date]],"Overdue","On time"),"Closed")</f>
        <v>Closed</v>
      </c>
      <c r="M437" s="27" t="str" cm="1">
        <f t="array" ref="M437">_xlfn.IFS(Table6[[#This Row],[Finish Date]]=0,"",Table6[[#This Row],[Finish Date]]&gt;Table6[[#This Row],[Target Date]],"Delay",Table6[[#This Row],[Finish Date]]&lt;=Table6[[#This Row],[Target Date]],"On Time")</f>
        <v>On Time</v>
      </c>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row>
    <row r="438" spans="1:41" ht="31.5" hidden="1">
      <c r="A438" s="27">
        <f>WEEKNUM(Table6[[#This Row],[Start Date]])</f>
        <v>21</v>
      </c>
      <c r="B438" s="27" t="str">
        <f>TEXT(Table6[[#This Row],[Start Date]],"mmm")</f>
        <v>May</v>
      </c>
      <c r="C438" s="27" t="str">
        <f>_xlfn.IFNA(INDEX(Refer!$B$5:$B$103,MATCH(Table6[[#This Row],[TASK]],Refer!$C$5:$C$103,0)),"")</f>
        <v>DFM Mold</v>
      </c>
      <c r="D438" s="93" t="s">
        <v>227</v>
      </c>
      <c r="E438" s="79" t="s">
        <v>494</v>
      </c>
      <c r="F438" s="82" t="s">
        <v>66</v>
      </c>
      <c r="G438" s="27" t="s">
        <v>64</v>
      </c>
      <c r="H438" s="41">
        <v>46160</v>
      </c>
      <c r="I438" s="41">
        <v>46161</v>
      </c>
      <c r="J438" s="41">
        <v>46161</v>
      </c>
      <c r="K438" s="27" t="str">
        <f>IF(Table6[[#This Row],[Finish Date]]=0,"On process","Close")</f>
        <v>Close</v>
      </c>
      <c r="L438" s="27" t="str">
        <f>IF(Table6[[#This Row],[Status]]="On process",IF($H$2&gt;Table6[[#This Row],[Target Date]],"Overdue","On time"),"Closed")</f>
        <v>Closed</v>
      </c>
      <c r="M438" s="27" t="str" cm="1">
        <f t="array" ref="M438">_xlfn.IFS(Table6[[#This Row],[Finish Date]]=0,"",Table6[[#This Row],[Finish Date]]&gt;Table6[[#This Row],[Target Date]],"Delay",Table6[[#This Row],[Finish Date]]&lt;=Table6[[#This Row],[Target Date]],"On Time")</f>
        <v>On Time</v>
      </c>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row>
    <row r="439" spans="1:41" ht="21" hidden="1" customHeight="1">
      <c r="A439" s="27">
        <f>WEEKNUM(Table6[[#This Row],[Start Date]])</f>
        <v>21</v>
      </c>
      <c r="B439" s="27" t="str">
        <f>TEXT(Table6[[#This Row],[Start Date]],"mmm")</f>
        <v>May</v>
      </c>
      <c r="C439" s="27" t="str">
        <f>_xlfn.IFNA(INDEX(Refer!$B$5:$B$103,MATCH(Table6[[#This Row],[TASK]],Refer!$C$5:$C$103,0)),"")</f>
        <v>PACKING</v>
      </c>
      <c r="D439" s="93" t="s">
        <v>120</v>
      </c>
      <c r="E439" s="79" t="s">
        <v>495</v>
      </c>
      <c r="F439" s="82" t="s">
        <v>95</v>
      </c>
      <c r="G439" s="27" t="s">
        <v>64</v>
      </c>
      <c r="H439" s="41">
        <v>46160</v>
      </c>
      <c r="I439" s="41">
        <v>46161</v>
      </c>
      <c r="J439" s="41">
        <v>46161</v>
      </c>
      <c r="K439" s="27" t="str">
        <f>IF(Table6[[#This Row],[Finish Date]]=0,"On process","Close")</f>
        <v>Close</v>
      </c>
      <c r="L439" s="27" t="str">
        <f>IF(Table6[[#This Row],[Status]]="On process",IF($H$2&gt;Table6[[#This Row],[Target Date]],"Overdue","On time"),"Closed")</f>
        <v>Closed</v>
      </c>
      <c r="M439" s="27" t="str" cm="1">
        <f t="array" ref="M439">_xlfn.IFS(Table6[[#This Row],[Finish Date]]=0,"",Table6[[#This Row],[Finish Date]]&gt;Table6[[#This Row],[Target Date]],"Delay",Table6[[#This Row],[Finish Date]]&lt;=Table6[[#This Row],[Target Date]],"On Time")</f>
        <v>On Time</v>
      </c>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row>
    <row r="440" spans="1:41" ht="21" hidden="1" customHeight="1">
      <c r="A440" s="27">
        <f>WEEKNUM(Table6[[#This Row],[Start Date]])</f>
        <v>21</v>
      </c>
      <c r="B440" s="27" t="str">
        <f>TEXT(Table6[[#This Row],[Start Date]],"mmm")</f>
        <v>May</v>
      </c>
      <c r="C440" s="27" t="str">
        <f>_xlfn.IFNA(INDEX(Refer!$B$5:$B$103,MATCH(Table6[[#This Row],[TASK]],Refer!$C$5:$C$103,0)),"")</f>
        <v>PACKING</v>
      </c>
      <c r="D440" s="93" t="s">
        <v>120</v>
      </c>
      <c r="E440" s="79" t="s">
        <v>496</v>
      </c>
      <c r="F440" s="82" t="s">
        <v>149</v>
      </c>
      <c r="G440" s="27" t="s">
        <v>64</v>
      </c>
      <c r="H440" s="41">
        <v>46160</v>
      </c>
      <c r="I440" s="41">
        <v>46161</v>
      </c>
      <c r="J440" s="41">
        <v>46161</v>
      </c>
      <c r="K440" s="27" t="str">
        <f>IF(Table6[[#This Row],[Finish Date]]=0,"On process","Close")</f>
        <v>Close</v>
      </c>
      <c r="L440" s="27" t="str">
        <f>IF(Table6[[#This Row],[Status]]="On process",IF($H$2&gt;Table6[[#This Row],[Target Date]],"Overdue","On time"),"Closed")</f>
        <v>Closed</v>
      </c>
      <c r="M440" s="27" t="str" cm="1">
        <f t="array" ref="M440">_xlfn.IFS(Table6[[#This Row],[Finish Date]]=0,"",Table6[[#This Row],[Finish Date]]&gt;Table6[[#This Row],[Target Date]],"Delay",Table6[[#This Row],[Finish Date]]&lt;=Table6[[#This Row],[Target Date]],"On Time")</f>
        <v>On Time</v>
      </c>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row>
    <row r="441" spans="1:41" ht="21" hidden="1" customHeight="1">
      <c r="A441" s="27">
        <f>WEEKNUM(Table6[[#This Row],[Start Date]])</f>
        <v>21</v>
      </c>
      <c r="B441" s="27" t="str">
        <f>TEXT(Table6[[#This Row],[Start Date]],"mmm")</f>
        <v>May</v>
      </c>
      <c r="C441" s="27" t="str">
        <f>_xlfn.IFNA(INDEX(Refer!$B$5:$B$103,MATCH(Table6[[#This Row],[TASK]],Refer!$C$5:$C$103,0)),"")</f>
        <v>PACKING</v>
      </c>
      <c r="D441" s="93" t="s">
        <v>120</v>
      </c>
      <c r="E441" s="79" t="s">
        <v>497</v>
      </c>
      <c r="F441" s="82" t="s">
        <v>366</v>
      </c>
      <c r="G441" s="27" t="s">
        <v>64</v>
      </c>
      <c r="H441" s="41">
        <v>46162</v>
      </c>
      <c r="I441" s="41">
        <v>46162</v>
      </c>
      <c r="J441" s="41">
        <v>46162</v>
      </c>
      <c r="K441" s="27" t="str">
        <f>IF(Table6[[#This Row],[Finish Date]]=0,"On process","Close")</f>
        <v>Close</v>
      </c>
      <c r="L441" s="27" t="str">
        <f>IF(Table6[[#This Row],[Status]]="On process",IF($H$2&gt;Table6[[#This Row],[Target Date]],"Overdue","On time"),"Closed")</f>
        <v>Closed</v>
      </c>
      <c r="M441" s="27" t="str" cm="1">
        <f t="array" ref="M441">_xlfn.IFS(Table6[[#This Row],[Finish Date]]=0,"",Table6[[#This Row],[Finish Date]]&gt;Table6[[#This Row],[Target Date]],"Delay",Table6[[#This Row],[Finish Date]]&lt;=Table6[[#This Row],[Target Date]],"On Time")</f>
        <v>On Time</v>
      </c>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row>
    <row r="442" spans="1:41" ht="21" hidden="1" customHeight="1">
      <c r="A442" s="27">
        <f>WEEKNUM(Table6[[#This Row],[Start Date]])</f>
        <v>21</v>
      </c>
      <c r="B442" s="27" t="str">
        <f>TEXT(Table6[[#This Row],[Start Date]],"mmm")</f>
        <v>May</v>
      </c>
      <c r="C442" s="27" t="str">
        <f>_xlfn.IFNA(INDEX(Refer!$B$5:$B$103,MATCH(Table6[[#This Row],[TASK]],Refer!$C$5:$C$103,0)),"")</f>
        <v>PACKING</v>
      </c>
      <c r="D442" s="93" t="s">
        <v>120</v>
      </c>
      <c r="E442" s="79" t="s">
        <v>498</v>
      </c>
      <c r="F442" s="82" t="s">
        <v>366</v>
      </c>
      <c r="G442" s="27" t="s">
        <v>64</v>
      </c>
      <c r="H442" s="41">
        <v>46162</v>
      </c>
      <c r="I442" s="41">
        <v>46162</v>
      </c>
      <c r="J442" s="41">
        <v>46162</v>
      </c>
      <c r="K442" s="27" t="str">
        <f>IF(Table6[[#This Row],[Finish Date]]=0,"On process","Close")</f>
        <v>Close</v>
      </c>
      <c r="L442" s="27" t="str">
        <f>IF(Table6[[#This Row],[Status]]="On process",IF($H$2&gt;Table6[[#This Row],[Target Date]],"Overdue","On time"),"Closed")</f>
        <v>Closed</v>
      </c>
      <c r="M442" s="27" t="str" cm="1">
        <f t="array" ref="M442">_xlfn.IFS(Table6[[#This Row],[Finish Date]]=0,"",Table6[[#This Row],[Finish Date]]&gt;Table6[[#This Row],[Target Date]],"Delay",Table6[[#This Row],[Finish Date]]&lt;=Table6[[#This Row],[Target Date]],"On Time")</f>
        <v>On Time</v>
      </c>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row>
    <row r="443" spans="1:41" ht="21" hidden="1" customHeight="1">
      <c r="A443" s="27">
        <f>WEEKNUM(Table6[[#This Row],[Start Date]])</f>
        <v>21</v>
      </c>
      <c r="B443" s="27" t="str">
        <f>TEXT(Table6[[#This Row],[Start Date]],"mmm")</f>
        <v>May</v>
      </c>
      <c r="C443" s="27" t="str">
        <f>_xlfn.IFNA(INDEX(Refer!$B$5:$B$103,MATCH(Table6[[#This Row],[TASK]],Refer!$C$5:$C$103,0)),"")</f>
        <v>PACKING</v>
      </c>
      <c r="D443" s="93" t="s">
        <v>120</v>
      </c>
      <c r="E443" s="79" t="s">
        <v>499</v>
      </c>
      <c r="F443" s="82" t="s">
        <v>95</v>
      </c>
      <c r="G443" s="27" t="s">
        <v>64</v>
      </c>
      <c r="H443" s="41">
        <v>46162</v>
      </c>
      <c r="I443" s="41">
        <v>46162</v>
      </c>
      <c r="J443" s="41">
        <v>46162</v>
      </c>
      <c r="K443" s="27" t="str">
        <f>IF(Table6[[#This Row],[Finish Date]]=0,"On process","Close")</f>
        <v>Close</v>
      </c>
      <c r="L443" s="27" t="str">
        <f>IF(Table6[[#This Row],[Status]]="On process",IF($H$2&gt;Table6[[#This Row],[Target Date]],"Overdue","On time"),"Closed")</f>
        <v>Closed</v>
      </c>
      <c r="M443" s="27" t="str" cm="1">
        <f t="array" ref="M443">_xlfn.IFS(Table6[[#This Row],[Finish Date]]=0,"",Table6[[#This Row],[Finish Date]]&gt;Table6[[#This Row],[Target Date]],"Delay",Table6[[#This Row],[Finish Date]]&lt;=Table6[[#This Row],[Target Date]],"On Time")</f>
        <v>On Time</v>
      </c>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row>
    <row r="444" spans="1:41" ht="21" hidden="1" customHeight="1">
      <c r="A444" s="27">
        <f>WEEKNUM(Table6[[#This Row],[Start Date]])</f>
        <v>21</v>
      </c>
      <c r="B444" s="27" t="str">
        <f>TEXT(Table6[[#This Row],[Start Date]],"mmm")</f>
        <v>May</v>
      </c>
      <c r="C444" s="27" t="str">
        <f>_xlfn.IFNA(INDEX(Refer!$B$5:$B$103,MATCH(Table6[[#This Row],[TASK]],Refer!$C$5:$C$103,0)),"")</f>
        <v>NPI</v>
      </c>
      <c r="D444" s="93" t="s">
        <v>61</v>
      </c>
      <c r="E444" s="79" t="s">
        <v>500</v>
      </c>
      <c r="F444" s="82" t="s">
        <v>63</v>
      </c>
      <c r="G444" s="27" t="s">
        <v>64</v>
      </c>
      <c r="H444" s="41">
        <v>46162</v>
      </c>
      <c r="I444" s="41">
        <v>46162</v>
      </c>
      <c r="J444" s="41">
        <v>46162</v>
      </c>
      <c r="K444" s="27" t="str">
        <f>IF(Table6[[#This Row],[Finish Date]]=0,"On process","Close")</f>
        <v>Close</v>
      </c>
      <c r="L444" s="27" t="str">
        <f>IF(Table6[[#This Row],[Status]]="On process",IF($H$2&gt;Table6[[#This Row],[Target Date]],"Overdue","On time"),"Closed")</f>
        <v>Closed</v>
      </c>
      <c r="M444" s="27" t="str" cm="1">
        <f t="array" ref="M444">_xlfn.IFS(Table6[[#This Row],[Finish Date]]=0,"",Table6[[#This Row],[Finish Date]]&gt;Table6[[#This Row],[Target Date]],"Delay",Table6[[#This Row],[Finish Date]]&lt;=Table6[[#This Row],[Target Date]],"On Time")</f>
        <v>On Time</v>
      </c>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row>
    <row r="445" spans="1:41" ht="21" hidden="1" customHeight="1">
      <c r="A445" s="27">
        <f>WEEKNUM(Table6[[#This Row],[Start Date]])</f>
        <v>21</v>
      </c>
      <c r="B445" s="27" t="str">
        <f>TEXT(Table6[[#This Row],[Start Date]],"mmm")</f>
        <v>May</v>
      </c>
      <c r="C445" s="27" t="str">
        <f>_xlfn.IFNA(INDEX(Refer!$B$5:$B$103,MATCH(Table6[[#This Row],[TASK]],Refer!$C$5:$C$103,0)),"")</f>
        <v>PACKING</v>
      </c>
      <c r="D445" s="93" t="s">
        <v>120</v>
      </c>
      <c r="E445" s="79" t="s">
        <v>501</v>
      </c>
      <c r="F445" s="82" t="s">
        <v>149</v>
      </c>
      <c r="G445" s="27" t="s">
        <v>64</v>
      </c>
      <c r="H445" s="41">
        <v>46163</v>
      </c>
      <c r="I445" s="41">
        <v>46163</v>
      </c>
      <c r="J445" s="41">
        <v>46163</v>
      </c>
      <c r="K445" s="27" t="str">
        <f>IF(Table6[[#This Row],[Finish Date]]=0,"On process","Close")</f>
        <v>Close</v>
      </c>
      <c r="L445" s="27" t="str">
        <f>IF(Table6[[#This Row],[Status]]="On process",IF($H$2&gt;Table6[[#This Row],[Target Date]],"Overdue","On time"),"Closed")</f>
        <v>Closed</v>
      </c>
      <c r="M445" s="27" t="str" cm="1">
        <f t="array" ref="M445">_xlfn.IFS(Table6[[#This Row],[Finish Date]]=0,"",Table6[[#This Row],[Finish Date]]&gt;Table6[[#This Row],[Target Date]],"Delay",Table6[[#This Row],[Finish Date]]&lt;=Table6[[#This Row],[Target Date]],"On Time")</f>
        <v>On Time</v>
      </c>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row>
    <row r="446" spans="1:41" ht="21" hidden="1" customHeight="1">
      <c r="A446" s="27">
        <f>WEEKNUM(Table6[[#This Row],[Start Date]])</f>
        <v>21</v>
      </c>
      <c r="B446" s="27" t="str">
        <f>TEXT(Table6[[#This Row],[Start Date]],"mmm")</f>
        <v>May</v>
      </c>
      <c r="C446" s="27" t="str">
        <f>_xlfn.IFNA(INDEX(Refer!$B$5:$B$103,MATCH(Table6[[#This Row],[TASK]],Refer!$C$5:$C$103,0)),"")</f>
        <v>PACKING</v>
      </c>
      <c r="D446" s="93" t="s">
        <v>120</v>
      </c>
      <c r="E446" s="79" t="s">
        <v>502</v>
      </c>
      <c r="F446" s="82" t="s">
        <v>149</v>
      </c>
      <c r="G446" s="27" t="s">
        <v>64</v>
      </c>
      <c r="H446" s="41">
        <v>46163</v>
      </c>
      <c r="I446" s="41">
        <v>46163</v>
      </c>
      <c r="J446" s="41">
        <v>46163</v>
      </c>
      <c r="K446" s="27" t="str">
        <f>IF(Table6[[#This Row],[Finish Date]]=0,"On process","Close")</f>
        <v>Close</v>
      </c>
      <c r="L446" s="27" t="str">
        <f>IF(Table6[[#This Row],[Status]]="On process",IF($H$2&gt;Table6[[#This Row],[Target Date]],"Overdue","On time"),"Closed")</f>
        <v>Closed</v>
      </c>
      <c r="M446" s="27" t="str" cm="1">
        <f t="array" ref="M446">_xlfn.IFS(Table6[[#This Row],[Finish Date]]=0,"",Table6[[#This Row],[Finish Date]]&gt;Table6[[#This Row],[Target Date]],"Delay",Table6[[#This Row],[Finish Date]]&lt;=Table6[[#This Row],[Target Date]],"On Time")</f>
        <v>On Time</v>
      </c>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row>
    <row r="447" spans="1:41" ht="21" hidden="1" customHeight="1">
      <c r="A447" s="27">
        <f>WEEKNUM(Table6[[#This Row],[Start Date]])</f>
        <v>21</v>
      </c>
      <c r="B447" s="27" t="str">
        <f>TEXT(Table6[[#This Row],[Start Date]],"mmm")</f>
        <v>May</v>
      </c>
      <c r="C447" s="27" t="str">
        <f>_xlfn.IFNA(INDEX(Refer!$B$5:$B$103,MATCH(Table6[[#This Row],[TASK]],Refer!$C$5:$C$103,0)),"")</f>
        <v>PACKING</v>
      </c>
      <c r="D447" s="93" t="s">
        <v>120</v>
      </c>
      <c r="E447" s="79" t="s">
        <v>503</v>
      </c>
      <c r="F447" s="82" t="s">
        <v>149</v>
      </c>
      <c r="G447" s="27" t="s">
        <v>64</v>
      </c>
      <c r="H447" s="41">
        <v>46163</v>
      </c>
      <c r="I447" s="41">
        <v>46163</v>
      </c>
      <c r="J447" s="41">
        <v>46163</v>
      </c>
      <c r="K447" s="27" t="str">
        <f>IF(Table6[[#This Row],[Finish Date]]=0,"On process","Close")</f>
        <v>Close</v>
      </c>
      <c r="L447" s="27" t="str">
        <f>IF(Table6[[#This Row],[Status]]="On process",IF($H$2&gt;Table6[[#This Row],[Target Date]],"Overdue","On time"),"Closed")</f>
        <v>Closed</v>
      </c>
      <c r="M447" s="27" t="str" cm="1">
        <f t="array" ref="M447">_xlfn.IFS(Table6[[#This Row],[Finish Date]]=0,"",Table6[[#This Row],[Finish Date]]&gt;Table6[[#This Row],[Target Date]],"Delay",Table6[[#This Row],[Finish Date]]&lt;=Table6[[#This Row],[Target Date]],"On Time")</f>
        <v>On Time</v>
      </c>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row>
    <row r="448" spans="1:41" ht="21" hidden="1" customHeight="1">
      <c r="A448" s="27">
        <f>WEEKNUM(Table6[[#This Row],[Start Date]])</f>
        <v>21</v>
      </c>
      <c r="B448" s="27" t="str">
        <f>TEXT(Table6[[#This Row],[Start Date]],"mmm")</f>
        <v>May</v>
      </c>
      <c r="C448" s="27" t="str">
        <f>_xlfn.IFNA(INDEX(Refer!$B$5:$B$103,MATCH(Table6[[#This Row],[TASK]],Refer!$C$5:$C$103,0)),"")</f>
        <v>DFM Mold</v>
      </c>
      <c r="D448" s="93" t="s">
        <v>99</v>
      </c>
      <c r="E448" s="79" t="s">
        <v>490</v>
      </c>
      <c r="F448" s="82" t="s">
        <v>95</v>
      </c>
      <c r="G448" s="27" t="s">
        <v>64</v>
      </c>
      <c r="H448" s="41">
        <v>46163</v>
      </c>
      <c r="I448" s="41">
        <v>46163</v>
      </c>
      <c r="J448" s="41">
        <v>46163</v>
      </c>
      <c r="K448" s="27" t="str">
        <f>IF(Table6[[#This Row],[Finish Date]]=0,"On process","Close")</f>
        <v>Close</v>
      </c>
      <c r="L448" s="27" t="str">
        <f>IF(Table6[[#This Row],[Status]]="On process",IF($H$2&gt;Table6[[#This Row],[Target Date]],"Overdue","On time"),"Closed")</f>
        <v>Closed</v>
      </c>
      <c r="M448" s="27" t="str" cm="1">
        <f t="array" ref="M448">_xlfn.IFS(Table6[[#This Row],[Finish Date]]=0,"",Table6[[#This Row],[Finish Date]]&gt;Table6[[#This Row],[Target Date]],"Delay",Table6[[#This Row],[Finish Date]]&lt;=Table6[[#This Row],[Target Date]],"On Time")</f>
        <v>On Time</v>
      </c>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row>
    <row r="449" spans="1:41" ht="21" hidden="1" customHeight="1">
      <c r="A449" s="27">
        <f>WEEKNUM(Table6[[#This Row],[Start Date]])</f>
        <v>21</v>
      </c>
      <c r="B449" s="27" t="str">
        <f>TEXT(Table6[[#This Row],[Start Date]],"mmm")</f>
        <v>May</v>
      </c>
      <c r="C449" s="27" t="str">
        <f>_xlfn.IFNA(INDEX(Refer!$B$5:$B$103,MATCH(Table6[[#This Row],[TASK]],Refer!$C$5:$C$103,0)),"")</f>
        <v>PROJECT</v>
      </c>
      <c r="D449" s="93" t="s">
        <v>504</v>
      </c>
      <c r="E449" s="79" t="s">
        <v>505</v>
      </c>
      <c r="F449" s="82" t="s">
        <v>63</v>
      </c>
      <c r="G449" s="27" t="s">
        <v>64</v>
      </c>
      <c r="H449" s="41">
        <v>46162</v>
      </c>
      <c r="I449" s="41">
        <v>46163</v>
      </c>
      <c r="J449" s="41">
        <v>46163</v>
      </c>
      <c r="K449" s="27" t="str">
        <f>IF(Table6[[#This Row],[Finish Date]]=0,"On process","Close")</f>
        <v>Close</v>
      </c>
      <c r="L449" s="27" t="str">
        <f>IF(Table6[[#This Row],[Status]]="On process",IF($H$2&gt;Table6[[#This Row],[Target Date]],"Overdue","On time"),"Closed")</f>
        <v>Closed</v>
      </c>
      <c r="M449" s="27" t="str" cm="1">
        <f t="array" ref="M449">_xlfn.IFS(Table6[[#This Row],[Finish Date]]=0,"",Table6[[#This Row],[Finish Date]]&gt;Table6[[#This Row],[Target Date]],"Delay",Table6[[#This Row],[Finish Date]]&lt;=Table6[[#This Row],[Target Date]],"On Time")</f>
        <v>On Time</v>
      </c>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row>
    <row r="450" spans="1:41" ht="21" hidden="1" customHeight="1">
      <c r="A450" s="27">
        <f>WEEKNUM(Table6[[#This Row],[Start Date]])</f>
        <v>21</v>
      </c>
      <c r="B450" s="27" t="str">
        <f>TEXT(Table6[[#This Row],[Start Date]],"mmm")</f>
        <v>May</v>
      </c>
      <c r="C450" s="27" t="str">
        <f>_xlfn.IFNA(INDEX(Refer!$B$5:$B$103,MATCH(Table6[[#This Row],[TASK]],Refer!$C$5:$C$103,0)),"")</f>
        <v>PACKING</v>
      </c>
      <c r="D450" s="93" t="s">
        <v>120</v>
      </c>
      <c r="E450" s="79" t="s">
        <v>506</v>
      </c>
      <c r="F450" s="82" t="s">
        <v>149</v>
      </c>
      <c r="G450" s="27" t="s">
        <v>64</v>
      </c>
      <c r="H450" s="41">
        <v>46164</v>
      </c>
      <c r="I450" s="41">
        <v>46164</v>
      </c>
      <c r="J450" s="41">
        <v>46164</v>
      </c>
      <c r="K450" s="27" t="str">
        <f>IF(Table6[[#This Row],[Finish Date]]=0,"On process","Close")</f>
        <v>Close</v>
      </c>
      <c r="L450" s="27" t="str">
        <f>IF(Table6[[#This Row],[Status]]="On process",IF($H$2&gt;Table6[[#This Row],[Target Date]],"Overdue","On time"),"Closed")</f>
        <v>Closed</v>
      </c>
      <c r="M450" s="27" t="str" cm="1">
        <f t="array" ref="M450">_xlfn.IFS(Table6[[#This Row],[Finish Date]]=0,"",Table6[[#This Row],[Finish Date]]&gt;Table6[[#This Row],[Target Date]],"Delay",Table6[[#This Row],[Finish Date]]&lt;=Table6[[#This Row],[Target Date]],"On Time")</f>
        <v>On Time</v>
      </c>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row>
    <row r="451" spans="1:41" ht="21" hidden="1" customHeight="1">
      <c r="A451" s="27">
        <f>WEEKNUM(Table6[[#This Row],[Start Date]])</f>
        <v>21</v>
      </c>
      <c r="B451" s="27" t="str">
        <f>TEXT(Table6[[#This Row],[Start Date]],"mmm")</f>
        <v>May</v>
      </c>
      <c r="C451" s="27" t="str">
        <f>_xlfn.IFNA(INDEX(Refer!$B$5:$B$103,MATCH(Table6[[#This Row],[TASK]],Refer!$C$5:$C$103,0)),"")</f>
        <v>PACKING</v>
      </c>
      <c r="D451" s="93" t="s">
        <v>120</v>
      </c>
      <c r="E451" s="79" t="s">
        <v>507</v>
      </c>
      <c r="F451" s="82" t="s">
        <v>407</v>
      </c>
      <c r="G451" s="27" t="s">
        <v>64</v>
      </c>
      <c r="H451" s="41">
        <v>46164</v>
      </c>
      <c r="I451" s="41">
        <v>46164</v>
      </c>
      <c r="J451" s="41">
        <v>46164</v>
      </c>
      <c r="K451" s="27" t="str">
        <f>IF(Table6[[#This Row],[Finish Date]]=0,"On process","Close")</f>
        <v>Close</v>
      </c>
      <c r="L451" s="27" t="str">
        <f>IF(Table6[[#This Row],[Status]]="On process",IF($H$2&gt;Table6[[#This Row],[Target Date]],"Overdue","On time"),"Closed")</f>
        <v>Closed</v>
      </c>
      <c r="M451" s="27" t="str" cm="1">
        <f t="array" ref="M451">_xlfn.IFS(Table6[[#This Row],[Finish Date]]=0,"",Table6[[#This Row],[Finish Date]]&gt;Table6[[#This Row],[Target Date]],"Delay",Table6[[#This Row],[Finish Date]]&lt;=Table6[[#This Row],[Target Date]],"On Time")</f>
        <v>On Time</v>
      </c>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row>
    <row r="452" spans="1:41" ht="31.5" hidden="1">
      <c r="A452" s="27">
        <f>WEEKNUM(Table6[[#This Row],[Start Date]])</f>
        <v>21</v>
      </c>
      <c r="B452" s="27" t="str">
        <f>TEXT(Table6[[#This Row],[Start Date]],"mmm")</f>
        <v>May</v>
      </c>
      <c r="C452" s="27" t="str">
        <f>_xlfn.IFNA(INDEX(Refer!$B$5:$B$103,MATCH(Table6[[#This Row],[TASK]],Refer!$C$5:$C$103,0)),"")</f>
        <v>DFM Mold</v>
      </c>
      <c r="D452" s="93" t="s">
        <v>227</v>
      </c>
      <c r="E452" s="79" t="s">
        <v>508</v>
      </c>
      <c r="F452" s="82" t="s">
        <v>134</v>
      </c>
      <c r="G452" s="27" t="s">
        <v>479</v>
      </c>
      <c r="H452" s="41">
        <v>46160</v>
      </c>
      <c r="I452" s="41">
        <v>46161</v>
      </c>
      <c r="J452" s="41">
        <v>46161</v>
      </c>
      <c r="K452" s="27" t="str">
        <f>IF(Table6[[#This Row],[Finish Date]]=0,"On process","Close")</f>
        <v>Close</v>
      </c>
      <c r="L452" s="27" t="str">
        <f>IF(Table6[[#This Row],[Status]]="On process",IF($H$2&gt;Table6[[#This Row],[Target Date]],"Overdue","On time"),"Closed")</f>
        <v>Closed</v>
      </c>
      <c r="M452" s="27" t="str" cm="1">
        <f t="array" ref="M452">_xlfn.IFS(Table6[[#This Row],[Finish Date]]=0,"",Table6[[#This Row],[Finish Date]]&gt;Table6[[#This Row],[Target Date]],"Delay",Table6[[#This Row],[Finish Date]]&lt;=Table6[[#This Row],[Target Date]],"On Time")</f>
        <v>On Time</v>
      </c>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row>
    <row r="453" spans="1:41" ht="31.5" hidden="1">
      <c r="A453" s="27">
        <f>WEEKNUM(Table6[[#This Row],[Start Date]])</f>
        <v>21</v>
      </c>
      <c r="B453" s="27" t="str">
        <f>TEXT(Table6[[#This Row],[Start Date]],"mmm")</f>
        <v>May</v>
      </c>
      <c r="C453" s="27" t="str">
        <f>_xlfn.IFNA(INDEX(Refer!$B$5:$B$103,MATCH(Table6[[#This Row],[TASK]],Refer!$C$5:$C$103,0)),"")</f>
        <v>DFM Mold</v>
      </c>
      <c r="D453" s="93" t="s">
        <v>227</v>
      </c>
      <c r="E453" s="79" t="s">
        <v>509</v>
      </c>
      <c r="F453" s="82" t="s">
        <v>66</v>
      </c>
      <c r="G453" s="27" t="s">
        <v>479</v>
      </c>
      <c r="H453" s="41">
        <v>46160</v>
      </c>
      <c r="I453" s="41">
        <v>46161</v>
      </c>
      <c r="J453" s="41">
        <v>46161</v>
      </c>
      <c r="K453" s="27" t="str">
        <f>IF(Table6[[#This Row],[Finish Date]]=0,"On process","Close")</f>
        <v>Close</v>
      </c>
      <c r="L453" s="27" t="str">
        <f>IF(Table6[[#This Row],[Status]]="On process",IF($H$2&gt;Table6[[#This Row],[Target Date]],"Overdue","On time"),"Closed")</f>
        <v>Closed</v>
      </c>
      <c r="M453" s="27" t="str" cm="1">
        <f t="array" ref="M453">_xlfn.IFS(Table6[[#This Row],[Finish Date]]=0,"",Table6[[#This Row],[Finish Date]]&gt;Table6[[#This Row],[Target Date]],"Delay",Table6[[#This Row],[Finish Date]]&lt;=Table6[[#This Row],[Target Date]],"On Time")</f>
        <v>On Time</v>
      </c>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row>
    <row r="454" spans="1:41" ht="31.5" hidden="1">
      <c r="A454" s="27">
        <f>WEEKNUM(Table6[[#This Row],[Start Date]])</f>
        <v>21</v>
      </c>
      <c r="B454" s="27" t="str">
        <f>TEXT(Table6[[#This Row],[Start Date]],"mmm")</f>
        <v>May</v>
      </c>
      <c r="C454" s="27" t="str">
        <f>_xlfn.IFNA(INDEX(Refer!$B$5:$B$103,MATCH(Table6[[#This Row],[TASK]],Refer!$C$5:$C$103,0)),"")</f>
        <v>DFM Mold</v>
      </c>
      <c r="D454" s="93" t="s">
        <v>227</v>
      </c>
      <c r="E454" s="79" t="s">
        <v>510</v>
      </c>
      <c r="F454" s="82" t="s">
        <v>134</v>
      </c>
      <c r="G454" s="27" t="s">
        <v>479</v>
      </c>
      <c r="H454" s="41">
        <v>46161</v>
      </c>
      <c r="I454" s="41">
        <v>46162</v>
      </c>
      <c r="J454" s="41">
        <v>46162</v>
      </c>
      <c r="K454" s="27" t="str">
        <f>IF(Table6[[#This Row],[Finish Date]]=0,"On process","Close")</f>
        <v>Close</v>
      </c>
      <c r="L454" s="27" t="str">
        <f>IF(Table6[[#This Row],[Status]]="On process",IF($H$2&gt;Table6[[#This Row],[Target Date]],"Overdue","On time"),"Closed")</f>
        <v>Closed</v>
      </c>
      <c r="M454" s="27" t="str" cm="1">
        <f t="array" ref="M454">_xlfn.IFS(Table6[[#This Row],[Finish Date]]=0,"",Table6[[#This Row],[Finish Date]]&gt;Table6[[#This Row],[Target Date]],"Delay",Table6[[#This Row],[Finish Date]]&lt;=Table6[[#This Row],[Target Date]],"On Time")</f>
        <v>On Time</v>
      </c>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row>
    <row r="455" spans="1:41" ht="21" hidden="1" customHeight="1">
      <c r="A455" s="27">
        <f>WEEKNUM(Table6[[#This Row],[Start Date]])</f>
        <v>21</v>
      </c>
      <c r="B455" s="27" t="str">
        <f>TEXT(Table6[[#This Row],[Start Date]],"mmm")</f>
        <v>May</v>
      </c>
      <c r="C455" s="27" t="str">
        <f>_xlfn.IFNA(INDEX(Refer!$B$5:$B$103,MATCH(Table6[[#This Row],[TASK]],Refer!$C$5:$C$103,0)),"")</f>
        <v>PACKING</v>
      </c>
      <c r="D455" s="93" t="s">
        <v>511</v>
      </c>
      <c r="E455" s="79" t="s">
        <v>512</v>
      </c>
      <c r="F455" s="82" t="s">
        <v>95</v>
      </c>
      <c r="G455" s="27" t="s">
        <v>479</v>
      </c>
      <c r="H455" s="41">
        <v>46162</v>
      </c>
      <c r="I455" s="41">
        <v>46163</v>
      </c>
      <c r="J455" s="41">
        <v>46162</v>
      </c>
      <c r="K455" s="27" t="str">
        <f>IF(Table6[[#This Row],[Finish Date]]=0,"On process","Close")</f>
        <v>Close</v>
      </c>
      <c r="L455" s="27" t="str">
        <f>IF(Table6[[#This Row],[Status]]="On process",IF($H$2&gt;Table6[[#This Row],[Target Date]],"Overdue","On time"),"Closed")</f>
        <v>Closed</v>
      </c>
      <c r="M455" s="27" t="str" cm="1">
        <f t="array" ref="M455">_xlfn.IFS(Table6[[#This Row],[Finish Date]]=0,"",Table6[[#This Row],[Finish Date]]&gt;Table6[[#This Row],[Target Date]],"Delay",Table6[[#This Row],[Finish Date]]&lt;=Table6[[#This Row],[Target Date]],"On Time")</f>
        <v>On Time</v>
      </c>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row>
    <row r="456" spans="1:41" ht="21" hidden="1" customHeight="1">
      <c r="A456" s="27">
        <f>WEEKNUM(Table6[[#This Row],[Start Date]])</f>
        <v>21</v>
      </c>
      <c r="B456" s="27" t="str">
        <f>TEXT(Table6[[#This Row],[Start Date]],"mmm")</f>
        <v>May</v>
      </c>
      <c r="C456" s="27" t="str">
        <f>_xlfn.IFNA(INDEX(Refer!$B$5:$B$103,MATCH(Table6[[#This Row],[TASK]],Refer!$C$5:$C$103,0)),"")</f>
        <v>PACKING</v>
      </c>
      <c r="D456" s="93" t="s">
        <v>511</v>
      </c>
      <c r="E456" s="79" t="s">
        <v>513</v>
      </c>
      <c r="F456" s="82" t="s">
        <v>95</v>
      </c>
      <c r="G456" s="27" t="s">
        <v>479</v>
      </c>
      <c r="H456" s="41">
        <v>46162</v>
      </c>
      <c r="I456" s="41">
        <v>46163</v>
      </c>
      <c r="J456" s="41">
        <v>46162</v>
      </c>
      <c r="K456" s="27" t="str">
        <f>IF(Table6[[#This Row],[Finish Date]]=0,"On process","Close")</f>
        <v>Close</v>
      </c>
      <c r="L456" s="27" t="str">
        <f>IF(Table6[[#This Row],[Status]]="On process",IF($H$2&gt;Table6[[#This Row],[Target Date]],"Overdue","On time"),"Closed")</f>
        <v>Closed</v>
      </c>
      <c r="M456" s="27" t="str" cm="1">
        <f t="array" ref="M456">_xlfn.IFS(Table6[[#This Row],[Finish Date]]=0,"",Table6[[#This Row],[Finish Date]]&gt;Table6[[#This Row],[Target Date]],"Delay",Table6[[#This Row],[Finish Date]]&lt;=Table6[[#This Row],[Target Date]],"On Time")</f>
        <v>On Time</v>
      </c>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row>
    <row r="457" spans="1:41" ht="21" hidden="1" customHeight="1">
      <c r="A457" s="27">
        <f>WEEKNUM(Table6[[#This Row],[Start Date]])</f>
        <v>21</v>
      </c>
      <c r="B457" s="27" t="str">
        <f>TEXT(Table6[[#This Row],[Start Date]],"mmm")</f>
        <v>May</v>
      </c>
      <c r="C457" s="27" t="str">
        <f>_xlfn.IFNA(INDEX(Refer!$B$5:$B$103,MATCH(Table6[[#This Row],[TASK]],Refer!$C$5:$C$103,0)),"")</f>
        <v>PACKING</v>
      </c>
      <c r="D457" s="93" t="s">
        <v>511</v>
      </c>
      <c r="E457" s="79" t="s">
        <v>514</v>
      </c>
      <c r="F457" s="82" t="s">
        <v>95</v>
      </c>
      <c r="G457" s="27" t="s">
        <v>479</v>
      </c>
      <c r="H457" s="41">
        <v>46162</v>
      </c>
      <c r="I457" s="41">
        <v>46163</v>
      </c>
      <c r="J457" s="41">
        <v>46162</v>
      </c>
      <c r="K457" s="27" t="str">
        <f>IF(Table6[[#This Row],[Finish Date]]=0,"On process","Close")</f>
        <v>Close</v>
      </c>
      <c r="L457" s="27" t="str">
        <f>IF(Table6[[#This Row],[Status]]="On process",IF($H$2&gt;Table6[[#This Row],[Target Date]],"Overdue","On time"),"Closed")</f>
        <v>Closed</v>
      </c>
      <c r="M457" s="27" t="str" cm="1">
        <f t="array" ref="M457">_xlfn.IFS(Table6[[#This Row],[Finish Date]]=0,"",Table6[[#This Row],[Finish Date]]&gt;Table6[[#This Row],[Target Date]],"Delay",Table6[[#This Row],[Finish Date]]&lt;=Table6[[#This Row],[Target Date]],"On Time")</f>
        <v>On Time</v>
      </c>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row>
    <row r="458" spans="1:41" ht="21" hidden="1" customHeight="1">
      <c r="A458" s="27">
        <f>WEEKNUM(Table6[[#This Row],[Start Date]])</f>
        <v>21</v>
      </c>
      <c r="B458" s="27" t="str">
        <f>TEXT(Table6[[#This Row],[Start Date]],"mmm")</f>
        <v>May</v>
      </c>
      <c r="C458" s="27" t="str">
        <f>_xlfn.IFNA(INDEX(Refer!$B$5:$B$103,MATCH(Table6[[#This Row],[TASK]],Refer!$C$5:$C$103,0)),"")</f>
        <v>DFM Mold</v>
      </c>
      <c r="D458" s="93" t="s">
        <v>99</v>
      </c>
      <c r="E458" s="79" t="s">
        <v>490</v>
      </c>
      <c r="F458" s="82" t="s">
        <v>95</v>
      </c>
      <c r="G458" s="27" t="s">
        <v>479</v>
      </c>
      <c r="H458" s="41">
        <v>46163</v>
      </c>
      <c r="I458" s="41">
        <v>46163</v>
      </c>
      <c r="J458" s="41">
        <v>46163</v>
      </c>
      <c r="K458" s="27" t="str">
        <f>IF(Table6[[#This Row],[Finish Date]]=0,"On process","Close")</f>
        <v>Close</v>
      </c>
      <c r="L458" s="27" t="str">
        <f>IF(Table6[[#This Row],[Status]]="On process",IF($H$2&gt;Table6[[#This Row],[Target Date]],"Overdue","On time"),"Closed")</f>
        <v>Closed</v>
      </c>
      <c r="M458" s="27" t="str" cm="1">
        <f t="array" ref="M458">_xlfn.IFS(Table6[[#This Row],[Finish Date]]=0,"",Table6[[#This Row],[Finish Date]]&gt;Table6[[#This Row],[Target Date]],"Delay",Table6[[#This Row],[Finish Date]]&lt;=Table6[[#This Row],[Target Date]],"On Time")</f>
        <v>On Time</v>
      </c>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row>
    <row r="459" spans="1:41" ht="21" hidden="1" customHeight="1">
      <c r="A459" s="27">
        <f>WEEKNUM(Table6[[#This Row],[Start Date]])</f>
        <v>21</v>
      </c>
      <c r="B459" s="27" t="str">
        <f>TEXT(Table6[[#This Row],[Start Date]],"mmm")</f>
        <v>May</v>
      </c>
      <c r="C459" s="27" t="str">
        <f>_xlfn.IFNA(INDEX(Refer!$B$5:$B$103,MATCH(Table6[[#This Row],[TASK]],Refer!$C$5:$C$103,0)),"")</f>
        <v>PACKING</v>
      </c>
      <c r="D459" s="93" t="s">
        <v>511</v>
      </c>
      <c r="E459" s="79" t="s">
        <v>515</v>
      </c>
      <c r="F459" s="82" t="s">
        <v>95</v>
      </c>
      <c r="G459" s="27" t="s">
        <v>479</v>
      </c>
      <c r="H459" s="41">
        <v>46163</v>
      </c>
      <c r="I459" s="41">
        <v>46164</v>
      </c>
      <c r="J459" s="41">
        <v>46162</v>
      </c>
      <c r="K459" s="27" t="str">
        <f>IF(Table6[[#This Row],[Finish Date]]=0,"On process","Close")</f>
        <v>Close</v>
      </c>
      <c r="L459" s="27" t="str">
        <f>IF(Table6[[#This Row],[Status]]="On process",IF($H$2&gt;Table6[[#This Row],[Target Date]],"Overdue","On time"),"Closed")</f>
        <v>Closed</v>
      </c>
      <c r="M459" s="27" t="str" cm="1">
        <f t="array" ref="M459">_xlfn.IFS(Table6[[#This Row],[Finish Date]]=0,"",Table6[[#This Row],[Finish Date]]&gt;Table6[[#This Row],[Target Date]],"Delay",Table6[[#This Row],[Finish Date]]&lt;=Table6[[#This Row],[Target Date]],"On Time")</f>
        <v>On Time</v>
      </c>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row>
    <row r="460" spans="1:41" ht="21" hidden="1" customHeight="1">
      <c r="A460" s="27">
        <f>WEEKNUM(Table6[[#This Row],[Start Date]])</f>
        <v>21</v>
      </c>
      <c r="B460" s="27" t="str">
        <f>TEXT(Table6[[#This Row],[Start Date]],"mmm")</f>
        <v>May</v>
      </c>
      <c r="C460" s="27" t="str">
        <f>_xlfn.IFNA(INDEX(Refer!$B$5:$B$103,MATCH(Table6[[#This Row],[TASK]],Refer!$C$5:$C$103,0)),"")</f>
        <v>PACKING</v>
      </c>
      <c r="D460" s="93" t="s">
        <v>511</v>
      </c>
      <c r="E460" s="79" t="s">
        <v>516</v>
      </c>
      <c r="F460" s="82" t="s">
        <v>95</v>
      </c>
      <c r="G460" s="27" t="s">
        <v>479</v>
      </c>
      <c r="H460" s="41">
        <v>46163</v>
      </c>
      <c r="I460" s="41">
        <v>46164</v>
      </c>
      <c r="J460" s="41">
        <v>46162</v>
      </c>
      <c r="K460" s="27" t="str">
        <f>IF(Table6[[#This Row],[Finish Date]]=0,"On process","Close")</f>
        <v>Close</v>
      </c>
      <c r="L460" s="27" t="str">
        <f>IF(Table6[[#This Row],[Status]]="On process",IF($H$2&gt;Table6[[#This Row],[Target Date]],"Overdue","On time"),"Closed")</f>
        <v>Closed</v>
      </c>
      <c r="M460" s="27" t="str" cm="1">
        <f t="array" ref="M460">_xlfn.IFS(Table6[[#This Row],[Finish Date]]=0,"",Table6[[#This Row],[Finish Date]]&gt;Table6[[#This Row],[Target Date]],"Delay",Table6[[#This Row],[Finish Date]]&lt;=Table6[[#This Row],[Target Date]],"On Time")</f>
        <v>On Time</v>
      </c>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row>
    <row r="461" spans="1:41" ht="21" hidden="1" customHeight="1">
      <c r="A461" s="27">
        <f>WEEKNUM(Table6[[#This Row],[Start Date]])</f>
        <v>21</v>
      </c>
      <c r="B461" s="27" t="str">
        <f>TEXT(Table6[[#This Row],[Start Date]],"mmm")</f>
        <v>May</v>
      </c>
      <c r="C461" s="27" t="str">
        <f>_xlfn.IFNA(INDEX(Refer!$B$5:$B$103,MATCH(Table6[[#This Row],[TASK]],Refer!$C$5:$C$103,0)),"")</f>
        <v>PACKING</v>
      </c>
      <c r="D461" s="93" t="s">
        <v>511</v>
      </c>
      <c r="E461" s="79" t="s">
        <v>517</v>
      </c>
      <c r="F461" s="82" t="s">
        <v>95</v>
      </c>
      <c r="G461" s="27" t="s">
        <v>479</v>
      </c>
      <c r="H461" s="41">
        <v>46163</v>
      </c>
      <c r="I461" s="41">
        <v>46164</v>
      </c>
      <c r="J461" s="41">
        <v>46162</v>
      </c>
      <c r="K461" s="27" t="str">
        <f>IF(Table6[[#This Row],[Finish Date]]=0,"On process","Close")</f>
        <v>Close</v>
      </c>
      <c r="L461" s="27" t="str">
        <f>IF(Table6[[#This Row],[Status]]="On process",IF($H$2&gt;Table6[[#This Row],[Target Date]],"Overdue","On time"),"Closed")</f>
        <v>Closed</v>
      </c>
      <c r="M461" s="27" t="str" cm="1">
        <f t="array" ref="M461">_xlfn.IFS(Table6[[#This Row],[Finish Date]]=0,"",Table6[[#This Row],[Finish Date]]&gt;Table6[[#This Row],[Target Date]],"Delay",Table6[[#This Row],[Finish Date]]&lt;=Table6[[#This Row],[Target Date]],"On Time")</f>
        <v>On Time</v>
      </c>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row>
    <row r="462" spans="1:41" ht="21" hidden="1" customHeight="1">
      <c r="A462" s="27">
        <f>WEEKNUM(Table6[[#This Row],[Start Date]])</f>
        <v>21</v>
      </c>
      <c r="B462" s="27" t="str">
        <f>TEXT(Table6[[#This Row],[Start Date]],"mmm")</f>
        <v>May</v>
      </c>
      <c r="C462" s="27" t="str">
        <f>_xlfn.IFNA(INDEX(Refer!$B$5:$B$103,MATCH(Table6[[#This Row],[TASK]],Refer!$C$5:$C$103,0)),"")</f>
        <v>PACKING</v>
      </c>
      <c r="D462" s="93" t="s">
        <v>511</v>
      </c>
      <c r="E462" s="79" t="s">
        <v>518</v>
      </c>
      <c r="F462" s="82" t="s">
        <v>366</v>
      </c>
      <c r="G462" s="27" t="s">
        <v>479</v>
      </c>
      <c r="H462" s="41">
        <v>46164</v>
      </c>
      <c r="I462" s="41">
        <v>46167</v>
      </c>
      <c r="J462" s="41">
        <v>46167</v>
      </c>
      <c r="K462" s="27" t="str">
        <f>IF(Table6[[#This Row],[Finish Date]]=0,"On process","Close")</f>
        <v>Close</v>
      </c>
      <c r="L462" s="27" t="str">
        <f>IF(Table6[[#This Row],[Status]]="On process",IF($H$2&gt;Table6[[#This Row],[Target Date]],"Overdue","On time"),"Closed")</f>
        <v>Closed</v>
      </c>
      <c r="M462" s="27" t="str" cm="1">
        <f t="array" ref="M462">_xlfn.IFS(Table6[[#This Row],[Finish Date]]=0,"",Table6[[#This Row],[Finish Date]]&gt;Table6[[#This Row],[Target Date]],"Delay",Table6[[#This Row],[Finish Date]]&lt;=Table6[[#This Row],[Target Date]],"On Time")</f>
        <v>On Time</v>
      </c>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row>
    <row r="463" spans="1:41" ht="21" hidden="1" customHeight="1">
      <c r="A463" s="27">
        <f>WEEKNUM(Table6[[#This Row],[Start Date]])</f>
        <v>21</v>
      </c>
      <c r="B463" s="27" t="str">
        <f>TEXT(Table6[[#This Row],[Start Date]],"mmm")</f>
        <v>May</v>
      </c>
      <c r="C463" s="27" t="str">
        <f>_xlfn.IFNA(INDEX(Refer!$B$5:$B$103,MATCH(Table6[[#This Row],[TASK]],Refer!$C$5:$C$103,0)),"")</f>
        <v>PACKING</v>
      </c>
      <c r="D463" s="93" t="s">
        <v>511</v>
      </c>
      <c r="E463" s="79" t="s">
        <v>519</v>
      </c>
      <c r="F463" s="82" t="s">
        <v>66</v>
      </c>
      <c r="G463" s="27" t="s">
        <v>479</v>
      </c>
      <c r="H463" s="41">
        <v>46164</v>
      </c>
      <c r="I463" s="41">
        <v>46167</v>
      </c>
      <c r="J463" s="41">
        <v>46167</v>
      </c>
      <c r="K463" s="27" t="str">
        <f>IF(Table6[[#This Row],[Finish Date]]=0,"On process","Close")</f>
        <v>Close</v>
      </c>
      <c r="L463" s="27" t="str">
        <f>IF(Table6[[#This Row],[Status]]="On process",IF($H$2&gt;Table6[[#This Row],[Target Date]],"Overdue","On time"),"Closed")</f>
        <v>Closed</v>
      </c>
      <c r="M463" s="27" t="str" cm="1">
        <f t="array" ref="M463">_xlfn.IFS(Table6[[#This Row],[Finish Date]]=0,"",Table6[[#This Row],[Finish Date]]&gt;Table6[[#This Row],[Target Date]],"Delay",Table6[[#This Row],[Finish Date]]&lt;=Table6[[#This Row],[Target Date]],"On Time")</f>
        <v>On Time</v>
      </c>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row>
    <row r="464" spans="1:41" ht="21" hidden="1" customHeight="1">
      <c r="A464" s="27">
        <f>WEEKNUM(Table6[[#This Row],[Start Date]])</f>
        <v>21</v>
      </c>
      <c r="B464" s="27" t="str">
        <f>TEXT(Table6[[#This Row],[Start Date]],"mmm")</f>
        <v>May</v>
      </c>
      <c r="C464" s="27" t="str">
        <f>_xlfn.IFNA(INDEX(Refer!$B$5:$B$103,MATCH(Table6[[#This Row],[TASK]],Refer!$C$5:$C$103,0)),"")</f>
        <v>PACKING</v>
      </c>
      <c r="D464" s="93" t="s">
        <v>511</v>
      </c>
      <c r="E464" s="79" t="s">
        <v>520</v>
      </c>
      <c r="F464" s="82" t="s">
        <v>66</v>
      </c>
      <c r="G464" s="27" t="s">
        <v>479</v>
      </c>
      <c r="H464" s="41">
        <v>46164</v>
      </c>
      <c r="I464" s="41">
        <v>46167</v>
      </c>
      <c r="J464" s="41">
        <v>46167</v>
      </c>
      <c r="K464" s="27" t="str">
        <f>IF(Table6[[#This Row],[Finish Date]]=0,"On process","Close")</f>
        <v>Close</v>
      </c>
      <c r="L464" s="27" t="str">
        <f>IF(Table6[[#This Row],[Status]]="On process",IF($H$2&gt;Table6[[#This Row],[Target Date]],"Overdue","On time"),"Closed")</f>
        <v>Closed</v>
      </c>
      <c r="M464" s="27" t="str" cm="1">
        <f t="array" ref="M464">_xlfn.IFS(Table6[[#This Row],[Finish Date]]=0,"",Table6[[#This Row],[Finish Date]]&gt;Table6[[#This Row],[Target Date]],"Delay",Table6[[#This Row],[Finish Date]]&lt;=Table6[[#This Row],[Target Date]],"On Time")</f>
        <v>On Time</v>
      </c>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row>
    <row r="465" spans="1:41" ht="21" hidden="1" customHeight="1">
      <c r="A465" s="27">
        <f>WEEKNUM(Table6[[#This Row],[Start Date]])</f>
        <v>22</v>
      </c>
      <c r="B465" s="27" t="str">
        <f>TEXT(Table6[[#This Row],[Start Date]],"mmm")</f>
        <v>May</v>
      </c>
      <c r="C465" s="27" t="str">
        <f>_xlfn.IFNA(INDEX(Refer!$B$5:$B$103,MATCH(Table6[[#This Row],[TASK]],Refer!$C$5:$C$103,0)),"")</f>
        <v>NPI</v>
      </c>
      <c r="D465" s="93" t="s">
        <v>521</v>
      </c>
      <c r="E465" s="79" t="s">
        <v>522</v>
      </c>
      <c r="F465" s="82"/>
      <c r="G465" s="27" t="s">
        <v>479</v>
      </c>
      <c r="H465" s="41">
        <v>46167</v>
      </c>
      <c r="I465" s="41">
        <v>46167</v>
      </c>
      <c r="J465" s="41">
        <v>46167</v>
      </c>
      <c r="K465" s="27" t="str">
        <f>IF(Table6[[#This Row],[Finish Date]]=0,"On process","Close")</f>
        <v>Close</v>
      </c>
      <c r="L465" s="27" t="str">
        <f>IF(Table6[[#This Row],[Status]]="On process",IF($H$2&gt;Table6[[#This Row],[Target Date]],"Overdue","On time"),"Closed")</f>
        <v>Closed</v>
      </c>
      <c r="M465" s="27" t="str" cm="1">
        <f t="array" ref="M465">_xlfn.IFS(Table6[[#This Row],[Finish Date]]=0,"",Table6[[#This Row],[Finish Date]]&gt;Table6[[#This Row],[Target Date]],"Delay",Table6[[#This Row],[Finish Date]]&lt;=Table6[[#This Row],[Target Date]],"On Time")</f>
        <v>On Time</v>
      </c>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row>
    <row r="466" spans="1:41" ht="21" hidden="1" customHeight="1">
      <c r="A466" s="27">
        <f>WEEKNUM(Table6[[#This Row],[Start Date]])</f>
        <v>22</v>
      </c>
      <c r="B466" s="27" t="str">
        <f>TEXT(Table6[[#This Row],[Start Date]],"mmm")</f>
        <v>May</v>
      </c>
      <c r="C466" s="27" t="str">
        <f>_xlfn.IFNA(INDEX(Refer!$B$5:$B$103,MATCH(Table6[[#This Row],[TASK]],Refer!$C$5:$C$103,0)),"")</f>
        <v>Part DFM</v>
      </c>
      <c r="D466" s="93" t="s">
        <v>81</v>
      </c>
      <c r="E466" s="79" t="s">
        <v>523</v>
      </c>
      <c r="F466" s="82" t="s">
        <v>134</v>
      </c>
      <c r="G466" s="27" t="s">
        <v>479</v>
      </c>
      <c r="H466" s="41">
        <v>46167</v>
      </c>
      <c r="I466" s="41">
        <v>46168</v>
      </c>
      <c r="J466" s="41">
        <v>46168</v>
      </c>
      <c r="K466" s="27" t="str">
        <f>IF(Table6[[#This Row],[Finish Date]]=0,"On process","Close")</f>
        <v>Close</v>
      </c>
      <c r="L466" s="27" t="str">
        <f>IF(Table6[[#This Row],[Status]]="On process",IF($H$2&gt;Table6[[#This Row],[Target Date]],"Overdue","On time"),"Closed")</f>
        <v>Closed</v>
      </c>
      <c r="M466" s="27" t="str" cm="1">
        <f t="array" ref="M466">_xlfn.IFS(Table6[[#This Row],[Finish Date]]=0,"",Table6[[#This Row],[Finish Date]]&gt;Table6[[#This Row],[Target Date]],"Delay",Table6[[#This Row],[Finish Date]]&lt;=Table6[[#This Row],[Target Date]],"On Time")</f>
        <v>On Time</v>
      </c>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row>
    <row r="467" spans="1:41" ht="21" hidden="1" customHeight="1">
      <c r="A467" s="27">
        <f>WEEKNUM(Table6[[#This Row],[Start Date]])</f>
        <v>22</v>
      </c>
      <c r="B467" s="27" t="str">
        <f>TEXT(Table6[[#This Row],[Start Date]],"mmm")</f>
        <v>May</v>
      </c>
      <c r="C467" s="27" t="str">
        <f>_xlfn.IFNA(INDEX(Refer!$B$5:$B$103,MATCH(Table6[[#This Row],[TASK]],Refer!$C$5:$C$103,0)),"")</f>
        <v>Part DFM</v>
      </c>
      <c r="D467" s="93" t="s">
        <v>81</v>
      </c>
      <c r="E467" s="79" t="s">
        <v>524</v>
      </c>
      <c r="F467" s="82" t="s">
        <v>134</v>
      </c>
      <c r="G467" s="27" t="s">
        <v>479</v>
      </c>
      <c r="H467" s="41">
        <v>46167</v>
      </c>
      <c r="I467" s="41">
        <v>46168</v>
      </c>
      <c r="J467" s="41">
        <v>46168</v>
      </c>
      <c r="K467" s="27" t="str">
        <f>IF(Table6[[#This Row],[Finish Date]]=0,"On process","Close")</f>
        <v>Close</v>
      </c>
      <c r="L467" s="27" t="str">
        <f>IF(Table6[[#This Row],[Status]]="On process",IF($H$2&gt;Table6[[#This Row],[Target Date]],"Overdue","On time"),"Closed")</f>
        <v>Closed</v>
      </c>
      <c r="M467" s="27" t="str" cm="1">
        <f t="array" ref="M467">_xlfn.IFS(Table6[[#This Row],[Finish Date]]=0,"",Table6[[#This Row],[Finish Date]]&gt;Table6[[#This Row],[Target Date]],"Delay",Table6[[#This Row],[Finish Date]]&lt;=Table6[[#This Row],[Target Date]],"On Time")</f>
        <v>On Time</v>
      </c>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row>
    <row r="468" spans="1:41" ht="21" hidden="1" customHeight="1">
      <c r="A468" s="27">
        <f>WEEKNUM(Table6[[#This Row],[Start Date]])</f>
        <v>22</v>
      </c>
      <c r="B468" s="27" t="str">
        <f>TEXT(Table6[[#This Row],[Start Date]],"mmm")</f>
        <v>May</v>
      </c>
      <c r="C468" s="27" t="str">
        <f>_xlfn.IFNA(INDEX(Refer!$B$5:$B$103,MATCH(Table6[[#This Row],[TASK]],Refer!$C$5:$C$103,0)),"")</f>
        <v>DFM Mold</v>
      </c>
      <c r="D468" s="93" t="s">
        <v>99</v>
      </c>
      <c r="E468" s="79" t="s">
        <v>525</v>
      </c>
      <c r="F468" s="82" t="s">
        <v>95</v>
      </c>
      <c r="G468" s="27" t="s">
        <v>479</v>
      </c>
      <c r="H468" s="41">
        <v>46169</v>
      </c>
      <c r="I468" s="41">
        <v>46169</v>
      </c>
      <c r="J468" s="41">
        <v>46169</v>
      </c>
      <c r="K468" s="27" t="str">
        <f>IF(Table6[[#This Row],[Finish Date]]=0,"On process","Close")</f>
        <v>Close</v>
      </c>
      <c r="L468" s="27" t="str">
        <f>IF(Table6[[#This Row],[Status]]="On process",IF($H$2&gt;Table6[[#This Row],[Target Date]],"Overdue","On time"),"Closed")</f>
        <v>Closed</v>
      </c>
      <c r="M468" s="27" t="str" cm="1">
        <f t="array" ref="M468">_xlfn.IFS(Table6[[#This Row],[Finish Date]]=0,"",Table6[[#This Row],[Finish Date]]&gt;Table6[[#This Row],[Target Date]],"Delay",Table6[[#This Row],[Finish Date]]&lt;=Table6[[#This Row],[Target Date]],"On Time")</f>
        <v>On Time</v>
      </c>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row>
    <row r="469" spans="1:41" ht="21" hidden="1" customHeight="1">
      <c r="A469" s="27">
        <f>WEEKNUM(Table6[[#This Row],[Start Date]])</f>
        <v>22</v>
      </c>
      <c r="B469" s="27" t="str">
        <f>TEXT(Table6[[#This Row],[Start Date]],"mmm")</f>
        <v>May</v>
      </c>
      <c r="C469" s="27" t="str">
        <f>_xlfn.IFNA(INDEX(Refer!$B$5:$B$103,MATCH(Table6[[#This Row],[TASK]],Refer!$C$5:$C$103,0)),"")</f>
        <v>DFM Mold</v>
      </c>
      <c r="D469" s="93" t="s">
        <v>99</v>
      </c>
      <c r="E469" s="79" t="s">
        <v>526</v>
      </c>
      <c r="F469" s="82" t="s">
        <v>95</v>
      </c>
      <c r="G469" s="27" t="s">
        <v>479</v>
      </c>
      <c r="H469" s="41">
        <v>46170</v>
      </c>
      <c r="I469" s="41">
        <v>46171</v>
      </c>
      <c r="J469" s="41">
        <v>46171</v>
      </c>
      <c r="K469" s="27" t="str">
        <f>IF(Table6[[#This Row],[Finish Date]]=0,"On process","Close")</f>
        <v>Close</v>
      </c>
      <c r="L469" s="27" t="str">
        <f>IF(Table6[[#This Row],[Status]]="On process",IF($H$2&gt;Table6[[#This Row],[Target Date]],"Overdue","On time"),"Closed")</f>
        <v>Closed</v>
      </c>
      <c r="M469" s="27" t="str" cm="1">
        <f t="array" ref="M469">_xlfn.IFS(Table6[[#This Row],[Finish Date]]=0,"",Table6[[#This Row],[Finish Date]]&gt;Table6[[#This Row],[Target Date]],"Delay",Table6[[#This Row],[Finish Date]]&lt;=Table6[[#This Row],[Target Date]],"On Time")</f>
        <v>On Time</v>
      </c>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row>
    <row r="470" spans="1:41" ht="21" hidden="1" customHeight="1">
      <c r="A470" s="27">
        <f>WEEKNUM(Table6[[#This Row],[Start Date]])</f>
        <v>22</v>
      </c>
      <c r="B470" s="27" t="str">
        <f>TEXT(Table6[[#This Row],[Start Date]],"mmm")</f>
        <v>May</v>
      </c>
      <c r="C470" s="27" t="str">
        <f>_xlfn.IFNA(INDEX(Refer!$B$5:$B$103,MATCH(Table6[[#This Row],[TASK]],Refer!$C$5:$C$103,0)),"")</f>
        <v>OTHER</v>
      </c>
      <c r="D470" s="93" t="s">
        <v>108</v>
      </c>
      <c r="E470" s="79" t="s">
        <v>527</v>
      </c>
      <c r="F470" s="82"/>
      <c r="G470" s="27" t="s">
        <v>479</v>
      </c>
      <c r="H470" s="41">
        <v>46170</v>
      </c>
      <c r="I470" s="41">
        <v>46170</v>
      </c>
      <c r="J470" s="41">
        <v>46170</v>
      </c>
      <c r="K470" s="27" t="str">
        <f>IF(Table6[[#This Row],[Finish Date]]=0,"On process","Close")</f>
        <v>Close</v>
      </c>
      <c r="L470" s="27" t="str">
        <f>IF(Table6[[#This Row],[Status]]="On process",IF($H$2&gt;Table6[[#This Row],[Target Date]],"Overdue","On time"),"Closed")</f>
        <v>Closed</v>
      </c>
      <c r="M470" s="27" t="str" cm="1">
        <f t="array" ref="M470">_xlfn.IFS(Table6[[#This Row],[Finish Date]]=0,"",Table6[[#This Row],[Finish Date]]&gt;Table6[[#This Row],[Target Date]],"Delay",Table6[[#This Row],[Finish Date]]&lt;=Table6[[#This Row],[Target Date]],"On Time")</f>
        <v>On Time</v>
      </c>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row>
    <row r="471" spans="1:41" ht="21" hidden="1" customHeight="1">
      <c r="A471" s="27">
        <f>WEEKNUM(Table6[[#This Row],[Start Date]])</f>
        <v>22</v>
      </c>
      <c r="B471" s="27" t="str">
        <f>TEXT(Table6[[#This Row],[Start Date]],"mmm")</f>
        <v>May</v>
      </c>
      <c r="C471" s="27" t="str">
        <f>_xlfn.IFNA(INDEX(Refer!$B$5:$B$103,MATCH(Table6[[#This Row],[TASK]],Refer!$C$5:$C$103,0)),"")</f>
        <v>PACKING</v>
      </c>
      <c r="D471" s="93" t="s">
        <v>511</v>
      </c>
      <c r="E471" s="79" t="s">
        <v>528</v>
      </c>
      <c r="F471" s="82" t="s">
        <v>95</v>
      </c>
      <c r="G471" s="27" t="s">
        <v>479</v>
      </c>
      <c r="H471" s="41">
        <v>46170</v>
      </c>
      <c r="I471" s="41">
        <v>46171</v>
      </c>
      <c r="J471" s="41">
        <v>46170</v>
      </c>
      <c r="K471" s="27" t="str">
        <f>IF(Table6[[#This Row],[Finish Date]]=0,"On process","Close")</f>
        <v>Close</v>
      </c>
      <c r="L471" s="27" t="str">
        <f>IF(Table6[[#This Row],[Status]]="On process",IF($H$2&gt;Table6[[#This Row],[Target Date]],"Overdue","On time"),"Closed")</f>
        <v>Closed</v>
      </c>
      <c r="M471" s="27" t="str" cm="1">
        <f t="array" ref="M471">_xlfn.IFS(Table6[[#This Row],[Finish Date]]=0,"",Table6[[#This Row],[Finish Date]]&gt;Table6[[#This Row],[Target Date]],"Delay",Table6[[#This Row],[Finish Date]]&lt;=Table6[[#This Row],[Target Date]],"On Time")</f>
        <v>On Time</v>
      </c>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row>
    <row r="472" spans="1:41" ht="21" hidden="1" customHeight="1">
      <c r="A472" s="27">
        <f>WEEKNUM(Table6[[#This Row],[Start Date]])</f>
        <v>22</v>
      </c>
      <c r="B472" s="27" t="str">
        <f>TEXT(Table6[[#This Row],[Start Date]],"mmm")</f>
        <v>May</v>
      </c>
      <c r="C472" s="27" t="str">
        <f>_xlfn.IFNA(INDEX(Refer!$B$5:$B$103,MATCH(Table6[[#This Row],[TASK]],Refer!$C$5:$C$103,0)),"")</f>
        <v>PACKING</v>
      </c>
      <c r="D472" s="93" t="s">
        <v>511</v>
      </c>
      <c r="E472" s="79" t="s">
        <v>529</v>
      </c>
      <c r="F472" s="82" t="s">
        <v>95</v>
      </c>
      <c r="G472" s="27" t="s">
        <v>479</v>
      </c>
      <c r="H472" s="41">
        <v>46170</v>
      </c>
      <c r="I472" s="41">
        <v>46171</v>
      </c>
      <c r="J472" s="41">
        <v>46170</v>
      </c>
      <c r="K472" s="27" t="str">
        <f>IF(Table6[[#This Row],[Finish Date]]=0,"On process","Close")</f>
        <v>Close</v>
      </c>
      <c r="L472" s="27" t="str">
        <f>IF(Table6[[#This Row],[Status]]="On process",IF($H$2&gt;Table6[[#This Row],[Target Date]],"Overdue","On time"),"Closed")</f>
        <v>Closed</v>
      </c>
      <c r="M472" s="27" t="str" cm="1">
        <f t="array" ref="M472">_xlfn.IFS(Table6[[#This Row],[Finish Date]]=0,"",Table6[[#This Row],[Finish Date]]&gt;Table6[[#This Row],[Target Date]],"Delay",Table6[[#This Row],[Finish Date]]&lt;=Table6[[#This Row],[Target Date]],"On Time")</f>
        <v>On Time</v>
      </c>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row>
    <row r="473" spans="1:41" ht="21" hidden="1" customHeight="1">
      <c r="A473" s="27">
        <f>WEEKNUM(Table6[[#This Row],[Start Date]])</f>
        <v>21</v>
      </c>
      <c r="B473" s="27" t="str">
        <f>TEXT(Table6[[#This Row],[Start Date]],"mmm")</f>
        <v>May</v>
      </c>
      <c r="C473" s="27" t="str">
        <f>_xlfn.IFNA(INDEX(Refer!$B$5:$B$103,MATCH(Table6[[#This Row],[TASK]],Refer!$C$5:$C$103,0)),"")</f>
        <v>PACKING</v>
      </c>
      <c r="D473" s="93" t="s">
        <v>112</v>
      </c>
      <c r="E473" s="79" t="s">
        <v>530</v>
      </c>
      <c r="F473" s="82" t="s">
        <v>114</v>
      </c>
      <c r="G473" s="27" t="s">
        <v>440</v>
      </c>
      <c r="H473" s="41">
        <v>46163</v>
      </c>
      <c r="I473" s="41">
        <v>46163</v>
      </c>
      <c r="J473" s="41">
        <v>46163</v>
      </c>
      <c r="K473" s="27" t="str">
        <f>IF(Table6[[#This Row],[Finish Date]]=0,"On process","Close")</f>
        <v>Close</v>
      </c>
      <c r="L473" s="27" t="str">
        <f>IF(Table6[[#This Row],[Status]]="On process",IF($H$2&gt;Table6[[#This Row],[Target Date]],"Overdue","On time"),"Closed")</f>
        <v>Closed</v>
      </c>
      <c r="M473" s="27" t="str" cm="1">
        <f t="array" ref="M473">_xlfn.IFS(Table6[[#This Row],[Finish Date]]=0,"",Table6[[#This Row],[Finish Date]]&gt;Table6[[#This Row],[Target Date]],"Delay",Table6[[#This Row],[Finish Date]]&lt;=Table6[[#This Row],[Target Date]],"On Time")</f>
        <v>On Time</v>
      </c>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row>
    <row r="474" spans="1:41" ht="21" hidden="1" customHeight="1">
      <c r="A474" s="27">
        <f>WEEKNUM(Table6[[#This Row],[Start Date]])</f>
        <v>21</v>
      </c>
      <c r="B474" s="27" t="str">
        <f>TEXT(Table6[[#This Row],[Start Date]],"mmm")</f>
        <v>May</v>
      </c>
      <c r="C474" s="27" t="str">
        <f>_xlfn.IFNA(INDEX(Refer!$B$5:$B$103,MATCH(Table6[[#This Row],[TASK]],Refer!$C$5:$C$103,0)),"")</f>
        <v>PACKING</v>
      </c>
      <c r="D474" s="93" t="s">
        <v>112</v>
      </c>
      <c r="E474" s="79" t="s">
        <v>531</v>
      </c>
      <c r="F474" s="82"/>
      <c r="G474" s="27" t="s">
        <v>440</v>
      </c>
      <c r="H474" s="41">
        <v>46163</v>
      </c>
      <c r="I474" s="41">
        <v>46163</v>
      </c>
      <c r="J474" s="41">
        <v>46163</v>
      </c>
      <c r="K474" s="27" t="str">
        <f>IF(Table6[[#This Row],[Finish Date]]=0,"On process","Close")</f>
        <v>Close</v>
      </c>
      <c r="L474" s="27" t="str">
        <f>IF(Table6[[#This Row],[Status]]="On process",IF($H$2&gt;Table6[[#This Row],[Target Date]],"Overdue","On time"),"Closed")</f>
        <v>Closed</v>
      </c>
      <c r="M474" s="27" t="str" cm="1">
        <f t="array" ref="M474">_xlfn.IFS(Table6[[#This Row],[Finish Date]]=0,"",Table6[[#This Row],[Finish Date]]&gt;Table6[[#This Row],[Target Date]],"Delay",Table6[[#This Row],[Finish Date]]&lt;=Table6[[#This Row],[Target Date]],"On Time")</f>
        <v>On Time</v>
      </c>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row>
    <row r="475" spans="1:41" ht="21" hidden="1" customHeight="1">
      <c r="A475" s="27">
        <f>WEEKNUM(Table6[[#This Row],[Start Date]])</f>
        <v>21</v>
      </c>
      <c r="B475" s="27" t="str">
        <f>TEXT(Table6[[#This Row],[Start Date]],"mmm")</f>
        <v>May</v>
      </c>
      <c r="C475" s="27" t="str">
        <f>_xlfn.IFNA(INDEX(Refer!$B$5:$B$103,MATCH(Table6[[#This Row],[TASK]],Refer!$C$5:$C$103,0)),"")</f>
        <v>RFQ</v>
      </c>
      <c r="D475" s="93" t="s">
        <v>123</v>
      </c>
      <c r="E475" s="79" t="s">
        <v>532</v>
      </c>
      <c r="F475" s="82" t="s">
        <v>407</v>
      </c>
      <c r="G475" s="27" t="s">
        <v>440</v>
      </c>
      <c r="H475" s="41">
        <v>46163</v>
      </c>
      <c r="I475" s="41">
        <v>46164</v>
      </c>
      <c r="J475" s="41">
        <v>46164</v>
      </c>
      <c r="K475" s="27" t="str">
        <f>IF(Table6[[#This Row],[Finish Date]]=0,"On process","Close")</f>
        <v>Close</v>
      </c>
      <c r="L475" s="27" t="str">
        <f>IF(Table6[[#This Row],[Status]]="On process",IF($H$2&gt;Table6[[#This Row],[Target Date]],"Overdue","On time"),"Closed")</f>
        <v>Closed</v>
      </c>
      <c r="M475" s="27" t="str" cm="1">
        <f t="array" ref="M475">_xlfn.IFS(Table6[[#This Row],[Finish Date]]=0,"",Table6[[#This Row],[Finish Date]]&gt;Table6[[#This Row],[Target Date]],"Delay",Table6[[#This Row],[Finish Date]]&lt;=Table6[[#This Row],[Target Date]],"On Time")</f>
        <v>On Time</v>
      </c>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row>
    <row r="476" spans="1:41" ht="21" hidden="1" customHeight="1">
      <c r="A476" s="27">
        <f>WEEKNUM(Table6[[#This Row],[Start Date]])</f>
        <v>21</v>
      </c>
      <c r="B476" s="27" t="str">
        <f>TEXT(Table6[[#This Row],[Start Date]],"mmm")</f>
        <v>May</v>
      </c>
      <c r="C476" s="27" t="str">
        <f>_xlfn.IFNA(INDEX(Refer!$B$5:$B$103,MATCH(Table6[[#This Row],[TASK]],Refer!$C$5:$C$103,0)),"")</f>
        <v>MEETING</v>
      </c>
      <c r="D476" s="93" t="s">
        <v>72</v>
      </c>
      <c r="E476" s="79" t="s">
        <v>491</v>
      </c>
      <c r="F476" s="82" t="s">
        <v>492</v>
      </c>
      <c r="G476" s="27" t="s">
        <v>440</v>
      </c>
      <c r="H476" s="41">
        <v>46164</v>
      </c>
      <c r="I476" s="41">
        <v>46164</v>
      </c>
      <c r="J476" s="41">
        <v>46164</v>
      </c>
      <c r="K476" s="27" t="str">
        <f>IF(Table6[[#This Row],[Finish Date]]=0,"On process","Close")</f>
        <v>Close</v>
      </c>
      <c r="L476" s="27" t="str">
        <f>IF(Table6[[#This Row],[Status]]="On process",IF($H$2&gt;Table6[[#This Row],[Target Date]],"Overdue","On time"),"Closed")</f>
        <v>Closed</v>
      </c>
      <c r="M476" s="27" t="str" cm="1">
        <f t="array" ref="M476">_xlfn.IFS(Table6[[#This Row],[Finish Date]]=0,"",Table6[[#This Row],[Finish Date]]&gt;Table6[[#This Row],[Target Date]],"Delay",Table6[[#This Row],[Finish Date]]&lt;=Table6[[#This Row],[Target Date]],"On Time")</f>
        <v>On Time</v>
      </c>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row>
    <row r="477" spans="1:41" ht="21" hidden="1" customHeight="1">
      <c r="A477" s="27">
        <f>WEEKNUM(Table6[[#This Row],[Start Date]])</f>
        <v>21</v>
      </c>
      <c r="B477" s="27" t="str">
        <f>TEXT(Table6[[#This Row],[Start Date]],"mmm")</f>
        <v>May</v>
      </c>
      <c r="C477" s="27" t="str">
        <f>_xlfn.IFNA(INDEX(Refer!$B$5:$B$103,MATCH(Table6[[#This Row],[TASK]],Refer!$C$5:$C$103,0)),"")</f>
        <v>RFQ</v>
      </c>
      <c r="D477" s="93" t="s">
        <v>123</v>
      </c>
      <c r="E477" s="79" t="s">
        <v>533</v>
      </c>
      <c r="F477" s="82" t="s">
        <v>206</v>
      </c>
      <c r="G477" s="27" t="s">
        <v>440</v>
      </c>
      <c r="H477" s="41">
        <v>46164</v>
      </c>
      <c r="I477" s="41">
        <v>46164</v>
      </c>
      <c r="J477" s="41">
        <v>46164</v>
      </c>
      <c r="K477" s="27" t="str">
        <f>IF(Table6[[#This Row],[Finish Date]]=0,"On process","Close")</f>
        <v>Close</v>
      </c>
      <c r="L477" s="27" t="str">
        <f>IF(Table6[[#This Row],[Status]]="On process",IF($H$2&gt;Table6[[#This Row],[Target Date]],"Overdue","On time"),"Closed")</f>
        <v>Closed</v>
      </c>
      <c r="M477" s="27" t="str" cm="1">
        <f t="array" ref="M477">_xlfn.IFS(Table6[[#This Row],[Finish Date]]=0,"",Table6[[#This Row],[Finish Date]]&gt;Table6[[#This Row],[Target Date]],"Delay",Table6[[#This Row],[Finish Date]]&lt;=Table6[[#This Row],[Target Date]],"On Time")</f>
        <v>On Time</v>
      </c>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row>
    <row r="478" spans="1:41" ht="21" hidden="1" customHeight="1">
      <c r="A478" s="27">
        <f>WEEKNUM(Table6[[#This Row],[Start Date]])</f>
        <v>21</v>
      </c>
      <c r="B478" s="27" t="str">
        <f>TEXT(Table6[[#This Row],[Start Date]],"mmm")</f>
        <v>May</v>
      </c>
      <c r="C478" s="27" t="str">
        <f>_xlfn.IFNA(INDEX(Refer!$B$5:$B$103,MATCH(Table6[[#This Row],[TASK]],Refer!$C$5:$C$103,0)),"")</f>
        <v>PACKING</v>
      </c>
      <c r="D478" s="93" t="s">
        <v>112</v>
      </c>
      <c r="E478" s="79" t="s">
        <v>534</v>
      </c>
      <c r="F478" s="82" t="s">
        <v>95</v>
      </c>
      <c r="G478" s="27" t="s">
        <v>440</v>
      </c>
      <c r="H478" s="41">
        <v>46164</v>
      </c>
      <c r="I478" s="41">
        <v>46167</v>
      </c>
      <c r="J478" s="41">
        <v>46167</v>
      </c>
      <c r="K478" s="27" t="str">
        <f>IF(Table6[[#This Row],[Finish Date]]=0,"On process","Close")</f>
        <v>Close</v>
      </c>
      <c r="L478" s="27" t="str">
        <f>IF(Table6[[#This Row],[Status]]="On process",IF($H$2&gt;Table6[[#This Row],[Target Date]],"Overdue","On time"),"Closed")</f>
        <v>Closed</v>
      </c>
      <c r="M478" s="27" t="str" cm="1">
        <f t="array" ref="M478">_xlfn.IFS(Table6[[#This Row],[Finish Date]]=0,"",Table6[[#This Row],[Finish Date]]&gt;Table6[[#This Row],[Target Date]],"Delay",Table6[[#This Row],[Finish Date]]&lt;=Table6[[#This Row],[Target Date]],"On Time")</f>
        <v>On Time</v>
      </c>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row>
    <row r="479" spans="1:41" ht="21" hidden="1" customHeight="1">
      <c r="A479" s="27">
        <f>WEEKNUM(Table6[[#This Row],[Start Date]])</f>
        <v>22</v>
      </c>
      <c r="B479" s="27" t="str">
        <f>TEXT(Table6[[#This Row],[Start Date]],"mmm")</f>
        <v>May</v>
      </c>
      <c r="C479" s="27" t="str">
        <f>_xlfn.IFNA(INDEX(Refer!$B$5:$B$103,MATCH(Table6[[#This Row],[TASK]],Refer!$C$5:$C$103,0)),"")</f>
        <v>RFQ</v>
      </c>
      <c r="D479" s="93" t="s">
        <v>123</v>
      </c>
      <c r="E479" s="79" t="s">
        <v>535</v>
      </c>
      <c r="F479" s="82" t="s">
        <v>536</v>
      </c>
      <c r="G479" s="27" t="s">
        <v>440</v>
      </c>
      <c r="H479" s="41">
        <v>46167</v>
      </c>
      <c r="I479" s="41">
        <v>46169</v>
      </c>
      <c r="J479" s="41">
        <v>46169</v>
      </c>
      <c r="K479" s="27" t="str">
        <f>IF(Table6[[#This Row],[Finish Date]]=0,"On process","Close")</f>
        <v>Close</v>
      </c>
      <c r="L479" s="27" t="str">
        <f>IF(Table6[[#This Row],[Status]]="On process",IF($H$2&gt;Table6[[#This Row],[Target Date]],"Overdue","On time"),"Closed")</f>
        <v>Closed</v>
      </c>
      <c r="M479" s="27" t="str" cm="1">
        <f t="array" ref="M479">_xlfn.IFS(Table6[[#This Row],[Finish Date]]=0,"",Table6[[#This Row],[Finish Date]]&gt;Table6[[#This Row],[Target Date]],"Delay",Table6[[#This Row],[Finish Date]]&lt;=Table6[[#This Row],[Target Date]],"On Time")</f>
        <v>On Time</v>
      </c>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row>
    <row r="480" spans="1:41" ht="21" hidden="1" customHeight="1">
      <c r="A480" s="27">
        <f>WEEKNUM(Table6[[#This Row],[Start Date]])</f>
        <v>22</v>
      </c>
      <c r="B480" s="27" t="str">
        <f>TEXT(Table6[[#This Row],[Start Date]],"mmm")</f>
        <v>May</v>
      </c>
      <c r="C480" s="27" t="str">
        <f>_xlfn.IFNA(INDEX(Refer!$B$5:$B$103,MATCH(Table6[[#This Row],[TASK]],Refer!$C$5:$C$103,0)),"")</f>
        <v>NPI</v>
      </c>
      <c r="D480" s="93" t="s">
        <v>521</v>
      </c>
      <c r="E480" s="79" t="s">
        <v>537</v>
      </c>
      <c r="F480" s="82"/>
      <c r="G480" s="27" t="s">
        <v>440</v>
      </c>
      <c r="H480" s="41">
        <v>46168</v>
      </c>
      <c r="I480" s="41">
        <v>46168</v>
      </c>
      <c r="J480" s="41">
        <v>46168</v>
      </c>
      <c r="K480" s="27" t="str">
        <f>IF(Table6[[#This Row],[Finish Date]]=0,"On process","Close")</f>
        <v>Close</v>
      </c>
      <c r="L480" s="27" t="str">
        <f>IF(Table6[[#This Row],[Status]]="On process",IF($H$2&gt;Table6[[#This Row],[Target Date]],"Overdue","On time"),"Closed")</f>
        <v>Closed</v>
      </c>
      <c r="M480" s="27" t="str" cm="1">
        <f t="array" ref="M480">_xlfn.IFS(Table6[[#This Row],[Finish Date]]=0,"",Table6[[#This Row],[Finish Date]]&gt;Table6[[#This Row],[Target Date]],"Delay",Table6[[#This Row],[Finish Date]]&lt;=Table6[[#This Row],[Target Date]],"On Time")</f>
        <v>On Time</v>
      </c>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row>
    <row r="481" spans="1:41" ht="21" hidden="1" customHeight="1">
      <c r="A481" s="27">
        <f>WEEKNUM(Table6[[#This Row],[Start Date]])</f>
        <v>22</v>
      </c>
      <c r="B481" s="27" t="str">
        <f>TEXT(Table6[[#This Row],[Start Date]],"mmm")</f>
        <v>May</v>
      </c>
      <c r="C481" s="27" t="str">
        <f>_xlfn.IFNA(INDEX(Refer!$B$5:$B$103,MATCH(Table6[[#This Row],[TASK]],Refer!$C$5:$C$103,0)),"")</f>
        <v>PACKING</v>
      </c>
      <c r="D481" s="93" t="s">
        <v>147</v>
      </c>
      <c r="E481" s="79" t="s">
        <v>538</v>
      </c>
      <c r="F481" s="82" t="s">
        <v>95</v>
      </c>
      <c r="G481" s="27" t="s">
        <v>440</v>
      </c>
      <c r="H481" s="41">
        <v>46168</v>
      </c>
      <c r="I481" s="41">
        <v>46168</v>
      </c>
      <c r="J481" s="41">
        <v>46168</v>
      </c>
      <c r="K481" s="27" t="str">
        <f>IF(Table6[[#This Row],[Finish Date]]=0,"On process","Close")</f>
        <v>Close</v>
      </c>
      <c r="L481" s="27" t="str">
        <f>IF(Table6[[#This Row],[Status]]="On process",IF($H$2&gt;Table6[[#This Row],[Target Date]],"Overdue","On time"),"Closed")</f>
        <v>Closed</v>
      </c>
      <c r="M481" s="27" t="str" cm="1">
        <f t="array" ref="M481">_xlfn.IFS(Table6[[#This Row],[Finish Date]]=0,"",Table6[[#This Row],[Finish Date]]&gt;Table6[[#This Row],[Target Date]],"Delay",Table6[[#This Row],[Finish Date]]&lt;=Table6[[#This Row],[Target Date]],"On Time")</f>
        <v>On Time</v>
      </c>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row>
    <row r="482" spans="1:41" ht="21" hidden="1" customHeight="1">
      <c r="A482" s="27">
        <f>WEEKNUM(Table6[[#This Row],[Start Date]])</f>
        <v>23</v>
      </c>
      <c r="B482" s="27" t="str">
        <f>TEXT(Table6[[#This Row],[Start Date]],"mmm")</f>
        <v>Jun</v>
      </c>
      <c r="C482" s="27" t="str">
        <f>_xlfn.IFNA(INDEX(Refer!$B$5:$B$103,MATCH(Table6[[#This Row],[TASK]],Refer!$C$5:$C$103,0)),"")</f>
        <v>RFQ</v>
      </c>
      <c r="D482" s="93" t="s">
        <v>123</v>
      </c>
      <c r="E482" s="79" t="s">
        <v>539</v>
      </c>
      <c r="F482" s="82" t="s">
        <v>540</v>
      </c>
      <c r="G482" s="27" t="s">
        <v>440</v>
      </c>
      <c r="H482" s="41">
        <v>46176</v>
      </c>
      <c r="I482" s="41">
        <v>46178</v>
      </c>
      <c r="J482" s="41">
        <v>46177</v>
      </c>
      <c r="K482" s="27" t="str">
        <f>IF(Table6[[#This Row],[Finish Date]]=0,"On process","Close")</f>
        <v>Close</v>
      </c>
      <c r="L482" s="27" t="str">
        <f>IF(Table6[[#This Row],[Status]]="On process",IF($H$2&gt;Table6[[#This Row],[Target Date]],"Overdue","On time"),"Closed")</f>
        <v>Closed</v>
      </c>
      <c r="M482" s="27" t="str" cm="1">
        <f t="array" ref="M482">_xlfn.IFS(Table6[[#This Row],[Finish Date]]=0,"",Table6[[#This Row],[Finish Date]]&gt;Table6[[#This Row],[Target Date]],"Delay",Table6[[#This Row],[Finish Date]]&lt;=Table6[[#This Row],[Target Date]],"On Time")</f>
        <v>On Time</v>
      </c>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row>
    <row r="483" spans="1:41" ht="21" hidden="1" customHeight="1">
      <c r="A483" s="27">
        <f>WEEKNUM(Table6[[#This Row],[Start Date]])</f>
        <v>22</v>
      </c>
      <c r="B483" s="27" t="str">
        <f>TEXT(Table6[[#This Row],[Start Date]],"mmm")</f>
        <v>May</v>
      </c>
      <c r="C483" s="27" t="str">
        <f>_xlfn.IFNA(INDEX(Refer!$B$5:$B$103,MATCH(Table6[[#This Row],[TASK]],Refer!$C$5:$C$103,0)),"")</f>
        <v>PACKING</v>
      </c>
      <c r="D483" s="93" t="s">
        <v>112</v>
      </c>
      <c r="E483" s="79" t="s">
        <v>541</v>
      </c>
      <c r="F483" s="82" t="s">
        <v>66</v>
      </c>
      <c r="G483" s="27" t="s">
        <v>440</v>
      </c>
      <c r="H483" s="41">
        <v>46170</v>
      </c>
      <c r="I483" s="41">
        <v>46171</v>
      </c>
      <c r="J483" s="41">
        <v>46170</v>
      </c>
      <c r="K483" s="27" t="str">
        <f>IF(Table6[[#This Row],[Finish Date]]=0,"On process","Close")</f>
        <v>Close</v>
      </c>
      <c r="L483" s="27" t="str">
        <f>IF(Table6[[#This Row],[Status]]="On process",IF($H$2&gt;Table6[[#This Row],[Target Date]],"Overdue","On time"),"Closed")</f>
        <v>Closed</v>
      </c>
      <c r="M483" s="27" t="str" cm="1">
        <f t="array" ref="M483">_xlfn.IFS(Table6[[#This Row],[Finish Date]]=0,"",Table6[[#This Row],[Finish Date]]&gt;Table6[[#This Row],[Target Date]],"Delay",Table6[[#This Row],[Finish Date]]&lt;=Table6[[#This Row],[Target Date]],"On Time")</f>
        <v>On Time</v>
      </c>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row>
    <row r="484" spans="1:41" ht="21" hidden="1" customHeight="1">
      <c r="A484" s="27">
        <f>WEEKNUM(Table6[[#This Row],[Start Date]])</f>
        <v>22</v>
      </c>
      <c r="B484" s="27" t="str">
        <f>TEXT(Table6[[#This Row],[Start Date]],"mmm")</f>
        <v>May</v>
      </c>
      <c r="C484" s="27" t="str">
        <f>_xlfn.IFNA(INDEX(Refer!$B$5:$B$103,MATCH(Table6[[#This Row],[TASK]],Refer!$C$5:$C$103,0)),"")</f>
        <v>RFQ</v>
      </c>
      <c r="D484" s="93" t="s">
        <v>123</v>
      </c>
      <c r="E484" s="79" t="s">
        <v>542</v>
      </c>
      <c r="F484" s="82" t="s">
        <v>134</v>
      </c>
      <c r="G484" s="27" t="s">
        <v>440</v>
      </c>
      <c r="H484" s="41">
        <v>46171</v>
      </c>
      <c r="I484" s="41">
        <v>46175</v>
      </c>
      <c r="J484" s="41">
        <v>46171</v>
      </c>
      <c r="K484" s="27" t="str">
        <f>IF(Table6[[#This Row],[Finish Date]]=0,"On process","Close")</f>
        <v>Close</v>
      </c>
      <c r="L484" s="27" t="str">
        <f>IF(Table6[[#This Row],[Status]]="On process",IF($H$2&gt;Table6[[#This Row],[Target Date]],"Overdue","On time"),"Closed")</f>
        <v>Closed</v>
      </c>
      <c r="M484" s="27" t="str" cm="1">
        <f t="array" ref="M484">_xlfn.IFS(Table6[[#This Row],[Finish Date]]=0,"",Table6[[#This Row],[Finish Date]]&gt;Table6[[#This Row],[Target Date]],"Delay",Table6[[#This Row],[Finish Date]]&lt;=Table6[[#This Row],[Target Date]],"On Time")</f>
        <v>On Time</v>
      </c>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row>
    <row r="485" spans="1:41" ht="21" hidden="1" customHeight="1">
      <c r="A485" s="27">
        <f>WEEKNUM(Table6[[#This Row],[Start Date]])</f>
        <v>23</v>
      </c>
      <c r="B485" s="27" t="str">
        <f>TEXT(Table6[[#This Row],[Start Date]],"mmm")</f>
        <v>Jun</v>
      </c>
      <c r="C485" s="27" t="str">
        <f>_xlfn.IFNA(INDEX(Refer!$B$5:$B$103,MATCH(Table6[[#This Row],[TASK]],Refer!$C$5:$C$103,0)),"")</f>
        <v>RFQ</v>
      </c>
      <c r="D485" s="93" t="s">
        <v>123</v>
      </c>
      <c r="E485" s="79" t="s">
        <v>543</v>
      </c>
      <c r="F485" s="82" t="s">
        <v>544</v>
      </c>
      <c r="G485" s="27" t="s">
        <v>440</v>
      </c>
      <c r="H485" s="41">
        <v>46177</v>
      </c>
      <c r="I485" s="41">
        <v>46181</v>
      </c>
      <c r="J485" s="41">
        <v>46177</v>
      </c>
      <c r="K485" s="27" t="str">
        <f>IF(Table6[[#This Row],[Finish Date]]=0,"On process","Close")</f>
        <v>Close</v>
      </c>
      <c r="L485" s="27" t="str">
        <f>IF(Table6[[#This Row],[Status]]="On process",IF($H$2&gt;Table6[[#This Row],[Target Date]],"Overdue","On time"),"Closed")</f>
        <v>Closed</v>
      </c>
      <c r="M485" s="27" t="str" cm="1">
        <f t="array" ref="M485">_xlfn.IFS(Table6[[#This Row],[Finish Date]]=0,"",Table6[[#This Row],[Finish Date]]&gt;Table6[[#This Row],[Target Date]],"Delay",Table6[[#This Row],[Finish Date]]&lt;=Table6[[#This Row],[Target Date]],"On Time")</f>
        <v>On Time</v>
      </c>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row>
    <row r="486" spans="1:41" ht="21" hidden="1" customHeight="1">
      <c r="A486" s="27">
        <f>WEEKNUM(Table6[[#This Row],[Start Date]])</f>
        <v>22</v>
      </c>
      <c r="B486" s="27" t="str">
        <f>TEXT(Table6[[#This Row],[Start Date]],"mmm")</f>
        <v>May</v>
      </c>
      <c r="C486" s="27" t="str">
        <f>_xlfn.IFNA(INDEX(Refer!$B$5:$B$103,MATCH(Table6[[#This Row],[TASK]],Refer!$C$5:$C$103,0)),"")</f>
        <v>Part DFM</v>
      </c>
      <c r="D486" s="93" t="s">
        <v>447</v>
      </c>
      <c r="E486" s="79" t="s">
        <v>545</v>
      </c>
      <c r="F486" s="82" t="s">
        <v>177</v>
      </c>
      <c r="G486" s="27" t="s">
        <v>64</v>
      </c>
      <c r="H486" s="41">
        <v>46168</v>
      </c>
      <c r="I486" s="41">
        <v>46169</v>
      </c>
      <c r="J486" s="41">
        <v>46169</v>
      </c>
      <c r="K486" s="27" t="str">
        <f>IF(Table6[[#This Row],[Finish Date]]=0,"On process","Close")</f>
        <v>Close</v>
      </c>
      <c r="L486" s="27" t="str">
        <f>IF(Table6[[#This Row],[Status]]="On process",IF($H$2&gt;Table6[[#This Row],[Target Date]],"Overdue","On time"),"Closed")</f>
        <v>Closed</v>
      </c>
      <c r="M486" s="27" t="str" cm="1">
        <f t="array" ref="M486">_xlfn.IFS(Table6[[#This Row],[Finish Date]]=0,"",Table6[[#This Row],[Finish Date]]&gt;Table6[[#This Row],[Target Date]],"Delay",Table6[[#This Row],[Finish Date]]&lt;=Table6[[#This Row],[Target Date]],"On Time")</f>
        <v>On Time</v>
      </c>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row>
    <row r="487" spans="1:41" ht="21" hidden="1" customHeight="1">
      <c r="A487" s="27">
        <f>WEEKNUM(Table6[[#This Row],[Start Date]])</f>
        <v>22</v>
      </c>
      <c r="B487" s="27" t="str">
        <f>TEXT(Table6[[#This Row],[Start Date]],"mmm")</f>
        <v>May</v>
      </c>
      <c r="C487" s="27" t="str">
        <f>_xlfn.IFNA(INDEX(Refer!$B$5:$B$103,MATCH(Table6[[#This Row],[TASK]],Refer!$C$5:$C$103,0)),"")</f>
        <v>PACKING</v>
      </c>
      <c r="D487" s="93" t="s">
        <v>120</v>
      </c>
      <c r="E487" s="79" t="s">
        <v>546</v>
      </c>
      <c r="F487" s="82" t="s">
        <v>177</v>
      </c>
      <c r="G487" s="27" t="s">
        <v>64</v>
      </c>
      <c r="H487" s="41">
        <v>46169</v>
      </c>
      <c r="I487" s="41">
        <v>46169</v>
      </c>
      <c r="J487" s="41">
        <v>46169</v>
      </c>
      <c r="K487" s="27" t="str">
        <f>IF(Table6[[#This Row],[Finish Date]]=0,"On process","Close")</f>
        <v>Close</v>
      </c>
      <c r="L487" s="27" t="str">
        <f>IF(Table6[[#This Row],[Status]]="On process",IF($H$2&gt;Table6[[#This Row],[Target Date]],"Overdue","On time"),"Closed")</f>
        <v>Closed</v>
      </c>
      <c r="M487" s="27" t="str" cm="1">
        <f t="array" ref="M487">_xlfn.IFS(Table6[[#This Row],[Finish Date]]=0,"",Table6[[#This Row],[Finish Date]]&gt;Table6[[#This Row],[Target Date]],"Delay",Table6[[#This Row],[Finish Date]]&lt;=Table6[[#This Row],[Target Date]],"On Time")</f>
        <v>On Time</v>
      </c>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row>
    <row r="488" spans="1:41" ht="21" hidden="1" customHeight="1">
      <c r="A488" s="27">
        <f>WEEKNUM(Table6[[#This Row],[Start Date]])</f>
        <v>22</v>
      </c>
      <c r="B488" s="27" t="str">
        <f>TEXT(Table6[[#This Row],[Start Date]],"mmm")</f>
        <v>May</v>
      </c>
      <c r="C488" s="27" t="str">
        <f>_xlfn.IFNA(INDEX(Refer!$B$5:$B$103,MATCH(Table6[[#This Row],[TASK]],Refer!$C$5:$C$103,0)),"")</f>
        <v>PACKING</v>
      </c>
      <c r="D488" s="93" t="s">
        <v>120</v>
      </c>
      <c r="E488" s="79" t="s">
        <v>547</v>
      </c>
      <c r="F488" s="82" t="s">
        <v>177</v>
      </c>
      <c r="G488" s="27" t="s">
        <v>64</v>
      </c>
      <c r="H488" s="41">
        <v>46170</v>
      </c>
      <c r="I488" s="41">
        <v>46171</v>
      </c>
      <c r="J488" s="41">
        <v>46171</v>
      </c>
      <c r="K488" s="27" t="str">
        <f>IF(Table6[[#This Row],[Finish Date]]=0,"On process","Close")</f>
        <v>Close</v>
      </c>
      <c r="L488" s="27" t="str">
        <f>IF(Table6[[#This Row],[Status]]="On process",IF($H$2&gt;Table6[[#This Row],[Target Date]],"Overdue","On time"),"Closed")</f>
        <v>Closed</v>
      </c>
      <c r="M488" s="27" t="str" cm="1">
        <f t="array" ref="M488">_xlfn.IFS(Table6[[#This Row],[Finish Date]]=0,"",Table6[[#This Row],[Finish Date]]&gt;Table6[[#This Row],[Target Date]],"Delay",Table6[[#This Row],[Finish Date]]&lt;=Table6[[#This Row],[Target Date]],"On Time")</f>
        <v>On Time</v>
      </c>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row>
    <row r="489" spans="1:41" ht="21" hidden="1" customHeight="1">
      <c r="A489" s="27">
        <f>WEEKNUM(Table6[[#This Row],[Start Date]])</f>
        <v>22</v>
      </c>
      <c r="B489" s="27" t="str">
        <f>TEXT(Table6[[#This Row],[Start Date]],"mmm")</f>
        <v>May</v>
      </c>
      <c r="C489" s="27" t="str">
        <f>_xlfn.IFNA(INDEX(Refer!$B$5:$B$103,MATCH(Table6[[#This Row],[TASK]],Refer!$C$5:$C$103,0)),"")</f>
        <v>PACKING</v>
      </c>
      <c r="D489" s="93" t="s">
        <v>120</v>
      </c>
      <c r="E489" s="79" t="s">
        <v>548</v>
      </c>
      <c r="F489" s="82" t="s">
        <v>177</v>
      </c>
      <c r="G489" s="27" t="s">
        <v>64</v>
      </c>
      <c r="H489" s="41">
        <v>46169</v>
      </c>
      <c r="I489" s="41">
        <v>46169</v>
      </c>
      <c r="J489" s="41">
        <v>46169</v>
      </c>
      <c r="K489" s="27" t="str">
        <f>IF(Table6[[#This Row],[Finish Date]]=0,"On process","Close")</f>
        <v>Close</v>
      </c>
      <c r="L489" s="27" t="str">
        <f>IF(Table6[[#This Row],[Status]]="On process",IF($H$2&gt;Table6[[#This Row],[Target Date]],"Overdue","On time"),"Closed")</f>
        <v>Closed</v>
      </c>
      <c r="M489" s="27" t="str" cm="1">
        <f t="array" ref="M489">_xlfn.IFS(Table6[[#This Row],[Finish Date]]=0,"",Table6[[#This Row],[Finish Date]]&gt;Table6[[#This Row],[Target Date]],"Delay",Table6[[#This Row],[Finish Date]]&lt;=Table6[[#This Row],[Target Date]],"On Time")</f>
        <v>On Time</v>
      </c>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row>
    <row r="490" spans="1:41" ht="21" hidden="1" customHeight="1">
      <c r="A490" s="27">
        <f>WEEKNUM(Table6[[#This Row],[Start Date]])</f>
        <v>22</v>
      </c>
      <c r="B490" s="27" t="str">
        <f>TEXT(Table6[[#This Row],[Start Date]],"mmm")</f>
        <v>May</v>
      </c>
      <c r="C490" s="27" t="str">
        <f>_xlfn.IFNA(INDEX(Refer!$B$5:$B$103,MATCH(Table6[[#This Row],[TASK]],Refer!$C$5:$C$103,0)),"")</f>
        <v>PACKING</v>
      </c>
      <c r="D490" s="93" t="s">
        <v>120</v>
      </c>
      <c r="E490" s="79" t="s">
        <v>549</v>
      </c>
      <c r="F490" s="82" t="s">
        <v>177</v>
      </c>
      <c r="G490" s="27" t="s">
        <v>64</v>
      </c>
      <c r="H490" s="41">
        <v>46169</v>
      </c>
      <c r="I490" s="41">
        <v>46169</v>
      </c>
      <c r="J490" s="41">
        <v>46169</v>
      </c>
      <c r="K490" s="27" t="str">
        <f>IF(Table6[[#This Row],[Finish Date]]=0,"On process","Close")</f>
        <v>Close</v>
      </c>
      <c r="L490" s="27" t="str">
        <f>IF(Table6[[#This Row],[Status]]="On process",IF($H$2&gt;Table6[[#This Row],[Target Date]],"Overdue","On time"),"Closed")</f>
        <v>Closed</v>
      </c>
      <c r="M490" s="27" t="str" cm="1">
        <f t="array" ref="M490">_xlfn.IFS(Table6[[#This Row],[Finish Date]]=0,"",Table6[[#This Row],[Finish Date]]&gt;Table6[[#This Row],[Target Date]],"Delay",Table6[[#This Row],[Finish Date]]&lt;=Table6[[#This Row],[Target Date]],"On Time")</f>
        <v>On Time</v>
      </c>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row>
    <row r="491" spans="1:41" ht="21" hidden="1" customHeight="1">
      <c r="A491" s="27">
        <f>WEEKNUM(Table6[[#This Row],[Start Date]])</f>
        <v>22</v>
      </c>
      <c r="B491" s="27" t="str">
        <f>TEXT(Table6[[#This Row],[Start Date]],"mmm")</f>
        <v>May</v>
      </c>
      <c r="C491" s="27" t="str">
        <f>_xlfn.IFNA(INDEX(Refer!$B$5:$B$103,MATCH(Table6[[#This Row],[TASK]],Refer!$C$5:$C$103,0)),"")</f>
        <v>DFM Mold</v>
      </c>
      <c r="D491" s="93" t="s">
        <v>99</v>
      </c>
      <c r="E491" s="79" t="s">
        <v>525</v>
      </c>
      <c r="F491" s="82" t="s">
        <v>95</v>
      </c>
      <c r="G491" s="27" t="s">
        <v>64</v>
      </c>
      <c r="H491" s="41">
        <v>46169</v>
      </c>
      <c r="I491" s="41">
        <v>46169</v>
      </c>
      <c r="J491" s="41">
        <v>46169</v>
      </c>
      <c r="K491" s="27" t="str">
        <f>IF(Table6[[#This Row],[Finish Date]]=0,"On process","Close")</f>
        <v>Close</v>
      </c>
      <c r="L491" s="27" t="str">
        <f>IF(Table6[[#This Row],[Status]]="On process",IF($H$2&gt;Table6[[#This Row],[Target Date]],"Overdue","On time"),"Closed")</f>
        <v>Closed</v>
      </c>
      <c r="M491" s="27" t="str" cm="1">
        <f t="array" ref="M491">_xlfn.IFS(Table6[[#This Row],[Finish Date]]=0,"",Table6[[#This Row],[Finish Date]]&gt;Table6[[#This Row],[Target Date]],"Delay",Table6[[#This Row],[Finish Date]]&lt;=Table6[[#This Row],[Target Date]],"On Time")</f>
        <v>On Time</v>
      </c>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row>
    <row r="492" spans="1:41" ht="21" hidden="1" customHeight="1">
      <c r="A492" s="27">
        <f>WEEKNUM(Table6[[#This Row],[Start Date]])</f>
        <v>22</v>
      </c>
      <c r="B492" s="27" t="str">
        <f>TEXT(Table6[[#This Row],[Start Date]],"mmm")</f>
        <v>May</v>
      </c>
      <c r="C492" s="27" t="str">
        <f>_xlfn.IFNA(INDEX(Refer!$B$5:$B$103,MATCH(Table6[[#This Row],[TASK]],Refer!$C$5:$C$103,0)),"")</f>
        <v>DFM Mold</v>
      </c>
      <c r="D492" s="93" t="s">
        <v>99</v>
      </c>
      <c r="E492" s="79" t="s">
        <v>550</v>
      </c>
      <c r="F492" s="82" t="s">
        <v>66</v>
      </c>
      <c r="G492" s="27" t="s">
        <v>64</v>
      </c>
      <c r="H492" s="41">
        <v>46170</v>
      </c>
      <c r="I492" s="41">
        <v>46170</v>
      </c>
      <c r="J492" s="41">
        <v>46170</v>
      </c>
      <c r="K492" s="27" t="str">
        <f>IF(Table6[[#This Row],[Finish Date]]=0,"On process","Close")</f>
        <v>Close</v>
      </c>
      <c r="L492" s="27" t="str">
        <f>IF(Table6[[#This Row],[Status]]="On process",IF($H$2&gt;Table6[[#This Row],[Target Date]],"Overdue","On time"),"Closed")</f>
        <v>Closed</v>
      </c>
      <c r="M492" s="27" t="str" cm="1">
        <f t="array" ref="M492">_xlfn.IFS(Table6[[#This Row],[Finish Date]]=0,"",Table6[[#This Row],[Finish Date]]&gt;Table6[[#This Row],[Target Date]],"Delay",Table6[[#This Row],[Finish Date]]&lt;=Table6[[#This Row],[Target Date]],"On Time")</f>
        <v>On Time</v>
      </c>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row>
    <row r="493" spans="1:41" ht="21" hidden="1" customHeight="1">
      <c r="A493" s="27">
        <f>WEEKNUM(Table6[[#This Row],[Start Date]])</f>
        <v>23</v>
      </c>
      <c r="B493" s="27" t="str">
        <f>TEXT(Table6[[#This Row],[Start Date]],"mmm")</f>
        <v>Jun</v>
      </c>
      <c r="C493" s="27" t="str">
        <f>_xlfn.IFNA(INDEX(Refer!$B$5:$B$103,MATCH(Table6[[#This Row],[TASK]],Refer!$C$5:$C$103,0)),"")</f>
        <v>PACKING</v>
      </c>
      <c r="D493" s="93" t="s">
        <v>120</v>
      </c>
      <c r="E493" s="79" t="s">
        <v>551</v>
      </c>
      <c r="F493" s="82" t="s">
        <v>552</v>
      </c>
      <c r="G493" s="27" t="s">
        <v>64</v>
      </c>
      <c r="H493" s="41">
        <v>46177</v>
      </c>
      <c r="I493" s="41">
        <v>46178</v>
      </c>
      <c r="J493" s="41">
        <v>46178</v>
      </c>
      <c r="K493" s="27" t="str">
        <f>IF(Table6[[#This Row],[Finish Date]]=0,"On process","Close")</f>
        <v>Close</v>
      </c>
      <c r="L493" s="27" t="str">
        <f>IF(Table6[[#This Row],[Status]]="On process",IF($H$2&gt;Table6[[#This Row],[Target Date]],"Overdue","On time"),"Closed")</f>
        <v>Closed</v>
      </c>
      <c r="M493" s="27" t="str" cm="1">
        <f t="array" ref="M493">_xlfn.IFS(Table6[[#This Row],[Finish Date]]=0,"",Table6[[#This Row],[Finish Date]]&gt;Table6[[#This Row],[Target Date]],"Delay",Table6[[#This Row],[Finish Date]]&lt;=Table6[[#This Row],[Target Date]],"On Time")</f>
        <v>On Time</v>
      </c>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row>
    <row r="494" spans="1:41" ht="21" hidden="1" customHeight="1">
      <c r="A494" s="27">
        <f>WEEKNUM(Table6[[#This Row],[Start Date]])</f>
        <v>23</v>
      </c>
      <c r="B494" s="27" t="str">
        <f>TEXT(Table6[[#This Row],[Start Date]],"mmm")</f>
        <v>Jun</v>
      </c>
      <c r="C494" s="27" t="str">
        <f>_xlfn.IFNA(INDEX(Refer!$B$5:$B$103,MATCH(Table6[[#This Row],[TASK]],Refer!$C$5:$C$103,0)),"")</f>
        <v>PACKING</v>
      </c>
      <c r="D494" s="93" t="s">
        <v>120</v>
      </c>
      <c r="E494" s="79" t="s">
        <v>553</v>
      </c>
      <c r="F494" s="82" t="s">
        <v>66</v>
      </c>
      <c r="G494" s="27" t="s">
        <v>64</v>
      </c>
      <c r="H494" s="41">
        <v>46177</v>
      </c>
      <c r="I494" s="41">
        <v>46177</v>
      </c>
      <c r="J494" s="41">
        <v>46177</v>
      </c>
      <c r="K494" s="27" t="str">
        <f>IF(Table6[[#This Row],[Finish Date]]=0,"On process","Close")</f>
        <v>Close</v>
      </c>
      <c r="L494" s="27" t="str">
        <f>IF(Table6[[#This Row],[Status]]="On process",IF($H$2&gt;Table6[[#This Row],[Target Date]],"Overdue","On time"),"Closed")</f>
        <v>Closed</v>
      </c>
      <c r="M494" s="27" t="str" cm="1">
        <f t="array" ref="M494">_xlfn.IFS(Table6[[#This Row],[Finish Date]]=0,"",Table6[[#This Row],[Finish Date]]&gt;Table6[[#This Row],[Target Date]],"Delay",Table6[[#This Row],[Finish Date]]&lt;=Table6[[#This Row],[Target Date]],"On Time")</f>
        <v>On Time</v>
      </c>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row>
    <row r="495" spans="1:41" ht="21" hidden="1" customHeight="1">
      <c r="A495" s="27">
        <f>WEEKNUM(Table6[[#This Row],[Start Date]])</f>
        <v>23</v>
      </c>
      <c r="B495" s="27" t="str">
        <f>TEXT(Table6[[#This Row],[Start Date]],"mmm")</f>
        <v>Jun</v>
      </c>
      <c r="C495" s="27" t="str">
        <f>_xlfn.IFNA(INDEX(Refer!$B$5:$B$103,MATCH(Table6[[#This Row],[TASK]],Refer!$C$5:$C$103,0)),"")</f>
        <v>NPI</v>
      </c>
      <c r="D495" s="93" t="s">
        <v>521</v>
      </c>
      <c r="E495" s="79" t="s">
        <v>554</v>
      </c>
      <c r="F495" s="82" t="s">
        <v>66</v>
      </c>
      <c r="G495" s="27" t="s">
        <v>64</v>
      </c>
      <c r="H495" s="41">
        <v>46177</v>
      </c>
      <c r="I495" s="41">
        <v>46177</v>
      </c>
      <c r="J495" s="41">
        <v>46177</v>
      </c>
      <c r="K495" s="27" t="str">
        <f>IF(Table6[[#This Row],[Finish Date]]=0,"On process","Close")</f>
        <v>Close</v>
      </c>
      <c r="L495" s="27" t="str">
        <f>IF(Table6[[#This Row],[Status]]="On process",IF($H$2&gt;Table6[[#This Row],[Target Date]],"Overdue","On time"),"Closed")</f>
        <v>Closed</v>
      </c>
      <c r="M495" s="27" t="str" cm="1">
        <f t="array" ref="M495">_xlfn.IFS(Table6[[#This Row],[Finish Date]]=0,"",Table6[[#This Row],[Finish Date]]&gt;Table6[[#This Row],[Target Date]],"Delay",Table6[[#This Row],[Finish Date]]&lt;=Table6[[#This Row],[Target Date]],"On Time")</f>
        <v>On Time</v>
      </c>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row>
    <row r="496" spans="1:41" ht="21" hidden="1" customHeight="1">
      <c r="A496" s="27">
        <f>WEEKNUM(Table6[[#This Row],[Start Date]])</f>
        <v>23</v>
      </c>
      <c r="B496" s="27" t="str">
        <f>TEXT(Table6[[#This Row],[Start Date]],"mmm")</f>
        <v>Jun</v>
      </c>
      <c r="C496" s="27" t="str">
        <f>_xlfn.IFNA(INDEX(Refer!$B$5:$B$103,MATCH(Table6[[#This Row],[TASK]],Refer!$C$5:$C$103,0)),"")</f>
        <v>PACKING</v>
      </c>
      <c r="D496" s="93" t="s">
        <v>120</v>
      </c>
      <c r="E496" s="79" t="s">
        <v>555</v>
      </c>
      <c r="F496" s="82" t="s">
        <v>63</v>
      </c>
      <c r="G496" s="27" t="s">
        <v>64</v>
      </c>
      <c r="H496" s="41">
        <v>46178</v>
      </c>
      <c r="I496" s="41">
        <v>46178</v>
      </c>
      <c r="J496" s="41">
        <v>46178</v>
      </c>
      <c r="K496" s="27" t="str">
        <f>IF(Table6[[#This Row],[Finish Date]]=0,"On process","Close")</f>
        <v>Close</v>
      </c>
      <c r="L496" s="27" t="str">
        <f>IF(Table6[[#This Row],[Status]]="On process",IF($H$2&gt;Table6[[#This Row],[Target Date]],"Overdue","On time"),"Closed")</f>
        <v>Closed</v>
      </c>
      <c r="M496" s="27" t="str" cm="1">
        <f t="array" ref="M496">_xlfn.IFS(Table6[[#This Row],[Finish Date]]=0,"",Table6[[#This Row],[Finish Date]]&gt;Table6[[#This Row],[Target Date]],"Delay",Table6[[#This Row],[Finish Date]]&lt;=Table6[[#This Row],[Target Date]],"On Time")</f>
        <v>On Time</v>
      </c>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row>
    <row r="497" spans="1:41" ht="21" hidden="1" customHeight="1">
      <c r="A497" s="27">
        <f>WEEKNUM(Table6[[#This Row],[Start Date]])</f>
        <v>23</v>
      </c>
      <c r="B497" s="27" t="str">
        <f>TEXT(Table6[[#This Row],[Start Date]],"mmm")</f>
        <v>Jun</v>
      </c>
      <c r="C497" s="27" t="str">
        <f>_xlfn.IFNA(INDEX(Refer!$B$5:$B$103,MATCH(Table6[[#This Row],[TASK]],Refer!$C$5:$C$103,0)),"")</f>
        <v>PACKING</v>
      </c>
      <c r="D497" s="93" t="s">
        <v>120</v>
      </c>
      <c r="E497" s="79" t="s">
        <v>556</v>
      </c>
      <c r="F497" s="82" t="s">
        <v>95</v>
      </c>
      <c r="G497" s="27" t="s">
        <v>64</v>
      </c>
      <c r="H497" s="41">
        <v>46178</v>
      </c>
      <c r="I497" s="41">
        <v>46178</v>
      </c>
      <c r="J497" s="41">
        <v>46178</v>
      </c>
      <c r="K497" s="27" t="str">
        <f>IF(Table6[[#This Row],[Finish Date]]=0,"On process","Close")</f>
        <v>Close</v>
      </c>
      <c r="L497" s="27" t="str">
        <f>IF(Table6[[#This Row],[Status]]="On process",IF($H$2&gt;Table6[[#This Row],[Target Date]],"Overdue","On time"),"Closed")</f>
        <v>Closed</v>
      </c>
      <c r="M497" s="27" t="str" cm="1">
        <f t="array" ref="M497">_xlfn.IFS(Table6[[#This Row],[Finish Date]]=0,"",Table6[[#This Row],[Finish Date]]&gt;Table6[[#This Row],[Target Date]],"Delay",Table6[[#This Row],[Finish Date]]&lt;=Table6[[#This Row],[Target Date]],"On Time")</f>
        <v>On Time</v>
      </c>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row>
    <row r="498" spans="1:41" ht="21" hidden="1" customHeight="1">
      <c r="A498" s="27">
        <f>WEEKNUM(Table6[[#This Row],[Start Date]])</f>
        <v>23</v>
      </c>
      <c r="B498" s="27" t="str">
        <f>TEXT(Table6[[#This Row],[Start Date]],"mmm")</f>
        <v>Jun</v>
      </c>
      <c r="C498" s="27" t="str">
        <f>_xlfn.IFNA(INDEX(Refer!$B$5:$B$103,MATCH(Table6[[#This Row],[TASK]],Refer!$C$5:$C$103,0)),"")</f>
        <v>DFM Mold</v>
      </c>
      <c r="D498" s="93" t="s">
        <v>99</v>
      </c>
      <c r="E498" s="79" t="s">
        <v>557</v>
      </c>
      <c r="F498" s="82" t="s">
        <v>66</v>
      </c>
      <c r="G498" s="27" t="s">
        <v>64</v>
      </c>
      <c r="H498" s="41">
        <v>46178</v>
      </c>
      <c r="I498" s="41">
        <v>46178</v>
      </c>
      <c r="J498" s="41">
        <v>46178</v>
      </c>
      <c r="K498" s="27" t="str">
        <f>IF(Table6[[#This Row],[Finish Date]]=0,"On process","Close")</f>
        <v>Close</v>
      </c>
      <c r="L498" s="27" t="str">
        <f>IF(Table6[[#This Row],[Status]]="On process",IF($H$2&gt;Table6[[#This Row],[Target Date]],"Overdue","On time"),"Closed")</f>
        <v>Closed</v>
      </c>
      <c r="M498" s="27" t="str" cm="1">
        <f t="array" ref="M498">_xlfn.IFS(Table6[[#This Row],[Finish Date]]=0,"",Table6[[#This Row],[Finish Date]]&gt;Table6[[#This Row],[Target Date]],"Delay",Table6[[#This Row],[Finish Date]]&lt;=Table6[[#This Row],[Target Date]],"On Time")</f>
        <v>On Time</v>
      </c>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row>
    <row r="499" spans="1:41" ht="21" hidden="1" customHeight="1">
      <c r="A499" s="27">
        <f>WEEKNUM(Table6[[#This Row],[Start Date]])</f>
        <v>24</v>
      </c>
      <c r="B499" s="27" t="str">
        <f>TEXT(Table6[[#This Row],[Start Date]],"mmm")</f>
        <v>Jun</v>
      </c>
      <c r="C499" s="27" t="str">
        <f>_xlfn.IFNA(INDEX(Refer!$B$5:$B$103,MATCH(Table6[[#This Row],[TASK]],Refer!$C$5:$C$103,0)),"")</f>
        <v>PACKING</v>
      </c>
      <c r="D499" s="93" t="s">
        <v>120</v>
      </c>
      <c r="E499" s="79" t="s">
        <v>558</v>
      </c>
      <c r="F499" s="82" t="s">
        <v>114</v>
      </c>
      <c r="G499" s="27" t="s">
        <v>440</v>
      </c>
      <c r="H499" s="41">
        <v>46185</v>
      </c>
      <c r="I499" s="41">
        <v>46185</v>
      </c>
      <c r="J499" s="41">
        <v>46185</v>
      </c>
      <c r="K499" s="27" t="str">
        <f>IF(Table6[[#This Row],[Finish Date]]=0,"On process","Close")</f>
        <v>Close</v>
      </c>
      <c r="L499" s="27" t="str">
        <f>IF(Table6[[#This Row],[Status]]="On process",IF($H$2&gt;Table6[[#This Row],[Target Date]],"Overdue","On time"),"Closed")</f>
        <v>Closed</v>
      </c>
      <c r="M499" s="27" t="str" cm="1">
        <f t="array" ref="M499">_xlfn.IFS(Table6[[#This Row],[Finish Date]]=0,"",Table6[[#This Row],[Finish Date]]&gt;Table6[[#This Row],[Target Date]],"Delay",Table6[[#This Row],[Finish Date]]&lt;=Table6[[#This Row],[Target Date]],"On Time")</f>
        <v>On Time</v>
      </c>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row>
    <row r="500" spans="1:41" ht="21" hidden="1" customHeight="1">
      <c r="A500" s="27">
        <f>WEEKNUM(Table6[[#This Row],[Start Date]])</f>
        <v>24</v>
      </c>
      <c r="B500" s="27" t="str">
        <f>TEXT(Table6[[#This Row],[Start Date]],"mmm")</f>
        <v>Jun</v>
      </c>
      <c r="C500" s="27" t="str">
        <f>_xlfn.IFNA(INDEX(Refer!$B$5:$B$103,MATCH(Table6[[#This Row],[TASK]],Refer!$C$5:$C$103,0)),"")</f>
        <v>PACKING</v>
      </c>
      <c r="D500" s="93" t="s">
        <v>120</v>
      </c>
      <c r="E500" s="79" t="s">
        <v>559</v>
      </c>
      <c r="F500" s="82" t="s">
        <v>560</v>
      </c>
      <c r="G500" s="27" t="s">
        <v>440</v>
      </c>
      <c r="H500" s="41">
        <v>46185</v>
      </c>
      <c r="I500" s="41">
        <v>46185</v>
      </c>
      <c r="J500" s="41">
        <v>46185</v>
      </c>
      <c r="K500" s="27" t="str">
        <f>IF(Table6[[#This Row],[Finish Date]]=0,"On process","Close")</f>
        <v>Close</v>
      </c>
      <c r="L500" s="27" t="str">
        <f>IF(Table6[[#This Row],[Status]]="On process",IF($H$2&gt;Table6[[#This Row],[Target Date]],"Overdue","On time"),"Closed")</f>
        <v>Closed</v>
      </c>
      <c r="M500" s="27" t="str" cm="1">
        <f t="array" ref="M500">_xlfn.IFS(Table6[[#This Row],[Finish Date]]=0,"",Table6[[#This Row],[Finish Date]]&gt;Table6[[#This Row],[Target Date]],"Delay",Table6[[#This Row],[Finish Date]]&lt;=Table6[[#This Row],[Target Date]],"On Time")</f>
        <v>On Time</v>
      </c>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row>
    <row r="501" spans="1:41" ht="21" hidden="1" customHeight="1">
      <c r="A501" s="27">
        <f>WEEKNUM(Table6[[#This Row],[Start Date]])</f>
        <v>24</v>
      </c>
      <c r="B501" s="27" t="str">
        <f>TEXT(Table6[[#This Row],[Start Date]],"mmm")</f>
        <v>Jun</v>
      </c>
      <c r="C501" s="27" t="str">
        <f>_xlfn.IFNA(INDEX(Refer!$B$5:$B$103,MATCH(Table6[[#This Row],[TASK]],Refer!$C$5:$C$103,0)),"")</f>
        <v>NPI</v>
      </c>
      <c r="D501" s="93" t="s">
        <v>61</v>
      </c>
      <c r="E501" s="79" t="s">
        <v>561</v>
      </c>
      <c r="F501" s="82" t="s">
        <v>66</v>
      </c>
      <c r="G501" s="27" t="s">
        <v>64</v>
      </c>
      <c r="H501" s="41">
        <v>46181</v>
      </c>
      <c r="I501" s="41">
        <v>46182</v>
      </c>
      <c r="J501" s="41">
        <v>46181</v>
      </c>
      <c r="K501" s="27" t="str">
        <f>IF(Table6[[#This Row],[Finish Date]]=0,"On process","Close")</f>
        <v>Close</v>
      </c>
      <c r="L501" s="27" t="str">
        <f>IF(Table6[[#This Row],[Status]]="On process",IF($H$2&gt;Table6[[#This Row],[Target Date]],"Overdue","On time"),"Closed")</f>
        <v>Closed</v>
      </c>
      <c r="M501" s="27" t="str" cm="1">
        <f t="array" ref="M501">_xlfn.IFS(Table6[[#This Row],[Finish Date]]=0,"",Table6[[#This Row],[Finish Date]]&gt;Table6[[#This Row],[Target Date]],"Delay",Table6[[#This Row],[Finish Date]]&lt;=Table6[[#This Row],[Target Date]],"On Time")</f>
        <v>On Time</v>
      </c>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row>
    <row r="502" spans="1:41" ht="21" hidden="1" customHeight="1">
      <c r="A502" s="27">
        <f>WEEKNUM(Table6[[#This Row],[Start Date]])</f>
        <v>22</v>
      </c>
      <c r="B502" s="27" t="str">
        <f>TEXT(Table6[[#This Row],[Start Date]],"mmm")</f>
        <v>May</v>
      </c>
      <c r="C502" s="27" t="str">
        <f>_xlfn.IFNA(INDEX(Refer!$B$5:$B$103,MATCH(Table6[[#This Row],[TASK]],Refer!$C$5:$C$103,0)),"")</f>
        <v>PACKING</v>
      </c>
      <c r="D502" s="93" t="s">
        <v>112</v>
      </c>
      <c r="E502" s="79" t="s">
        <v>562</v>
      </c>
      <c r="F502" s="82" t="s">
        <v>63</v>
      </c>
      <c r="G502" s="27" t="s">
        <v>182</v>
      </c>
      <c r="H502" s="41">
        <v>46168</v>
      </c>
      <c r="I502" s="41">
        <v>46168</v>
      </c>
      <c r="J502" s="41">
        <v>46168</v>
      </c>
      <c r="K502" s="27" t="str">
        <f>IF(Table6[[#This Row],[Finish Date]]=0,"On process","Close")</f>
        <v>Close</v>
      </c>
      <c r="L502" s="27" t="str">
        <f>IF(Table6[[#This Row],[Status]]="On process",IF($H$2&gt;Table6[[#This Row],[Target Date]],"Overdue","On time"),"Closed")</f>
        <v>Closed</v>
      </c>
      <c r="M502" s="27" t="str" cm="1">
        <f t="array" ref="M502">_xlfn.IFS(Table6[[#This Row],[Finish Date]]=0,"",Table6[[#This Row],[Finish Date]]&gt;Table6[[#This Row],[Target Date]],"Delay",Table6[[#This Row],[Finish Date]]&lt;=Table6[[#This Row],[Target Date]],"On Time")</f>
        <v>On Time</v>
      </c>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row>
    <row r="503" spans="1:41" ht="21" hidden="1" customHeight="1">
      <c r="A503" s="27">
        <f>WEEKNUM(Table6[[#This Row],[Start Date]])</f>
        <v>22</v>
      </c>
      <c r="B503" s="27" t="str">
        <f>TEXT(Table6[[#This Row],[Start Date]],"mmm")</f>
        <v>May</v>
      </c>
      <c r="C503" s="27" t="str">
        <f>_xlfn.IFNA(INDEX(Refer!$B$5:$B$103,MATCH(Table6[[#This Row],[TASK]],Refer!$C$5:$C$103,0)),"")</f>
        <v>DFM Mold</v>
      </c>
      <c r="D503" s="93" t="s">
        <v>99</v>
      </c>
      <c r="E503" s="79" t="s">
        <v>525</v>
      </c>
      <c r="F503" s="82" t="s">
        <v>95</v>
      </c>
      <c r="G503" s="27" t="s">
        <v>182</v>
      </c>
      <c r="H503" s="41">
        <v>46169</v>
      </c>
      <c r="I503" s="41">
        <v>46169</v>
      </c>
      <c r="J503" s="41">
        <v>46169</v>
      </c>
      <c r="K503" s="27" t="str">
        <f>IF(Table6[[#This Row],[Finish Date]]=0,"On process","Close")</f>
        <v>Close</v>
      </c>
      <c r="L503" s="27" t="str">
        <f>IF(Table6[[#This Row],[Status]]="On process",IF($H$2&gt;Table6[[#This Row],[Target Date]],"Overdue","On time"),"Closed")</f>
        <v>Closed</v>
      </c>
      <c r="M503" s="27" t="str" cm="1">
        <f t="array" ref="M503">_xlfn.IFS(Table6[[#This Row],[Finish Date]]=0,"",Table6[[#This Row],[Finish Date]]&gt;Table6[[#This Row],[Target Date]],"Delay",Table6[[#This Row],[Finish Date]]&lt;=Table6[[#This Row],[Target Date]],"On Time")</f>
        <v>On Time</v>
      </c>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row>
    <row r="504" spans="1:41" ht="21" hidden="1" customHeight="1">
      <c r="A504" s="27">
        <f>WEEKNUM(Table6[[#This Row],[Start Date]])</f>
        <v>22</v>
      </c>
      <c r="B504" s="27" t="str">
        <f>TEXT(Table6[[#This Row],[Start Date]],"mmm")</f>
        <v>May</v>
      </c>
      <c r="C504" s="27" t="str">
        <f>_xlfn.IFNA(INDEX(Refer!$B$5:$B$103,MATCH(Table6[[#This Row],[TASK]],Refer!$C$5:$C$103,0)),"")</f>
        <v>DFM Mold</v>
      </c>
      <c r="D504" s="93" t="s">
        <v>99</v>
      </c>
      <c r="E504" s="79" t="s">
        <v>550</v>
      </c>
      <c r="F504" s="82" t="s">
        <v>66</v>
      </c>
      <c r="G504" s="27" t="s">
        <v>182</v>
      </c>
      <c r="H504" s="41">
        <v>46170</v>
      </c>
      <c r="I504" s="41">
        <v>46170</v>
      </c>
      <c r="J504" s="41">
        <v>46170</v>
      </c>
      <c r="K504" s="27" t="str">
        <f>IF(Table6[[#This Row],[Finish Date]]=0,"On process","Close")</f>
        <v>Close</v>
      </c>
      <c r="L504" s="27" t="str">
        <f>IF(Table6[[#This Row],[Status]]="On process",IF($H$2&gt;Table6[[#This Row],[Target Date]],"Overdue","On time"),"Closed")</f>
        <v>Closed</v>
      </c>
      <c r="M504" s="27" t="str" cm="1">
        <f t="array" ref="M504">_xlfn.IFS(Table6[[#This Row],[Finish Date]]=0,"",Table6[[#This Row],[Finish Date]]&gt;Table6[[#This Row],[Target Date]],"Delay",Table6[[#This Row],[Finish Date]]&lt;=Table6[[#This Row],[Target Date]],"On Time")</f>
        <v>On Time</v>
      </c>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row>
    <row r="505" spans="1:41" ht="21" hidden="1" customHeight="1">
      <c r="A505" s="27">
        <f>WEEKNUM(Table6[[#This Row],[Start Date]])</f>
        <v>22</v>
      </c>
      <c r="B505" s="27" t="str">
        <f>TEXT(Table6[[#This Row],[Start Date]],"mmm")</f>
        <v>May</v>
      </c>
      <c r="C505" s="27" t="str">
        <f>_xlfn.IFNA(INDEX(Refer!$B$5:$B$103,MATCH(Table6[[#This Row],[TASK]],Refer!$C$5:$C$103,0)),"")</f>
        <v>PACKING</v>
      </c>
      <c r="D505" s="93" t="s">
        <v>147</v>
      </c>
      <c r="E505" s="79" t="s">
        <v>563</v>
      </c>
      <c r="F505" s="82" t="s">
        <v>63</v>
      </c>
      <c r="G505" s="27" t="s">
        <v>182</v>
      </c>
      <c r="H505" s="41">
        <v>46170</v>
      </c>
      <c r="I505" s="41">
        <v>46171</v>
      </c>
      <c r="J505" s="41">
        <v>46171</v>
      </c>
      <c r="K505" s="27" t="str">
        <f>IF(Table6[[#This Row],[Finish Date]]=0,"On process","Close")</f>
        <v>Close</v>
      </c>
      <c r="L505" s="27" t="str">
        <f>IF(Table6[[#This Row],[Status]]="On process",IF($H$2&gt;Table6[[#This Row],[Target Date]],"Overdue","On time"),"Closed")</f>
        <v>Closed</v>
      </c>
      <c r="M505" s="27" t="str" cm="1">
        <f t="array" ref="M505">_xlfn.IFS(Table6[[#This Row],[Finish Date]]=0,"",Table6[[#This Row],[Finish Date]]&gt;Table6[[#This Row],[Target Date]],"Delay",Table6[[#This Row],[Finish Date]]&lt;=Table6[[#This Row],[Target Date]],"On Time")</f>
        <v>On Time</v>
      </c>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row>
    <row r="506" spans="1:41" ht="21" hidden="1" customHeight="1">
      <c r="A506" s="27">
        <f>WEEKNUM(Table6[[#This Row],[Start Date]])</f>
        <v>22</v>
      </c>
      <c r="B506" s="27" t="str">
        <f>TEXT(Table6[[#This Row],[Start Date]],"mmm")</f>
        <v>May</v>
      </c>
      <c r="C506" s="27" t="str">
        <f>_xlfn.IFNA(INDEX(Refer!$B$5:$B$103,MATCH(Table6[[#This Row],[TASK]],Refer!$C$5:$C$103,0)),"")</f>
        <v>MEETING</v>
      </c>
      <c r="D506" s="93" t="s">
        <v>72</v>
      </c>
      <c r="E506" s="79" t="s">
        <v>98</v>
      </c>
      <c r="F506" s="82" t="s">
        <v>63</v>
      </c>
      <c r="G506" s="27" t="s">
        <v>182</v>
      </c>
      <c r="H506" s="41">
        <v>46170</v>
      </c>
      <c r="I506" s="41">
        <v>46170</v>
      </c>
      <c r="J506" s="41">
        <v>46170</v>
      </c>
      <c r="K506" s="27" t="str">
        <f>IF(Table6[[#This Row],[Finish Date]]=0,"On process","Close")</f>
        <v>Close</v>
      </c>
      <c r="L506" s="27" t="str">
        <f>IF(Table6[[#This Row],[Status]]="On process",IF($H$2&gt;Table6[[#This Row],[Target Date]],"Overdue","On time"),"Closed")</f>
        <v>Closed</v>
      </c>
      <c r="M506" s="27" t="str" cm="1">
        <f t="array" ref="M506">_xlfn.IFS(Table6[[#This Row],[Finish Date]]=0,"",Table6[[#This Row],[Finish Date]]&gt;Table6[[#This Row],[Target Date]],"Delay",Table6[[#This Row],[Finish Date]]&lt;=Table6[[#This Row],[Target Date]],"On Time")</f>
        <v>On Time</v>
      </c>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row>
    <row r="507" spans="1:41" ht="21" hidden="1" customHeight="1">
      <c r="A507" s="27">
        <f>WEEKNUM(Table6[[#This Row],[Start Date]])</f>
        <v>22</v>
      </c>
      <c r="B507" s="27" t="str">
        <f>TEXT(Table6[[#This Row],[Start Date]],"mmm")</f>
        <v>May</v>
      </c>
      <c r="C507" s="27" t="str">
        <f>_xlfn.IFNA(INDEX(Refer!$B$5:$B$103,MATCH(Table6[[#This Row],[TASK]],Refer!$C$5:$C$103,0)),"")</f>
        <v>MEETING</v>
      </c>
      <c r="D507" s="93" t="s">
        <v>72</v>
      </c>
      <c r="E507" s="79" t="s">
        <v>98</v>
      </c>
      <c r="F507" s="82" t="s">
        <v>63</v>
      </c>
      <c r="G507" s="27" t="s">
        <v>182</v>
      </c>
      <c r="H507" s="41">
        <v>46170</v>
      </c>
      <c r="I507" s="41">
        <v>46170</v>
      </c>
      <c r="J507" s="41">
        <v>46170</v>
      </c>
      <c r="K507" s="27" t="str">
        <f>IF(Table6[[#This Row],[Finish Date]]=0,"On process","Close")</f>
        <v>Close</v>
      </c>
      <c r="L507" s="27" t="str">
        <f>IF(Table6[[#This Row],[Status]]="On process",IF($H$2&gt;Table6[[#This Row],[Target Date]],"Overdue","On time"),"Closed")</f>
        <v>Closed</v>
      </c>
      <c r="M507" s="27" t="str" cm="1">
        <f t="array" ref="M507">_xlfn.IFS(Table6[[#This Row],[Finish Date]]=0,"",Table6[[#This Row],[Finish Date]]&gt;Table6[[#This Row],[Target Date]],"Delay",Table6[[#This Row],[Finish Date]]&lt;=Table6[[#This Row],[Target Date]],"On Time")</f>
        <v>On Time</v>
      </c>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row>
    <row r="508" spans="1:41" ht="21" hidden="1" customHeight="1">
      <c r="A508" s="27">
        <f>WEEKNUM(Table6[[#This Row],[Start Date]])</f>
        <v>23</v>
      </c>
      <c r="B508" s="27" t="str">
        <f>TEXT(Table6[[#This Row],[Start Date]],"mmm")</f>
        <v>Jun</v>
      </c>
      <c r="C508" s="27" t="str">
        <f>_xlfn.IFNA(INDEX(Refer!$B$5:$B$103,MATCH(Table6[[#This Row],[TASK]],Refer!$C$5:$C$103,0)),"")</f>
        <v>NPI</v>
      </c>
      <c r="D508" s="93" t="s">
        <v>61</v>
      </c>
      <c r="E508" s="79" t="s">
        <v>564</v>
      </c>
      <c r="F508" s="82" t="s">
        <v>95</v>
      </c>
      <c r="G508" s="27" t="s">
        <v>64</v>
      </c>
      <c r="H508" s="41">
        <v>46175</v>
      </c>
      <c r="I508" s="41">
        <v>46177</v>
      </c>
      <c r="J508" s="41">
        <v>46177</v>
      </c>
      <c r="K508" s="27" t="str">
        <f>IF(Table6[[#This Row],[Finish Date]]=0,"On process","Close")</f>
        <v>Close</v>
      </c>
      <c r="L508" s="27" t="str">
        <f>IF(Table6[[#This Row],[Status]]="On process",IF($H$2&gt;Table6[[#This Row],[Target Date]],"Overdue","On time"),"Closed")</f>
        <v>Closed</v>
      </c>
      <c r="M508" s="27" t="str" cm="1">
        <f t="array" ref="M508">_xlfn.IFS(Table6[[#This Row],[Finish Date]]=0,"",Table6[[#This Row],[Finish Date]]&gt;Table6[[#This Row],[Target Date]],"Delay",Table6[[#This Row],[Finish Date]]&lt;=Table6[[#This Row],[Target Date]],"On Time")</f>
        <v>On Time</v>
      </c>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row>
    <row r="509" spans="1:41" ht="21" hidden="1" customHeight="1">
      <c r="A509" s="27">
        <f>WEEKNUM(Table6[[#This Row],[Start Date]])</f>
        <v>23</v>
      </c>
      <c r="B509" s="27" t="str">
        <f>TEXT(Table6[[#This Row],[Start Date]],"mmm")</f>
        <v>Jun</v>
      </c>
      <c r="C509" s="27" t="str">
        <f>_xlfn.IFNA(INDEX(Refer!$B$5:$B$103,MATCH(Table6[[#This Row],[TASK]],Refer!$C$5:$C$103,0)),"")</f>
        <v>NPI</v>
      </c>
      <c r="D509" s="93" t="s">
        <v>61</v>
      </c>
      <c r="E509" s="79" t="s">
        <v>564</v>
      </c>
      <c r="F509" s="82" t="s">
        <v>95</v>
      </c>
      <c r="G509" s="27" t="s">
        <v>182</v>
      </c>
      <c r="H509" s="41">
        <v>46175</v>
      </c>
      <c r="I509" s="41">
        <v>46177</v>
      </c>
      <c r="J509" s="41">
        <v>46177</v>
      </c>
      <c r="K509" s="27" t="str">
        <f>IF(Table6[[#This Row],[Finish Date]]=0,"On process","Close")</f>
        <v>Close</v>
      </c>
      <c r="L509" s="27" t="str">
        <f>IF(Table6[[#This Row],[Status]]="On process",IF($H$2&gt;Table6[[#This Row],[Target Date]],"Overdue","On time"),"Closed")</f>
        <v>Closed</v>
      </c>
      <c r="M509" s="27" t="str" cm="1">
        <f t="array" ref="M509">_xlfn.IFS(Table6[[#This Row],[Finish Date]]=0,"",Table6[[#This Row],[Finish Date]]&gt;Table6[[#This Row],[Target Date]],"Delay",Table6[[#This Row],[Finish Date]]&lt;=Table6[[#This Row],[Target Date]],"On Time")</f>
        <v>On Time</v>
      </c>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row>
    <row r="510" spans="1:41" ht="21" hidden="1" customHeight="1">
      <c r="A510" s="27">
        <f>WEEKNUM(Table6[[#This Row],[Start Date]])</f>
        <v>23</v>
      </c>
      <c r="B510" s="27" t="str">
        <f>TEXT(Table6[[#This Row],[Start Date]],"mmm")</f>
        <v>Jun</v>
      </c>
      <c r="C510" s="27" t="str">
        <f>_xlfn.IFNA(INDEX(Refer!$B$5:$B$103,MATCH(Table6[[#This Row],[TASK]],Refer!$C$5:$C$103,0)),"")</f>
        <v>NPI</v>
      </c>
      <c r="D510" s="93" t="s">
        <v>61</v>
      </c>
      <c r="E510" s="79" t="s">
        <v>564</v>
      </c>
      <c r="F510" s="82" t="s">
        <v>95</v>
      </c>
      <c r="G510" s="27" t="s">
        <v>479</v>
      </c>
      <c r="H510" s="41">
        <v>46175</v>
      </c>
      <c r="I510" s="41">
        <v>46177</v>
      </c>
      <c r="J510" s="41">
        <v>46177</v>
      </c>
      <c r="K510" s="27" t="str">
        <f>IF(Table6[[#This Row],[Finish Date]]=0,"On process","Close")</f>
        <v>Close</v>
      </c>
      <c r="L510" s="27" t="str">
        <f>IF(Table6[[#This Row],[Status]]="On process",IF($H$2&gt;Table6[[#This Row],[Target Date]],"Overdue","On time"),"Closed")</f>
        <v>Closed</v>
      </c>
      <c r="M510" s="27" t="str" cm="1">
        <f t="array" ref="M510">_xlfn.IFS(Table6[[#This Row],[Finish Date]]=0,"",Table6[[#This Row],[Finish Date]]&gt;Table6[[#This Row],[Target Date]],"Delay",Table6[[#This Row],[Finish Date]]&lt;=Table6[[#This Row],[Target Date]],"On Time")</f>
        <v>On Time</v>
      </c>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row>
    <row r="511" spans="1:41" ht="21" hidden="1" customHeight="1">
      <c r="A511" s="27">
        <f>WEEKNUM(Table6[[#This Row],[Start Date]])</f>
        <v>22</v>
      </c>
      <c r="B511" s="27" t="str">
        <f>TEXT(Table6[[#This Row],[Start Date]],"mmm")</f>
        <v>May</v>
      </c>
      <c r="C511" s="27" t="str">
        <f>_xlfn.IFNA(INDEX(Refer!$B$5:$B$103,MATCH(Table6[[#This Row],[TASK]],Refer!$C$5:$C$103,0)),"")</f>
        <v>PACKING</v>
      </c>
      <c r="D511" s="93" t="s">
        <v>112</v>
      </c>
      <c r="E511" s="79" t="s">
        <v>565</v>
      </c>
      <c r="F511" s="82"/>
      <c r="G511" s="27" t="s">
        <v>440</v>
      </c>
      <c r="H511" s="41">
        <v>46170</v>
      </c>
      <c r="I511" s="41">
        <v>46170</v>
      </c>
      <c r="J511" s="41">
        <v>46170</v>
      </c>
      <c r="K511" s="27" t="str">
        <f>IF(Table6[[#This Row],[Finish Date]]=0,"On process","Close")</f>
        <v>Close</v>
      </c>
      <c r="L511" s="27" t="str">
        <f>IF(Table6[[#This Row],[Status]]="On process",IF($H$2&gt;Table6[[#This Row],[Target Date]],"Overdue","On time"),"Closed")</f>
        <v>Closed</v>
      </c>
      <c r="M511" s="27" t="str" cm="1">
        <f t="array" ref="M511">_xlfn.IFS(Table6[[#This Row],[Finish Date]]=0,"",Table6[[#This Row],[Finish Date]]&gt;Table6[[#This Row],[Target Date]],"Delay",Table6[[#This Row],[Finish Date]]&lt;=Table6[[#This Row],[Target Date]],"On Time")</f>
        <v>On Time</v>
      </c>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row>
    <row r="512" spans="1:41" ht="21" hidden="1" customHeight="1">
      <c r="A512" s="27">
        <f>WEEKNUM(Table6[[#This Row],[Start Date]])</f>
        <v>22</v>
      </c>
      <c r="B512" s="27" t="str">
        <f>TEXT(Table6[[#This Row],[Start Date]],"mmm")</f>
        <v>May</v>
      </c>
      <c r="C512" s="27" t="str">
        <f>_xlfn.IFNA(INDEX(Refer!$B$5:$B$103,MATCH(Table6[[#This Row],[TASK]],Refer!$C$5:$C$103,0)),"")</f>
        <v>PACKING</v>
      </c>
      <c r="D512" s="93" t="s">
        <v>112</v>
      </c>
      <c r="E512" s="79" t="s">
        <v>566</v>
      </c>
      <c r="F512" s="82"/>
      <c r="G512" s="27" t="s">
        <v>440</v>
      </c>
      <c r="H512" s="41">
        <v>46171</v>
      </c>
      <c r="I512" s="41">
        <v>46171</v>
      </c>
      <c r="J512" s="41">
        <v>46171</v>
      </c>
      <c r="K512" s="27" t="str">
        <f>IF(Table6[[#This Row],[Finish Date]]=0,"On process","Close")</f>
        <v>Close</v>
      </c>
      <c r="L512" s="27" t="str">
        <f>IF(Table6[[#This Row],[Status]]="On process",IF($H$2&gt;Table6[[#This Row],[Target Date]],"Overdue","On time"),"Closed")</f>
        <v>Closed</v>
      </c>
      <c r="M512" s="27" t="str" cm="1">
        <f t="array" ref="M512">_xlfn.IFS(Table6[[#This Row],[Finish Date]]=0,"",Table6[[#This Row],[Finish Date]]&gt;Table6[[#This Row],[Target Date]],"Delay",Table6[[#This Row],[Finish Date]]&lt;=Table6[[#This Row],[Target Date]],"On Time")</f>
        <v>On Time</v>
      </c>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row>
    <row r="513" spans="1:41" ht="21" hidden="1" customHeight="1">
      <c r="A513" s="27">
        <f>WEEKNUM(Table6[[#This Row],[Start Date]])</f>
        <v>23</v>
      </c>
      <c r="B513" s="27" t="str">
        <f>TEXT(Table6[[#This Row],[Start Date]],"mmm")</f>
        <v>Jun</v>
      </c>
      <c r="C513" s="27" t="str">
        <f>_xlfn.IFNA(INDEX(Refer!$B$5:$B$103,MATCH(Table6[[#This Row],[TASK]],Refer!$C$5:$C$103,0)),"")</f>
        <v>PACKING</v>
      </c>
      <c r="D513" s="93" t="s">
        <v>112</v>
      </c>
      <c r="E513" s="79" t="s">
        <v>567</v>
      </c>
      <c r="F513" s="82" t="s">
        <v>470</v>
      </c>
      <c r="G513" s="27" t="s">
        <v>440</v>
      </c>
      <c r="H513" s="41">
        <v>46176</v>
      </c>
      <c r="I513" s="41">
        <v>46177</v>
      </c>
      <c r="J513" s="41">
        <v>46177</v>
      </c>
      <c r="K513" s="27" t="str">
        <f>IF(Table6[[#This Row],[Finish Date]]=0,"On process","Close")</f>
        <v>Close</v>
      </c>
      <c r="L513" s="27" t="str">
        <f>IF(Table6[[#This Row],[Status]]="On process",IF($H$2&gt;Table6[[#This Row],[Target Date]],"Overdue","On time"),"Closed")</f>
        <v>Closed</v>
      </c>
      <c r="M513" s="27" t="str" cm="1">
        <f t="array" ref="M513">_xlfn.IFS(Table6[[#This Row],[Finish Date]]=0,"",Table6[[#This Row],[Finish Date]]&gt;Table6[[#This Row],[Target Date]],"Delay",Table6[[#This Row],[Finish Date]]&lt;=Table6[[#This Row],[Target Date]],"On Time")</f>
        <v>On Time</v>
      </c>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row>
    <row r="514" spans="1:41" ht="21" hidden="1" customHeight="1">
      <c r="A514" s="27">
        <f>WEEKNUM(Table6[[#This Row],[Start Date]])</f>
        <v>23</v>
      </c>
      <c r="B514" s="27" t="str">
        <f>TEXT(Table6[[#This Row],[Start Date]],"mmm")</f>
        <v>Jun</v>
      </c>
      <c r="C514" s="27" t="str">
        <f>_xlfn.IFNA(INDEX(Refer!$B$5:$B$103,MATCH(Table6[[#This Row],[TASK]],Refer!$C$5:$C$103,0)),"")</f>
        <v>PACKING</v>
      </c>
      <c r="D514" s="93" t="s">
        <v>112</v>
      </c>
      <c r="E514" s="79" t="s">
        <v>568</v>
      </c>
      <c r="F514" s="82"/>
      <c r="G514" s="27" t="s">
        <v>440</v>
      </c>
      <c r="H514" s="41">
        <v>46176</v>
      </c>
      <c r="I514" s="41">
        <v>46177</v>
      </c>
      <c r="J514" s="41">
        <v>46177</v>
      </c>
      <c r="K514" s="27" t="str">
        <f>IF(Table6[[#This Row],[Finish Date]]=0,"On process","Close")</f>
        <v>Close</v>
      </c>
      <c r="L514" s="27" t="str">
        <f>IF(Table6[[#This Row],[Status]]="On process",IF($H$2&gt;Table6[[#This Row],[Target Date]],"Overdue","On time"),"Closed")</f>
        <v>Closed</v>
      </c>
      <c r="M514" s="27" t="str" cm="1">
        <f t="array" ref="M514">_xlfn.IFS(Table6[[#This Row],[Finish Date]]=0,"",Table6[[#This Row],[Finish Date]]&gt;Table6[[#This Row],[Target Date]],"Delay",Table6[[#This Row],[Finish Date]]&lt;=Table6[[#This Row],[Target Date]],"On Time")</f>
        <v>On Time</v>
      </c>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row>
    <row r="515" spans="1:41" ht="21" hidden="1" customHeight="1">
      <c r="A515" s="27">
        <f>WEEKNUM(Table6[[#This Row],[Start Date]])</f>
        <v>23</v>
      </c>
      <c r="B515" s="27" t="str">
        <f>TEXT(Table6[[#This Row],[Start Date]],"mmm")</f>
        <v>Jun</v>
      </c>
      <c r="C515" s="27" t="str">
        <f>_xlfn.IFNA(INDEX(Refer!$B$5:$B$103,MATCH(Table6[[#This Row],[TASK]],Refer!$C$5:$C$103,0)),"")</f>
        <v>PACKING</v>
      </c>
      <c r="D515" s="93" t="s">
        <v>112</v>
      </c>
      <c r="E515" s="79" t="s">
        <v>569</v>
      </c>
      <c r="F515" s="82" t="s">
        <v>114</v>
      </c>
      <c r="G515" s="27" t="s">
        <v>440</v>
      </c>
      <c r="H515" s="41">
        <v>46176</v>
      </c>
      <c r="I515" s="41">
        <v>46177</v>
      </c>
      <c r="J515" s="41">
        <v>46176</v>
      </c>
      <c r="K515" s="27" t="str">
        <f>IF(Table6[[#This Row],[Finish Date]]=0,"On process","Close")</f>
        <v>Close</v>
      </c>
      <c r="L515" s="27" t="str">
        <f>IF(Table6[[#This Row],[Status]]="On process",IF($H$2&gt;Table6[[#This Row],[Target Date]],"Overdue","On time"),"Closed")</f>
        <v>Closed</v>
      </c>
      <c r="M515" s="27" t="str" cm="1">
        <f t="array" ref="M515">_xlfn.IFS(Table6[[#This Row],[Finish Date]]=0,"",Table6[[#This Row],[Finish Date]]&gt;Table6[[#This Row],[Target Date]],"Delay",Table6[[#This Row],[Finish Date]]&lt;=Table6[[#This Row],[Target Date]],"On Time")</f>
        <v>On Time</v>
      </c>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row>
    <row r="516" spans="1:41" ht="21" hidden="1" customHeight="1">
      <c r="A516" s="27">
        <f>WEEKNUM(Table6[[#This Row],[Start Date]])</f>
        <v>23</v>
      </c>
      <c r="B516" s="27" t="str">
        <f>TEXT(Table6[[#This Row],[Start Date]],"mmm")</f>
        <v>Jun</v>
      </c>
      <c r="C516" s="27" t="str">
        <f>_xlfn.IFNA(INDEX(Refer!$B$5:$B$103,MATCH(Table6[[#This Row],[TASK]],Refer!$C$5:$C$103,0)),"")</f>
        <v>PACKING</v>
      </c>
      <c r="D516" s="93" t="s">
        <v>112</v>
      </c>
      <c r="E516" s="79" t="s">
        <v>570</v>
      </c>
      <c r="F516" s="82"/>
      <c r="G516" s="27" t="s">
        <v>440</v>
      </c>
      <c r="H516" s="41">
        <v>46177</v>
      </c>
      <c r="I516" s="41">
        <v>46178</v>
      </c>
      <c r="J516" s="41">
        <v>46178</v>
      </c>
      <c r="K516" s="27" t="str">
        <f>IF(Table6[[#This Row],[Finish Date]]=0,"On process","Close")</f>
        <v>Close</v>
      </c>
      <c r="L516" s="27" t="str">
        <f>IF(Table6[[#This Row],[Status]]="On process",IF($H$2&gt;Table6[[#This Row],[Target Date]],"Overdue","On time"),"Closed")</f>
        <v>Closed</v>
      </c>
      <c r="M516" s="27" t="str" cm="1">
        <f t="array" ref="M516">_xlfn.IFS(Table6[[#This Row],[Finish Date]]=0,"",Table6[[#This Row],[Finish Date]]&gt;Table6[[#This Row],[Target Date]],"Delay",Table6[[#This Row],[Finish Date]]&lt;=Table6[[#This Row],[Target Date]],"On Time")</f>
        <v>On Time</v>
      </c>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row>
    <row r="517" spans="1:41" ht="21" hidden="1" customHeight="1">
      <c r="A517" s="27">
        <f>WEEKNUM(Table6[[#This Row],[Start Date]])</f>
        <v>23</v>
      </c>
      <c r="B517" s="27" t="str">
        <f>TEXT(Table6[[#This Row],[Start Date]],"mmm")</f>
        <v>Jun</v>
      </c>
      <c r="C517" s="27" t="str">
        <f>_xlfn.IFNA(INDEX(Refer!$B$5:$B$103,MATCH(Table6[[#This Row],[TASK]],Refer!$C$5:$C$103,0)),"")</f>
        <v>PACKING</v>
      </c>
      <c r="D517" s="93" t="s">
        <v>112</v>
      </c>
      <c r="E517" s="79" t="s">
        <v>571</v>
      </c>
      <c r="F517" s="82" t="s">
        <v>114</v>
      </c>
      <c r="G517" s="27" t="s">
        <v>440</v>
      </c>
      <c r="H517" s="41">
        <v>46177</v>
      </c>
      <c r="I517" s="41">
        <v>46178</v>
      </c>
      <c r="J517" s="41">
        <v>46178</v>
      </c>
      <c r="K517" s="27" t="str">
        <f>IF(Table6[[#This Row],[Finish Date]]=0,"On process","Close")</f>
        <v>Close</v>
      </c>
      <c r="L517" s="27" t="str">
        <f>IF(Table6[[#This Row],[Status]]="On process",IF($H$2&gt;Table6[[#This Row],[Target Date]],"Overdue","On time"),"Closed")</f>
        <v>Closed</v>
      </c>
      <c r="M517" s="27" t="str" cm="1">
        <f t="array" ref="M517">_xlfn.IFS(Table6[[#This Row],[Finish Date]]=0,"",Table6[[#This Row],[Finish Date]]&gt;Table6[[#This Row],[Target Date]],"Delay",Table6[[#This Row],[Finish Date]]&lt;=Table6[[#This Row],[Target Date]],"On Time")</f>
        <v>On Time</v>
      </c>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row>
    <row r="518" spans="1:41" ht="21" hidden="1" customHeight="1">
      <c r="A518" s="27">
        <f>WEEKNUM(Table6[[#This Row],[Start Date]])</f>
        <v>23</v>
      </c>
      <c r="B518" s="27" t="str">
        <f>TEXT(Table6[[#This Row],[Start Date]],"mmm")</f>
        <v>Jun</v>
      </c>
      <c r="C518" s="27" t="str">
        <f>_xlfn.IFNA(INDEX(Refer!$B$5:$B$103,MATCH(Table6[[#This Row],[TASK]],Refer!$C$5:$C$103,0)),"")</f>
        <v>RFQ</v>
      </c>
      <c r="D518" s="93" t="s">
        <v>123</v>
      </c>
      <c r="E518" s="79" t="s">
        <v>572</v>
      </c>
      <c r="F518" s="82" t="s">
        <v>407</v>
      </c>
      <c r="G518" s="27" t="s">
        <v>440</v>
      </c>
      <c r="H518" s="41">
        <v>46178</v>
      </c>
      <c r="I518" s="41">
        <v>46181</v>
      </c>
      <c r="J518" s="41">
        <v>46178</v>
      </c>
      <c r="K518" s="27" t="str">
        <f>IF(Table6[[#This Row],[Finish Date]]=0,"On process","Close")</f>
        <v>Close</v>
      </c>
      <c r="L518" s="27" t="str">
        <f>IF(Table6[[#This Row],[Status]]="On process",IF($H$2&gt;Table6[[#This Row],[Target Date]],"Overdue","On time"),"Closed")</f>
        <v>Closed</v>
      </c>
      <c r="M518" s="27" t="str" cm="1">
        <f t="array" ref="M518">_xlfn.IFS(Table6[[#This Row],[Finish Date]]=0,"",Table6[[#This Row],[Finish Date]]&gt;Table6[[#This Row],[Target Date]],"Delay",Table6[[#This Row],[Finish Date]]&lt;=Table6[[#This Row],[Target Date]],"On Time")</f>
        <v>On Time</v>
      </c>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row>
    <row r="519" spans="1:41" ht="21" hidden="1" customHeight="1">
      <c r="A519" s="27">
        <f>WEEKNUM(Table6[[#This Row],[Start Date]])</f>
        <v>23</v>
      </c>
      <c r="B519" s="27" t="str">
        <f>TEXT(Table6[[#This Row],[Start Date]],"mmm")</f>
        <v>Jun</v>
      </c>
      <c r="C519" s="27" t="str">
        <f>_xlfn.IFNA(INDEX(Refer!$B$5:$B$103,MATCH(Table6[[#This Row],[TASK]],Refer!$C$5:$C$103,0)),"")</f>
        <v>DFA</v>
      </c>
      <c r="D519" s="93" t="s">
        <v>264</v>
      </c>
      <c r="E519" s="79" t="s">
        <v>573</v>
      </c>
      <c r="F519" s="82"/>
      <c r="G519" s="27" t="s">
        <v>479</v>
      </c>
      <c r="H519" s="41">
        <v>46176</v>
      </c>
      <c r="I519" s="41">
        <v>46182</v>
      </c>
      <c r="J519" s="41">
        <v>46182</v>
      </c>
      <c r="K519" s="27" t="str">
        <f>IF(Table6[[#This Row],[Finish Date]]=0,"On process","Close")</f>
        <v>Close</v>
      </c>
      <c r="L519" s="27" t="str">
        <f>IF(Table6[[#This Row],[Status]]="On process",IF($H$2&gt;Table6[[#This Row],[Target Date]],"Overdue","On time"),"Closed")</f>
        <v>Closed</v>
      </c>
      <c r="M519" s="27" t="str" cm="1">
        <f t="array" ref="M519">_xlfn.IFS(Table6[[#This Row],[Finish Date]]=0,"",Table6[[#This Row],[Finish Date]]&gt;Table6[[#This Row],[Target Date]],"Delay",Table6[[#This Row],[Finish Date]]&lt;=Table6[[#This Row],[Target Date]],"On Time")</f>
        <v>On Time</v>
      </c>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row>
    <row r="520" spans="1:41" ht="21" hidden="1" customHeight="1">
      <c r="A520" s="27">
        <f>WEEKNUM(Table6[[#This Row],[Start Date]])</f>
        <v>23</v>
      </c>
      <c r="B520" s="27" t="str">
        <f>TEXT(Table6[[#This Row],[Start Date]],"mmm")</f>
        <v>Jun</v>
      </c>
      <c r="C520" s="27" t="str">
        <f>_xlfn.IFNA(INDEX(Refer!$B$5:$B$103,MATCH(Table6[[#This Row],[TASK]],Refer!$C$5:$C$103,0)),"")</f>
        <v>MEETING</v>
      </c>
      <c r="D520" s="93" t="s">
        <v>72</v>
      </c>
      <c r="E520" s="79" t="s">
        <v>79</v>
      </c>
      <c r="F520" s="82" t="s">
        <v>66</v>
      </c>
      <c r="G520" s="27" t="s">
        <v>182</v>
      </c>
      <c r="H520" s="41">
        <v>46174</v>
      </c>
      <c r="I520" s="41">
        <v>46174</v>
      </c>
      <c r="J520" s="41">
        <v>46174</v>
      </c>
      <c r="K520" s="27" t="str">
        <f>IF(Table6[[#This Row],[Finish Date]]=0,"On process","Close")</f>
        <v>Close</v>
      </c>
      <c r="L520" s="27" t="str">
        <f>IF(Table6[[#This Row],[Status]]="On process",IF($H$2&gt;Table6[[#This Row],[Target Date]],"Overdue","On time"),"Closed")</f>
        <v>Closed</v>
      </c>
      <c r="M520" s="27" t="str" cm="1">
        <f t="array" ref="M520">_xlfn.IFS(Table6[[#This Row],[Finish Date]]=0,"",Table6[[#This Row],[Finish Date]]&gt;Table6[[#This Row],[Target Date]],"Delay",Table6[[#This Row],[Finish Date]]&lt;=Table6[[#This Row],[Target Date]],"On Time")</f>
        <v>On Time</v>
      </c>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row>
    <row r="521" spans="1:41" ht="21" hidden="1" customHeight="1">
      <c r="A521" s="27">
        <f>WEEKNUM(Table6[[#This Row],[Start Date]])</f>
        <v>23</v>
      </c>
      <c r="B521" s="27" t="str">
        <f>TEXT(Table6[[#This Row],[Start Date]],"mmm")</f>
        <v>Jun</v>
      </c>
      <c r="C521" s="27" t="str">
        <f>_xlfn.IFNA(INDEX(Refer!$B$5:$B$103,MATCH(Table6[[#This Row],[TASK]],Refer!$C$5:$C$103,0)),"")</f>
        <v>DFA</v>
      </c>
      <c r="D521" s="93" t="s">
        <v>178</v>
      </c>
      <c r="E521" s="79" t="s">
        <v>574</v>
      </c>
      <c r="F521" s="82" t="s">
        <v>95</v>
      </c>
      <c r="G521" s="27" t="s">
        <v>182</v>
      </c>
      <c r="H521" s="41">
        <v>46177</v>
      </c>
      <c r="I521" s="41">
        <v>46181</v>
      </c>
      <c r="J521" s="41">
        <v>46181</v>
      </c>
      <c r="K521" s="27" t="str">
        <f>IF(Table6[[#This Row],[Finish Date]]=0,"On process","Close")</f>
        <v>Close</v>
      </c>
      <c r="L521" s="27" t="str">
        <f>IF(Table6[[#This Row],[Status]]="On process",IF($H$2&gt;Table6[[#This Row],[Target Date]],"Overdue","On time"),"Closed")</f>
        <v>Closed</v>
      </c>
      <c r="M521" s="27" t="str" cm="1">
        <f t="array" ref="M521">_xlfn.IFS(Table6[[#This Row],[Finish Date]]=0,"",Table6[[#This Row],[Finish Date]]&gt;Table6[[#This Row],[Target Date]],"Delay",Table6[[#This Row],[Finish Date]]&lt;=Table6[[#This Row],[Target Date]],"On Time")</f>
        <v>On Time</v>
      </c>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row>
    <row r="522" spans="1:41" ht="21" hidden="1" customHeight="1">
      <c r="A522" s="27">
        <f>WEEKNUM(Table6[[#This Row],[Start Date]])</f>
        <v>23</v>
      </c>
      <c r="B522" s="27" t="str">
        <f>TEXT(Table6[[#This Row],[Start Date]],"mmm")</f>
        <v>Jun</v>
      </c>
      <c r="C522" s="27" t="str">
        <f>_xlfn.IFNA(INDEX(Refer!$B$5:$B$103,MATCH(Table6[[#This Row],[TASK]],Refer!$C$5:$C$103,0)),"")</f>
        <v>MEETING</v>
      </c>
      <c r="D522" s="93" t="s">
        <v>72</v>
      </c>
      <c r="E522" s="79" t="s">
        <v>98</v>
      </c>
      <c r="F522" s="82" t="s">
        <v>63</v>
      </c>
      <c r="G522" s="27" t="s">
        <v>182</v>
      </c>
      <c r="H522" s="41">
        <v>46177</v>
      </c>
      <c r="I522" s="41">
        <v>46177</v>
      </c>
      <c r="J522" s="41">
        <v>46177</v>
      </c>
      <c r="K522" s="27" t="str">
        <f>IF(Table6[[#This Row],[Finish Date]]=0,"On process","Close")</f>
        <v>Close</v>
      </c>
      <c r="L522" s="27" t="str">
        <f>IF(Table6[[#This Row],[Status]]="On process",IF($H$2&gt;Table6[[#This Row],[Target Date]],"Overdue","On time"),"Closed")</f>
        <v>Closed</v>
      </c>
      <c r="M522" s="27" t="str" cm="1">
        <f t="array" ref="M522">_xlfn.IFS(Table6[[#This Row],[Finish Date]]=0,"",Table6[[#This Row],[Finish Date]]&gt;Table6[[#This Row],[Target Date]],"Delay",Table6[[#This Row],[Finish Date]]&lt;=Table6[[#This Row],[Target Date]],"On Time")</f>
        <v>On Time</v>
      </c>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row>
    <row r="523" spans="1:41" ht="21" hidden="1" customHeight="1">
      <c r="A523" s="27">
        <f>WEEKNUM(Table6[[#This Row],[Start Date]])</f>
        <v>23</v>
      </c>
      <c r="B523" s="27" t="str">
        <f>TEXT(Table6[[#This Row],[Start Date]],"mmm")</f>
        <v>Jun</v>
      </c>
      <c r="C523" s="27" t="str">
        <f>_xlfn.IFNA(INDEX(Refer!$B$5:$B$103,MATCH(Table6[[#This Row],[TASK]],Refer!$C$5:$C$103,0)),"")</f>
        <v>PACKING</v>
      </c>
      <c r="D523" s="93" t="s">
        <v>112</v>
      </c>
      <c r="E523" s="79" t="s">
        <v>575</v>
      </c>
      <c r="F523" s="82" t="s">
        <v>407</v>
      </c>
      <c r="G523" s="27" t="s">
        <v>182</v>
      </c>
      <c r="H523" s="41">
        <v>46178</v>
      </c>
      <c r="I523" s="41">
        <v>46178</v>
      </c>
      <c r="J523" s="41">
        <v>46178</v>
      </c>
      <c r="K523" s="27" t="str">
        <f>IF(Table6[[#This Row],[Finish Date]]=0,"On process","Close")</f>
        <v>Close</v>
      </c>
      <c r="L523" s="27" t="str">
        <f>IF(Table6[[#This Row],[Status]]="On process",IF($H$2&gt;Table6[[#This Row],[Target Date]],"Overdue","On time"),"Closed")</f>
        <v>Closed</v>
      </c>
      <c r="M523" s="27" t="str" cm="1">
        <f t="array" ref="M523">_xlfn.IFS(Table6[[#This Row],[Finish Date]]=0,"",Table6[[#This Row],[Finish Date]]&gt;Table6[[#This Row],[Target Date]],"Delay",Table6[[#This Row],[Finish Date]]&lt;=Table6[[#This Row],[Target Date]],"On Time")</f>
        <v>On Time</v>
      </c>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row>
    <row r="524" spans="1:41" ht="21" hidden="1" customHeight="1">
      <c r="A524" s="27">
        <f>WEEKNUM(Table6[[#This Row],[Start Date]])</f>
        <v>23</v>
      </c>
      <c r="B524" s="27" t="str">
        <f>TEXT(Table6[[#This Row],[Start Date]],"mmm")</f>
        <v>Jun</v>
      </c>
      <c r="C524" s="27" t="str">
        <f>_xlfn.IFNA(INDEX(Refer!$B$5:$B$103,MATCH(Table6[[#This Row],[TASK]],Refer!$C$5:$C$103,0)),"")</f>
        <v>PACKING</v>
      </c>
      <c r="D524" s="93" t="s">
        <v>112</v>
      </c>
      <c r="E524" s="79" t="s">
        <v>576</v>
      </c>
      <c r="F524" s="82" t="s">
        <v>63</v>
      </c>
      <c r="G524" s="27" t="s">
        <v>182</v>
      </c>
      <c r="H524" s="41">
        <v>46178</v>
      </c>
      <c r="I524" s="41">
        <v>46178</v>
      </c>
      <c r="J524" s="41">
        <v>46178</v>
      </c>
      <c r="K524" s="27" t="str">
        <f>IF(Table6[[#This Row],[Finish Date]]=0,"On process","Close")</f>
        <v>Close</v>
      </c>
      <c r="L524" s="27" t="str">
        <f>IF(Table6[[#This Row],[Status]]="On process",IF($H$2&gt;Table6[[#This Row],[Target Date]],"Overdue","On time"),"Closed")</f>
        <v>Closed</v>
      </c>
      <c r="M524" s="27" t="str" cm="1">
        <f t="array" ref="M524">_xlfn.IFS(Table6[[#This Row],[Finish Date]]=0,"",Table6[[#This Row],[Finish Date]]&gt;Table6[[#This Row],[Target Date]],"Delay",Table6[[#This Row],[Finish Date]]&lt;=Table6[[#This Row],[Target Date]],"On Time")</f>
        <v>On Time</v>
      </c>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row>
    <row r="525" spans="1:41" ht="21" hidden="1" customHeight="1">
      <c r="A525" s="27">
        <f>WEEKNUM(Table6[[#This Row],[Start Date]])</f>
        <v>24</v>
      </c>
      <c r="B525" s="27" t="str">
        <f>TEXT(Table6[[#This Row],[Start Date]],"mmm")</f>
        <v>Jun</v>
      </c>
      <c r="C525" s="27" t="str">
        <f>_xlfn.IFNA(INDEX(Refer!$B$5:$B$103,MATCH(Table6[[#This Row],[TASK]],Refer!$C$5:$C$103,0)),"")</f>
        <v>PACKING</v>
      </c>
      <c r="D525" s="93" t="s">
        <v>112</v>
      </c>
      <c r="E525" s="79" t="s">
        <v>577</v>
      </c>
      <c r="F525" s="82" t="s">
        <v>470</v>
      </c>
      <c r="G525" s="27" t="s">
        <v>440</v>
      </c>
      <c r="H525" s="41">
        <v>46181</v>
      </c>
      <c r="I525" s="41">
        <v>46182</v>
      </c>
      <c r="J525" s="41">
        <v>46181</v>
      </c>
      <c r="K525" s="27" t="str">
        <f>IF(Table6[[#This Row],[Finish Date]]=0,"On process","Close")</f>
        <v>Close</v>
      </c>
      <c r="L525" s="27" t="str">
        <f>IF(Table6[[#This Row],[Status]]="On process",IF($H$2&gt;Table6[[#This Row],[Target Date]],"Overdue","On time"),"Closed")</f>
        <v>Closed</v>
      </c>
      <c r="M525" s="27" t="str" cm="1">
        <f t="array" ref="M525">_xlfn.IFS(Table6[[#This Row],[Finish Date]]=0,"",Table6[[#This Row],[Finish Date]]&gt;Table6[[#This Row],[Target Date]],"Delay",Table6[[#This Row],[Finish Date]]&lt;=Table6[[#This Row],[Target Date]],"On Time")</f>
        <v>On Time</v>
      </c>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row>
    <row r="526" spans="1:41" ht="21" hidden="1" customHeight="1">
      <c r="A526" s="27">
        <f>WEEKNUM(Table6[[#This Row],[Start Date]])</f>
        <v>24</v>
      </c>
      <c r="B526" s="27" t="str">
        <f>TEXT(Table6[[#This Row],[Start Date]],"mmm")</f>
        <v>Jun</v>
      </c>
      <c r="C526" s="27" t="str">
        <f>_xlfn.IFNA(INDEX(Refer!$B$5:$B$103,MATCH(Table6[[#This Row],[TASK]],Refer!$C$5:$C$103,0)),"")</f>
        <v>PACKING</v>
      </c>
      <c r="D526" s="93" t="s">
        <v>112</v>
      </c>
      <c r="E526" s="79" t="s">
        <v>578</v>
      </c>
      <c r="F526" s="82"/>
      <c r="G526" s="27" t="s">
        <v>440</v>
      </c>
      <c r="H526" s="41">
        <v>46181</v>
      </c>
      <c r="I526" s="41">
        <v>46181</v>
      </c>
      <c r="J526" s="41">
        <v>46181</v>
      </c>
      <c r="K526" s="27" t="str">
        <f>IF(Table6[[#This Row],[Finish Date]]=0,"On process","Close")</f>
        <v>Close</v>
      </c>
      <c r="L526" s="27" t="str">
        <f>IF(Table6[[#This Row],[Status]]="On process",IF($H$2&gt;Table6[[#This Row],[Target Date]],"Overdue","On time"),"Closed")</f>
        <v>Closed</v>
      </c>
      <c r="M526" s="27" t="str" cm="1">
        <f t="array" ref="M526">_xlfn.IFS(Table6[[#This Row],[Finish Date]]=0,"",Table6[[#This Row],[Finish Date]]&gt;Table6[[#This Row],[Target Date]],"Delay",Table6[[#This Row],[Finish Date]]&lt;=Table6[[#This Row],[Target Date]],"On Time")</f>
        <v>On Time</v>
      </c>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row>
    <row r="527" spans="1:41" ht="21" hidden="1" customHeight="1">
      <c r="A527" s="27">
        <f>WEEKNUM(Table6[[#This Row],[Start Date]])</f>
        <v>24</v>
      </c>
      <c r="B527" s="27" t="str">
        <f>TEXT(Table6[[#This Row],[Start Date]],"mmm")</f>
        <v>Jun</v>
      </c>
      <c r="C527" s="27" t="str">
        <f>_xlfn.IFNA(INDEX(Refer!$B$5:$B$103,MATCH(Table6[[#This Row],[TASK]],Refer!$C$5:$C$103,0)),"")</f>
        <v>RFQ</v>
      </c>
      <c r="D527" s="93" t="s">
        <v>123</v>
      </c>
      <c r="E527" s="79" t="s">
        <v>579</v>
      </c>
      <c r="F527" s="82" t="s">
        <v>580</v>
      </c>
      <c r="G527" s="27" t="s">
        <v>440</v>
      </c>
      <c r="H527" s="41">
        <v>46181</v>
      </c>
      <c r="I527" s="41">
        <v>46183</v>
      </c>
      <c r="J527" s="41">
        <v>46181</v>
      </c>
      <c r="K527" s="27" t="str">
        <f>IF(Table6[[#This Row],[Finish Date]]=0,"On process","Close")</f>
        <v>Close</v>
      </c>
      <c r="L527" s="27" t="str">
        <f>IF(Table6[[#This Row],[Status]]="On process",IF($H$2&gt;Table6[[#This Row],[Target Date]],"Overdue","On time"),"Closed")</f>
        <v>Closed</v>
      </c>
      <c r="M527" s="27" t="str" cm="1">
        <f t="array" ref="M527">_xlfn.IFS(Table6[[#This Row],[Finish Date]]=0,"",Table6[[#This Row],[Finish Date]]&gt;Table6[[#This Row],[Target Date]],"Delay",Table6[[#This Row],[Finish Date]]&lt;=Table6[[#This Row],[Target Date]],"On Time")</f>
        <v>On Time</v>
      </c>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row>
    <row r="528" spans="1:41" ht="21" hidden="1" customHeight="1">
      <c r="A528" s="27">
        <f>WEEKNUM(Table6[[#This Row],[Start Date]])</f>
        <v>24</v>
      </c>
      <c r="B528" s="27" t="str">
        <f>TEXT(Table6[[#This Row],[Start Date]],"mmm")</f>
        <v>Jun</v>
      </c>
      <c r="C528" s="27" t="str">
        <f>_xlfn.IFNA(INDEX(Refer!$B$5:$B$103,MATCH(Table6[[#This Row],[TASK]],Refer!$C$5:$C$103,0)),"")</f>
        <v>PACKING</v>
      </c>
      <c r="D528" s="93" t="s">
        <v>120</v>
      </c>
      <c r="E528" s="79" t="s">
        <v>581</v>
      </c>
      <c r="F528" s="82" t="s">
        <v>407</v>
      </c>
      <c r="G528" s="27" t="s">
        <v>440</v>
      </c>
      <c r="H528" s="41">
        <v>46183</v>
      </c>
      <c r="I528" s="41">
        <v>46183</v>
      </c>
      <c r="J528" s="41">
        <v>46183</v>
      </c>
      <c r="K528" s="27" t="str">
        <f>IF(Table6[[#This Row],[Finish Date]]=0,"On process","Close")</f>
        <v>Close</v>
      </c>
      <c r="L528" s="27" t="str">
        <f>IF(Table6[[#This Row],[Status]]="On process",IF($H$2&gt;Table6[[#This Row],[Target Date]],"Overdue","On time"),"Closed")</f>
        <v>Closed</v>
      </c>
      <c r="M528" s="27" t="str" cm="1">
        <f t="array" ref="M528">_xlfn.IFS(Table6[[#This Row],[Finish Date]]=0,"",Table6[[#This Row],[Finish Date]]&gt;Table6[[#This Row],[Target Date]],"Delay",Table6[[#This Row],[Finish Date]]&lt;=Table6[[#This Row],[Target Date]],"On Time")</f>
        <v>On Time</v>
      </c>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row>
    <row r="529" spans="1:41" ht="21" hidden="1" customHeight="1">
      <c r="A529" s="27">
        <f>WEEKNUM(Table6[[#This Row],[Start Date]])</f>
        <v>24</v>
      </c>
      <c r="B529" s="27" t="str">
        <f>TEXT(Table6[[#This Row],[Start Date]],"mmm")</f>
        <v>Jun</v>
      </c>
      <c r="C529" s="27" t="str">
        <f>_xlfn.IFNA(INDEX(Refer!$B$5:$B$103,MATCH(Table6[[#This Row],[TASK]],Refer!$C$5:$C$103,0)),"")</f>
        <v>PACKING</v>
      </c>
      <c r="D529" s="93" t="s">
        <v>120</v>
      </c>
      <c r="E529" s="79" t="s">
        <v>582</v>
      </c>
      <c r="F529" s="82" t="s">
        <v>177</v>
      </c>
      <c r="G529" s="27" t="s">
        <v>440</v>
      </c>
      <c r="H529" s="41">
        <v>46184</v>
      </c>
      <c r="I529" s="41">
        <v>46185</v>
      </c>
      <c r="J529" s="41">
        <v>46185</v>
      </c>
      <c r="K529" s="27" t="str">
        <f>IF(Table6[[#This Row],[Finish Date]]=0,"On process","Close")</f>
        <v>Close</v>
      </c>
      <c r="L529" s="27" t="str">
        <f>IF(Table6[[#This Row],[Status]]="On process",IF($H$2&gt;Table6[[#This Row],[Target Date]],"Overdue","On time"),"Closed")</f>
        <v>Closed</v>
      </c>
      <c r="M529" s="27" t="str" cm="1">
        <f t="array" ref="M529">_xlfn.IFS(Table6[[#This Row],[Finish Date]]=0,"",Table6[[#This Row],[Finish Date]]&gt;Table6[[#This Row],[Target Date]],"Delay",Table6[[#This Row],[Finish Date]]&lt;=Table6[[#This Row],[Target Date]],"On Time")</f>
        <v>On Time</v>
      </c>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row>
    <row r="530" spans="1:41" ht="21" customHeight="1">
      <c r="A530" s="27">
        <f>WEEKNUM(Table6[[#This Row],[Start Date]])</f>
        <v>25</v>
      </c>
      <c r="B530" s="27" t="str">
        <f>TEXT(Table6[[#This Row],[Start Date]],"mmm")</f>
        <v>Jun</v>
      </c>
      <c r="C530" s="27" t="str">
        <f>_xlfn.IFNA(INDEX(Refer!$B$5:$B$103,MATCH(Table6[[#This Row],[TASK]],Refer!$C$5:$C$103,0)),"")</f>
        <v>PACKING</v>
      </c>
      <c r="D530" s="93" t="s">
        <v>120</v>
      </c>
      <c r="E530" s="79" t="s">
        <v>583</v>
      </c>
      <c r="F530" s="82" t="s">
        <v>177</v>
      </c>
      <c r="G530" s="27" t="s">
        <v>440</v>
      </c>
      <c r="H530" s="41">
        <v>46192</v>
      </c>
      <c r="I530" s="41">
        <v>46192</v>
      </c>
      <c r="J530" s="41">
        <v>46192</v>
      </c>
      <c r="K530" s="27" t="str">
        <f>IF(Table6[[#This Row],[Finish Date]]=0,"On process","Close")</f>
        <v>Close</v>
      </c>
      <c r="L530" s="27" t="str">
        <f>IF(Table6[[#This Row],[Status]]="On process",IF($H$2&gt;Table6[[#This Row],[Target Date]],"Overdue","On time"),"Closed")</f>
        <v>Closed</v>
      </c>
      <c r="M530" s="27" t="str" cm="1">
        <f t="array" ref="M530">_xlfn.IFS(Table6[[#This Row],[Finish Date]]=0,"",Table6[[#This Row],[Finish Date]]&gt;Table6[[#This Row],[Target Date]],"Delay",Table6[[#This Row],[Finish Date]]&lt;=Table6[[#This Row],[Target Date]],"On Time")</f>
        <v>On Time</v>
      </c>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row>
    <row r="531" spans="1:41" ht="21" customHeight="1">
      <c r="A531" s="27">
        <f>WEEKNUM(Table6[[#This Row],[Start Date]])</f>
        <v>25</v>
      </c>
      <c r="B531" s="27" t="str">
        <f>TEXT(Table6[[#This Row],[Start Date]],"mmm")</f>
        <v>Jun</v>
      </c>
      <c r="C531" s="27" t="str">
        <f>_xlfn.IFNA(INDEX(Refer!$B$5:$B$103,MATCH(Table6[[#This Row],[TASK]],Refer!$C$5:$C$103,0)),"")</f>
        <v>PACKING</v>
      </c>
      <c r="D531" s="93" t="s">
        <v>120</v>
      </c>
      <c r="E531" s="79" t="s">
        <v>584</v>
      </c>
      <c r="F531" s="82" t="s">
        <v>177</v>
      </c>
      <c r="G531" s="27" t="s">
        <v>440</v>
      </c>
      <c r="H531" s="41">
        <v>46192</v>
      </c>
      <c r="I531" s="41">
        <v>46192</v>
      </c>
      <c r="J531" s="41">
        <v>46192</v>
      </c>
      <c r="K531" s="27" t="str">
        <f>IF(Table6[[#This Row],[Finish Date]]=0,"On process","Close")</f>
        <v>Close</v>
      </c>
      <c r="L531" s="27" t="str">
        <f>IF(Table6[[#This Row],[Status]]="On process",IF($H$2&gt;Table6[[#This Row],[Target Date]],"Overdue","On time"),"Closed")</f>
        <v>Closed</v>
      </c>
      <c r="M531" s="27" t="str" cm="1">
        <f t="array" ref="M531">_xlfn.IFS(Table6[[#This Row],[Finish Date]]=0,"",Table6[[#This Row],[Finish Date]]&gt;Table6[[#This Row],[Target Date]],"Delay",Table6[[#This Row],[Finish Date]]&lt;=Table6[[#This Row],[Target Date]],"On Time")</f>
        <v>On Time</v>
      </c>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row>
    <row r="532" spans="1:41" ht="21" hidden="1" customHeight="1">
      <c r="A532" s="27">
        <f>WEEKNUM(Table6[[#This Row],[Start Date]])</f>
        <v>24</v>
      </c>
      <c r="B532" s="27" t="str">
        <f>TEXT(Table6[[#This Row],[Start Date]],"mmm")</f>
        <v>Jun</v>
      </c>
      <c r="C532" s="27" t="str">
        <f>_xlfn.IFNA(INDEX(Refer!$B$5:$B$103,MATCH(Table6[[#This Row],[TASK]],Refer!$C$5:$C$103,0)),"")</f>
        <v>PACKING</v>
      </c>
      <c r="D532" s="93" t="s">
        <v>120</v>
      </c>
      <c r="E532" s="79" t="s">
        <v>585</v>
      </c>
      <c r="F532" s="82" t="s">
        <v>177</v>
      </c>
      <c r="G532" s="27" t="s">
        <v>440</v>
      </c>
      <c r="H532" s="41">
        <v>46184</v>
      </c>
      <c r="I532" s="41">
        <v>46185</v>
      </c>
      <c r="J532" s="41">
        <v>46185</v>
      </c>
      <c r="K532" s="27" t="str">
        <f>IF(Table6[[#This Row],[Finish Date]]=0,"On process","Close")</f>
        <v>Close</v>
      </c>
      <c r="L532" s="27" t="str">
        <f>IF(Table6[[#This Row],[Status]]="On process",IF($H$2&gt;Table6[[#This Row],[Target Date]],"Overdue","On time"),"Closed")</f>
        <v>Closed</v>
      </c>
      <c r="M532" s="27" t="str" cm="1">
        <f t="array" ref="M532">_xlfn.IFS(Table6[[#This Row],[Finish Date]]=0,"",Table6[[#This Row],[Finish Date]]&gt;Table6[[#This Row],[Target Date]],"Delay",Table6[[#This Row],[Finish Date]]&lt;=Table6[[#This Row],[Target Date]],"On Time")</f>
        <v>On Time</v>
      </c>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row>
    <row r="533" spans="1:41" ht="21" hidden="1" customHeight="1">
      <c r="A533" s="27">
        <f>WEEKNUM(Table6[[#This Row],[Start Date]])</f>
        <v>24</v>
      </c>
      <c r="B533" s="27" t="str">
        <f>TEXT(Table6[[#This Row],[Start Date]],"mmm")</f>
        <v>Jun</v>
      </c>
      <c r="C533" s="27" t="str">
        <f>_xlfn.IFNA(INDEX(Refer!$B$5:$B$103,MATCH(Table6[[#This Row],[TASK]],Refer!$C$5:$C$103,0)),"")</f>
        <v>NPI</v>
      </c>
      <c r="D533" s="93" t="s">
        <v>61</v>
      </c>
      <c r="E533" s="79" t="s">
        <v>586</v>
      </c>
      <c r="F533" s="82" t="s">
        <v>95</v>
      </c>
      <c r="G533" s="27" t="s">
        <v>479</v>
      </c>
      <c r="H533" s="41">
        <v>46182</v>
      </c>
      <c r="I533" s="41">
        <v>46182</v>
      </c>
      <c r="J533" s="41">
        <v>46182</v>
      </c>
      <c r="K533" s="27" t="str">
        <f>IF(Table6[[#This Row],[Finish Date]]=0,"On process","Close")</f>
        <v>Close</v>
      </c>
      <c r="L533" s="27" t="str">
        <f>IF(Table6[[#This Row],[Status]]="On process",IF($H$2&gt;Table6[[#This Row],[Target Date]],"Overdue","On time"),"Closed")</f>
        <v>Closed</v>
      </c>
      <c r="M533" s="27" t="str" cm="1">
        <f t="array" ref="M533">_xlfn.IFS(Table6[[#This Row],[Finish Date]]=0,"",Table6[[#This Row],[Finish Date]]&gt;Table6[[#This Row],[Target Date]],"Delay",Table6[[#This Row],[Finish Date]]&lt;=Table6[[#This Row],[Target Date]],"On Time")</f>
        <v>On Time</v>
      </c>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row>
    <row r="534" spans="1:41" ht="21" hidden="1" customHeight="1">
      <c r="A534" s="27">
        <f>WEEKNUM(Table6[[#This Row],[Start Date]])</f>
        <v>24</v>
      </c>
      <c r="B534" s="27" t="str">
        <f>TEXT(Table6[[#This Row],[Start Date]],"mmm")</f>
        <v>Jun</v>
      </c>
      <c r="C534" s="27" t="str">
        <f>_xlfn.IFNA(INDEX(Refer!$B$5:$B$103,MATCH(Table6[[#This Row],[TASK]],Refer!$C$5:$C$103,0)),"")</f>
        <v>NPI</v>
      </c>
      <c r="D534" s="93" t="s">
        <v>61</v>
      </c>
      <c r="E534" s="79" t="s">
        <v>587</v>
      </c>
      <c r="F534" s="82" t="s">
        <v>95</v>
      </c>
      <c r="G534" s="27" t="s">
        <v>64</v>
      </c>
      <c r="H534" s="41">
        <v>46182</v>
      </c>
      <c r="I534" s="41">
        <v>46182</v>
      </c>
      <c r="J534" s="41">
        <v>46182</v>
      </c>
      <c r="K534" s="27" t="str">
        <f>IF(Table6[[#This Row],[Finish Date]]=0,"On process","Close")</f>
        <v>Close</v>
      </c>
      <c r="L534" s="27" t="str">
        <f>IF(Table6[[#This Row],[Status]]="On process",IF($H$2&gt;Table6[[#This Row],[Target Date]],"Overdue","On time"),"Closed")</f>
        <v>Closed</v>
      </c>
      <c r="M534" s="27" t="str" cm="1">
        <f t="array" ref="M534">_xlfn.IFS(Table6[[#This Row],[Finish Date]]=0,"",Table6[[#This Row],[Finish Date]]&gt;Table6[[#This Row],[Target Date]],"Delay",Table6[[#This Row],[Finish Date]]&lt;=Table6[[#This Row],[Target Date]],"On Time")</f>
        <v>On Time</v>
      </c>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row>
    <row r="535" spans="1:41" ht="21" hidden="1" customHeight="1">
      <c r="A535" s="27">
        <f>WEEKNUM(Table6[[#This Row],[Start Date]])</f>
        <v>24</v>
      </c>
      <c r="B535" s="27" t="str">
        <f>TEXT(Table6[[#This Row],[Start Date]],"mmm")</f>
        <v>Jun</v>
      </c>
      <c r="C535" s="27" t="str">
        <f>_xlfn.IFNA(INDEX(Refer!$B$5:$B$103,MATCH(Table6[[#This Row],[TASK]],Refer!$C$5:$C$103,0)),"")</f>
        <v>NPI</v>
      </c>
      <c r="D535" s="93" t="s">
        <v>61</v>
      </c>
      <c r="E535" s="79" t="s">
        <v>588</v>
      </c>
      <c r="F535" s="82" t="s">
        <v>63</v>
      </c>
      <c r="G535" s="27" t="s">
        <v>64</v>
      </c>
      <c r="H535" s="41">
        <v>46181</v>
      </c>
      <c r="I535" s="41">
        <v>46181</v>
      </c>
      <c r="J535" s="41">
        <v>46181</v>
      </c>
      <c r="K535" s="27" t="str">
        <f>IF(Table6[[#This Row],[Finish Date]]=0,"On process","Close")</f>
        <v>Close</v>
      </c>
      <c r="L535" s="27" t="str">
        <f>IF(Table6[[#This Row],[Status]]="On process",IF($H$2&gt;Table6[[#This Row],[Target Date]],"Overdue","On time"),"Closed")</f>
        <v>Closed</v>
      </c>
      <c r="M535" s="27" t="str" cm="1">
        <f t="array" ref="M535">_xlfn.IFS(Table6[[#This Row],[Finish Date]]=0,"",Table6[[#This Row],[Finish Date]]&gt;Table6[[#This Row],[Target Date]],"Delay",Table6[[#This Row],[Finish Date]]&lt;=Table6[[#This Row],[Target Date]],"On Time")</f>
        <v>On Time</v>
      </c>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row>
    <row r="536" spans="1:41" ht="21" hidden="1" customHeight="1">
      <c r="A536" s="27">
        <f>WEEKNUM(Table6[[#This Row],[Start Date]])</f>
        <v>24</v>
      </c>
      <c r="B536" s="27" t="str">
        <f>TEXT(Table6[[#This Row],[Start Date]],"mmm")</f>
        <v>Jun</v>
      </c>
      <c r="C536" s="27" t="str">
        <f>_xlfn.IFNA(INDEX(Refer!$B$5:$B$103,MATCH(Table6[[#This Row],[TASK]],Refer!$C$5:$C$103,0)),"")</f>
        <v>PACKING</v>
      </c>
      <c r="D536" s="93" t="s">
        <v>511</v>
      </c>
      <c r="E536" s="79" t="s">
        <v>589</v>
      </c>
      <c r="F536" s="82" t="s">
        <v>114</v>
      </c>
      <c r="G536" s="27" t="s">
        <v>479</v>
      </c>
      <c r="H536" s="41">
        <v>46181</v>
      </c>
      <c r="I536" s="41">
        <v>46182</v>
      </c>
      <c r="J536" s="41">
        <v>46181</v>
      </c>
      <c r="K536" s="27" t="str">
        <f>IF(Table6[[#This Row],[Finish Date]]=0,"On process","Close")</f>
        <v>Close</v>
      </c>
      <c r="L536" s="27" t="str">
        <f>IF(Table6[[#This Row],[Status]]="On process",IF($H$2&gt;Table6[[#This Row],[Target Date]],"Overdue","On time"),"Closed")</f>
        <v>Closed</v>
      </c>
      <c r="M536" s="27" t="str" cm="1">
        <f t="array" ref="M536">_xlfn.IFS(Table6[[#This Row],[Finish Date]]=0,"",Table6[[#This Row],[Finish Date]]&gt;Table6[[#This Row],[Target Date]],"Delay",Table6[[#This Row],[Finish Date]]&lt;=Table6[[#This Row],[Target Date]],"On Time")</f>
        <v>On Time</v>
      </c>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row>
    <row r="537" spans="1:41" ht="21" hidden="1" customHeight="1">
      <c r="A537" s="27">
        <f>WEEKNUM(Table6[[#This Row],[Start Date]])</f>
        <v>24</v>
      </c>
      <c r="B537" s="27" t="str">
        <f>TEXT(Table6[[#This Row],[Start Date]],"mmm")</f>
        <v>Jun</v>
      </c>
      <c r="C537" s="27" t="str">
        <f>_xlfn.IFNA(INDEX(Refer!$B$5:$B$103,MATCH(Table6[[#This Row],[TASK]],Refer!$C$5:$C$103,0)),"")</f>
        <v>PACKING</v>
      </c>
      <c r="D537" s="93" t="s">
        <v>511</v>
      </c>
      <c r="E537" s="79" t="s">
        <v>590</v>
      </c>
      <c r="F537" s="82" t="s">
        <v>114</v>
      </c>
      <c r="G537" s="27" t="s">
        <v>479</v>
      </c>
      <c r="H537" s="41">
        <v>46181</v>
      </c>
      <c r="I537" s="41">
        <v>46182</v>
      </c>
      <c r="J537" s="41">
        <v>46181</v>
      </c>
      <c r="K537" s="27" t="str">
        <f>IF(Table6[[#This Row],[Finish Date]]=0,"On process","Close")</f>
        <v>Close</v>
      </c>
      <c r="L537" s="27" t="str">
        <f>IF(Table6[[#This Row],[Status]]="On process",IF($H$2&gt;Table6[[#This Row],[Target Date]],"Overdue","On time"),"Closed")</f>
        <v>Closed</v>
      </c>
      <c r="M537" s="27" t="str" cm="1">
        <f t="array" ref="M537">_xlfn.IFS(Table6[[#This Row],[Finish Date]]=0,"",Table6[[#This Row],[Finish Date]]&gt;Table6[[#This Row],[Target Date]],"Delay",Table6[[#This Row],[Finish Date]]&lt;=Table6[[#This Row],[Target Date]],"On Time")</f>
        <v>On Time</v>
      </c>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row>
    <row r="538" spans="1:41" ht="21" hidden="1" customHeight="1">
      <c r="A538" s="27">
        <f>WEEKNUM(Table6[[#This Row],[Start Date]])</f>
        <v>24</v>
      </c>
      <c r="B538" s="27" t="str">
        <f>TEXT(Table6[[#This Row],[Start Date]],"mmm")</f>
        <v>Jun</v>
      </c>
      <c r="C538" s="27" t="str">
        <f>_xlfn.IFNA(INDEX(Refer!$B$5:$B$103,MATCH(Table6[[#This Row],[TASK]],Refer!$C$5:$C$103,0)),"")</f>
        <v>OTHER</v>
      </c>
      <c r="D538" s="93" t="s">
        <v>108</v>
      </c>
      <c r="E538" s="79" t="s">
        <v>591</v>
      </c>
      <c r="F538" s="82"/>
      <c r="G538" s="27" t="s">
        <v>182</v>
      </c>
      <c r="H538" s="41">
        <v>46182</v>
      </c>
      <c r="I538" s="41">
        <v>46183</v>
      </c>
      <c r="J538" s="41">
        <v>46183</v>
      </c>
      <c r="K538" s="27" t="str">
        <f>IF(Table6[[#This Row],[Finish Date]]=0,"On process","Close")</f>
        <v>Close</v>
      </c>
      <c r="L538" s="27" t="str">
        <f>IF(Table6[[#This Row],[Status]]="On process",IF($H$2&gt;Table6[[#This Row],[Target Date]],"Overdue","On time"),"Closed")</f>
        <v>Closed</v>
      </c>
      <c r="M538" s="27" t="str" cm="1">
        <f t="array" ref="M538">_xlfn.IFS(Table6[[#This Row],[Finish Date]]=0,"",Table6[[#This Row],[Finish Date]]&gt;Table6[[#This Row],[Target Date]],"Delay",Table6[[#This Row],[Finish Date]]&lt;=Table6[[#This Row],[Target Date]],"On Time")</f>
        <v>On Time</v>
      </c>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row>
    <row r="539" spans="1:41" ht="21" hidden="1" customHeight="1">
      <c r="A539" s="27">
        <f>WEEKNUM(Table6[[#This Row],[Start Date]])</f>
        <v>24</v>
      </c>
      <c r="B539" s="27" t="str">
        <f>TEXT(Table6[[#This Row],[Start Date]],"mmm")</f>
        <v>Jun</v>
      </c>
      <c r="C539" s="27" t="str">
        <f>_xlfn.IFNA(INDEX(Refer!$B$5:$B$103,MATCH(Table6[[#This Row],[TASK]],Refer!$C$5:$C$103,0)),"")</f>
        <v>MEETING</v>
      </c>
      <c r="D539" s="93" t="s">
        <v>72</v>
      </c>
      <c r="E539" s="79" t="s">
        <v>592</v>
      </c>
      <c r="F539" s="82"/>
      <c r="G539" s="27" t="s">
        <v>182</v>
      </c>
      <c r="H539" s="41">
        <v>46183</v>
      </c>
      <c r="I539" s="41">
        <v>46184</v>
      </c>
      <c r="J539" s="41">
        <v>46184</v>
      </c>
      <c r="K539" s="27" t="str">
        <f>IF(Table6[[#This Row],[Finish Date]]=0,"On process","Close")</f>
        <v>Close</v>
      </c>
      <c r="L539" s="27" t="str">
        <f>IF(Table6[[#This Row],[Status]]="On process",IF($H$2&gt;Table6[[#This Row],[Target Date]],"Overdue","On time"),"Closed")</f>
        <v>Closed</v>
      </c>
      <c r="M539" s="27" t="str" cm="1">
        <f t="array" ref="M539">_xlfn.IFS(Table6[[#This Row],[Finish Date]]=0,"",Table6[[#This Row],[Finish Date]]&gt;Table6[[#This Row],[Target Date]],"Delay",Table6[[#This Row],[Finish Date]]&lt;=Table6[[#This Row],[Target Date]],"On Time")</f>
        <v>On Time</v>
      </c>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row>
    <row r="540" spans="1:41" ht="21" hidden="1" customHeight="1">
      <c r="A540" s="27">
        <f>WEEKNUM(Table6[[#This Row],[Start Date]])</f>
        <v>24</v>
      </c>
      <c r="B540" s="27" t="str">
        <f>TEXT(Table6[[#This Row],[Start Date]],"mmm")</f>
        <v>Jun</v>
      </c>
      <c r="C540" s="27" t="str">
        <f>_xlfn.IFNA(INDEX(Refer!$B$5:$B$103,MATCH(Table6[[#This Row],[TASK]],Refer!$C$5:$C$103,0)),"")</f>
        <v>PACKING</v>
      </c>
      <c r="D540" s="93" t="s">
        <v>147</v>
      </c>
      <c r="E540" s="79" t="s">
        <v>593</v>
      </c>
      <c r="F540" s="82" t="s">
        <v>63</v>
      </c>
      <c r="G540" s="27" t="s">
        <v>182</v>
      </c>
      <c r="H540" s="41">
        <v>46184</v>
      </c>
      <c r="I540" s="41">
        <v>46185</v>
      </c>
      <c r="J540" s="41">
        <v>46185</v>
      </c>
      <c r="K540" s="27" t="str">
        <f>IF(Table6[[#This Row],[Finish Date]]=0,"On process","Close")</f>
        <v>Close</v>
      </c>
      <c r="L540" s="27" t="str">
        <f>IF(Table6[[#This Row],[Status]]="On process",IF($H$2&gt;Table6[[#This Row],[Target Date]],"Overdue","On time"),"Closed")</f>
        <v>Closed</v>
      </c>
      <c r="M540" s="27" t="str" cm="1">
        <f t="array" ref="M540">_xlfn.IFS(Table6[[#This Row],[Finish Date]]=0,"",Table6[[#This Row],[Finish Date]]&gt;Table6[[#This Row],[Target Date]],"Delay",Table6[[#This Row],[Finish Date]]&lt;=Table6[[#This Row],[Target Date]],"On Time")</f>
        <v>On Time</v>
      </c>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row>
    <row r="541" spans="1:41" ht="21" hidden="1" customHeight="1">
      <c r="A541" s="27">
        <f>WEEKNUM(Table6[[#This Row],[Start Date]])</f>
        <v>24</v>
      </c>
      <c r="B541" s="27" t="str">
        <f>TEXT(Table6[[#This Row],[Start Date]],"mmm")</f>
        <v>Jun</v>
      </c>
      <c r="C541" s="27" t="str">
        <f>_xlfn.IFNA(INDEX(Refer!$B$5:$B$103,MATCH(Table6[[#This Row],[TASK]],Refer!$C$5:$C$103,0)),"")</f>
        <v>PACKING</v>
      </c>
      <c r="D541" s="93" t="s">
        <v>120</v>
      </c>
      <c r="E541" s="79" t="s">
        <v>594</v>
      </c>
      <c r="F541" s="82" t="s">
        <v>63</v>
      </c>
      <c r="G541" s="27" t="s">
        <v>182</v>
      </c>
      <c r="H541" s="41">
        <v>46185</v>
      </c>
      <c r="I541" s="41">
        <v>46185</v>
      </c>
      <c r="J541" s="41">
        <v>46185</v>
      </c>
      <c r="K541" s="27" t="str">
        <f>IF(Table6[[#This Row],[Finish Date]]=0,"On process","Close")</f>
        <v>Close</v>
      </c>
      <c r="L541" s="27" t="str">
        <f>IF(Table6[[#This Row],[Status]]="On process",IF($H$2&gt;Table6[[#This Row],[Target Date]],"Overdue","On time"),"Closed")</f>
        <v>Closed</v>
      </c>
      <c r="M541" s="27" t="str" cm="1">
        <f t="array" ref="M541">_xlfn.IFS(Table6[[#This Row],[Finish Date]]=0,"",Table6[[#This Row],[Finish Date]]&gt;Table6[[#This Row],[Target Date]],"Delay",Table6[[#This Row],[Finish Date]]&lt;=Table6[[#This Row],[Target Date]],"On Time")</f>
        <v>On Time</v>
      </c>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row>
    <row r="542" spans="1:41" ht="21" hidden="1" customHeight="1">
      <c r="A542" s="27">
        <f>WEEKNUM(Table6[[#This Row],[Start Date]])</f>
        <v>24</v>
      </c>
      <c r="B542" s="27" t="str">
        <f>TEXT(Table6[[#This Row],[Start Date]],"mmm")</f>
        <v>Jun</v>
      </c>
      <c r="C542" s="27" t="str">
        <f>_xlfn.IFNA(INDEX(Refer!$B$5:$B$103,MATCH(Table6[[#This Row],[TASK]],Refer!$C$5:$C$103,0)),"")</f>
        <v>DFM Mold</v>
      </c>
      <c r="D542" s="93" t="s">
        <v>99</v>
      </c>
      <c r="E542" s="79" t="s">
        <v>595</v>
      </c>
      <c r="F542" s="82" t="s">
        <v>95</v>
      </c>
      <c r="G542" s="27" t="s">
        <v>64</v>
      </c>
      <c r="H542" s="41">
        <v>46182</v>
      </c>
      <c r="I542" s="41">
        <v>46182</v>
      </c>
      <c r="J542" s="41">
        <v>46182</v>
      </c>
      <c r="K542" s="27" t="str">
        <f>IF(Table6[[#This Row],[Finish Date]]=0,"On process","Close")</f>
        <v>Close</v>
      </c>
      <c r="L542" s="27" t="str">
        <f>IF(Table6[[#This Row],[Status]]="On process",IF($H$2&gt;Table6[[#This Row],[Target Date]],"Overdue","On time"),"Closed")</f>
        <v>Closed</v>
      </c>
      <c r="M542" s="27" t="str" cm="1">
        <f t="array" ref="M542">_xlfn.IFS(Table6[[#This Row],[Finish Date]]=0,"",Table6[[#This Row],[Finish Date]]&gt;Table6[[#This Row],[Target Date]],"Delay",Table6[[#This Row],[Finish Date]]&lt;=Table6[[#This Row],[Target Date]],"On Time")</f>
        <v>On Time</v>
      </c>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row>
    <row r="543" spans="1:41" ht="21" hidden="1" customHeight="1">
      <c r="A543" s="27">
        <f>WEEKNUM(Table6[[#This Row],[Start Date]])</f>
        <v>24</v>
      </c>
      <c r="B543" s="27" t="str">
        <f>TEXT(Table6[[#This Row],[Start Date]],"mmm")</f>
        <v>Jun</v>
      </c>
      <c r="C543" s="27" t="str">
        <f>_xlfn.IFNA(INDEX(Refer!$B$5:$B$103,MATCH(Table6[[#This Row],[TASK]],Refer!$C$5:$C$103,0)),"")</f>
        <v>DFM Mold</v>
      </c>
      <c r="D543" s="93" t="s">
        <v>99</v>
      </c>
      <c r="E543" s="79" t="s">
        <v>595</v>
      </c>
      <c r="F543" s="82" t="s">
        <v>95</v>
      </c>
      <c r="G543" s="27" t="s">
        <v>479</v>
      </c>
      <c r="H543" s="41">
        <v>46182</v>
      </c>
      <c r="I543" s="41">
        <v>46182</v>
      </c>
      <c r="J543" s="41">
        <v>46182</v>
      </c>
      <c r="K543" s="27" t="str">
        <f>IF(Table6[[#This Row],[Finish Date]]=0,"On process","Close")</f>
        <v>Close</v>
      </c>
      <c r="L543" s="27" t="str">
        <f>IF(Table6[[#This Row],[Status]]="On process",IF($H$2&gt;Table6[[#This Row],[Target Date]],"Overdue","On time"),"Closed")</f>
        <v>Closed</v>
      </c>
      <c r="M543" s="27" t="str" cm="1">
        <f t="array" ref="M543">_xlfn.IFS(Table6[[#This Row],[Finish Date]]=0,"",Table6[[#This Row],[Finish Date]]&gt;Table6[[#This Row],[Target Date]],"Delay",Table6[[#This Row],[Finish Date]]&lt;=Table6[[#This Row],[Target Date]],"On Time")</f>
        <v>On Time</v>
      </c>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row>
    <row r="544" spans="1:41" ht="21" hidden="1" customHeight="1">
      <c r="A544" s="27">
        <f>WEEKNUM(Table6[[#This Row],[Start Date]])</f>
        <v>24</v>
      </c>
      <c r="B544" s="27" t="str">
        <f>TEXT(Table6[[#This Row],[Start Date]],"mmm")</f>
        <v>Jun</v>
      </c>
      <c r="C544" s="27" t="str">
        <f>_xlfn.IFNA(INDEX(Refer!$B$5:$B$103,MATCH(Table6[[#This Row],[TASK]],Refer!$C$5:$C$103,0)),"")</f>
        <v>DFM Mold</v>
      </c>
      <c r="D544" s="93" t="s">
        <v>99</v>
      </c>
      <c r="E544" s="79" t="s">
        <v>596</v>
      </c>
      <c r="F544" s="82" t="s">
        <v>95</v>
      </c>
      <c r="G544" s="27" t="s">
        <v>64</v>
      </c>
      <c r="H544" s="41">
        <v>46182</v>
      </c>
      <c r="I544" s="41">
        <v>46182</v>
      </c>
      <c r="J544" s="41">
        <v>46182</v>
      </c>
      <c r="K544" s="27" t="str">
        <f>IF(Table6[[#This Row],[Finish Date]]=0,"On process","Close")</f>
        <v>Close</v>
      </c>
      <c r="L544" s="27" t="str">
        <f>IF(Table6[[#This Row],[Status]]="On process",IF($H$2&gt;Table6[[#This Row],[Target Date]],"Overdue","On time"),"Closed")</f>
        <v>Closed</v>
      </c>
      <c r="M544" s="27" t="str" cm="1">
        <f t="array" ref="M544">_xlfn.IFS(Table6[[#This Row],[Finish Date]]=0,"",Table6[[#This Row],[Finish Date]]&gt;Table6[[#This Row],[Target Date]],"Delay",Table6[[#This Row],[Finish Date]]&lt;=Table6[[#This Row],[Target Date]],"On Time")</f>
        <v>On Time</v>
      </c>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row>
    <row r="545" spans="1:41" ht="21" hidden="1" customHeight="1">
      <c r="A545" s="27">
        <f>WEEKNUM(Table6[[#This Row],[Start Date]])</f>
        <v>24</v>
      </c>
      <c r="B545" s="27" t="str">
        <f>TEXT(Table6[[#This Row],[Start Date]],"mmm")</f>
        <v>Jun</v>
      </c>
      <c r="C545" s="27" t="str">
        <f>_xlfn.IFNA(INDEX(Refer!$B$5:$B$103,MATCH(Table6[[#This Row],[TASK]],Refer!$C$5:$C$103,0)),"")</f>
        <v>DFM Mold</v>
      </c>
      <c r="D545" s="93" t="s">
        <v>99</v>
      </c>
      <c r="E545" s="79" t="s">
        <v>596</v>
      </c>
      <c r="F545" s="82" t="s">
        <v>95</v>
      </c>
      <c r="G545" s="27" t="s">
        <v>479</v>
      </c>
      <c r="H545" s="41">
        <v>46182</v>
      </c>
      <c r="I545" s="41">
        <v>46182</v>
      </c>
      <c r="J545" s="41">
        <v>46182</v>
      </c>
      <c r="K545" s="27" t="str">
        <f>IF(Table6[[#This Row],[Finish Date]]=0,"On process","Close")</f>
        <v>Close</v>
      </c>
      <c r="L545" s="27" t="str">
        <f>IF(Table6[[#This Row],[Status]]="On process",IF($H$2&gt;Table6[[#This Row],[Target Date]],"Overdue","On time"),"Closed")</f>
        <v>Closed</v>
      </c>
      <c r="M545" s="27" t="str" cm="1">
        <f t="array" ref="M545">_xlfn.IFS(Table6[[#This Row],[Finish Date]]=0,"",Table6[[#This Row],[Finish Date]]&gt;Table6[[#This Row],[Target Date]],"Delay",Table6[[#This Row],[Finish Date]]&lt;=Table6[[#This Row],[Target Date]],"On Time")</f>
        <v>On Time</v>
      </c>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row>
    <row r="546" spans="1:41" ht="21" hidden="1" customHeight="1">
      <c r="A546" s="27">
        <f>WEEKNUM(Table6[[#This Row],[Start Date]])</f>
        <v>24</v>
      </c>
      <c r="B546" s="27" t="str">
        <f>TEXT(Table6[[#This Row],[Start Date]],"mmm")</f>
        <v>Jun</v>
      </c>
      <c r="C546" s="27" t="str">
        <f>_xlfn.IFNA(INDEX(Refer!$B$5:$B$103,MATCH(Table6[[#This Row],[TASK]],Refer!$C$5:$C$103,0)),"")</f>
        <v>MEETING</v>
      </c>
      <c r="D546" s="93" t="s">
        <v>314</v>
      </c>
      <c r="E546" s="79" t="s">
        <v>98</v>
      </c>
      <c r="F546" s="82" t="s">
        <v>63</v>
      </c>
      <c r="G546" s="27" t="s">
        <v>64</v>
      </c>
      <c r="H546" s="41">
        <v>46184</v>
      </c>
      <c r="I546" s="41">
        <v>46184</v>
      </c>
      <c r="J546" s="41">
        <v>46184</v>
      </c>
      <c r="K546" s="27" t="str">
        <f>IF(Table6[[#This Row],[Finish Date]]=0,"On process","Close")</f>
        <v>Close</v>
      </c>
      <c r="L546" s="27" t="str">
        <f>IF(Table6[[#This Row],[Status]]="On process",IF($H$2&gt;Table6[[#This Row],[Target Date]],"Overdue","On time"),"Closed")</f>
        <v>Closed</v>
      </c>
      <c r="M546" s="27" t="str" cm="1">
        <f t="array" ref="M546">_xlfn.IFS(Table6[[#This Row],[Finish Date]]=0,"",Table6[[#This Row],[Finish Date]]&gt;Table6[[#This Row],[Target Date]],"Delay",Table6[[#This Row],[Finish Date]]&lt;=Table6[[#This Row],[Target Date]],"On Time")</f>
        <v>On Time</v>
      </c>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row>
    <row r="547" spans="1:41" ht="21" hidden="1" customHeight="1">
      <c r="A547" s="27">
        <f>WEEKNUM(Table6[[#This Row],[Start Date]])</f>
        <v>24</v>
      </c>
      <c r="B547" s="27" t="str">
        <f>TEXT(Table6[[#This Row],[Start Date]],"mmm")</f>
        <v>Jun</v>
      </c>
      <c r="C547" s="27" t="str">
        <f>_xlfn.IFNA(INDEX(Refer!$B$5:$B$103,MATCH(Table6[[#This Row],[TASK]],Refer!$C$5:$C$103,0)),"")</f>
        <v>RFQ</v>
      </c>
      <c r="D547" s="93" t="s">
        <v>123</v>
      </c>
      <c r="E547" s="79" t="s">
        <v>597</v>
      </c>
      <c r="F547" s="82" t="s">
        <v>95</v>
      </c>
      <c r="G547" s="27" t="s">
        <v>440</v>
      </c>
      <c r="H547" s="41">
        <v>46182</v>
      </c>
      <c r="I547" s="41">
        <v>46184</v>
      </c>
      <c r="J547" s="41">
        <v>46184</v>
      </c>
      <c r="K547" s="27" t="str">
        <f>IF(Table6[[#This Row],[Finish Date]]=0,"On process","Close")</f>
        <v>Close</v>
      </c>
      <c r="L547" s="27" t="str">
        <f>IF(Table6[[#This Row],[Status]]="On process",IF($H$2&gt;Table6[[#This Row],[Target Date]],"Overdue","On time"),"Closed")</f>
        <v>Closed</v>
      </c>
      <c r="M547" s="27" t="str" cm="1">
        <f t="array" ref="M547">_xlfn.IFS(Table6[[#This Row],[Finish Date]]=0,"",Table6[[#This Row],[Finish Date]]&gt;Table6[[#This Row],[Target Date]],"Delay",Table6[[#This Row],[Finish Date]]&lt;=Table6[[#This Row],[Target Date]],"On Time")</f>
        <v>On Time</v>
      </c>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row>
    <row r="548" spans="1:41" ht="21" hidden="1" customHeight="1">
      <c r="A548" s="27">
        <f>WEEKNUM(Table6[[#This Row],[Start Date]])</f>
        <v>24</v>
      </c>
      <c r="B548" s="27" t="str">
        <f>TEXT(Table6[[#This Row],[Start Date]],"mmm")</f>
        <v>Jun</v>
      </c>
      <c r="C548" s="27" t="str">
        <f>_xlfn.IFNA(INDEX(Refer!$B$5:$B$103,MATCH(Table6[[#This Row],[TASK]],Refer!$C$5:$C$103,0)),"")</f>
        <v>PACKING</v>
      </c>
      <c r="D548" s="93" t="s">
        <v>147</v>
      </c>
      <c r="E548" s="79" t="s">
        <v>598</v>
      </c>
      <c r="F548" s="82"/>
      <c r="G548" s="27" t="s">
        <v>440</v>
      </c>
      <c r="H548" s="41">
        <v>46184</v>
      </c>
      <c r="I548" s="41">
        <v>46184</v>
      </c>
      <c r="J548" s="41">
        <v>46184</v>
      </c>
      <c r="K548" s="27" t="str">
        <f>IF(Table6[[#This Row],[Finish Date]]=0,"On process","Close")</f>
        <v>Close</v>
      </c>
      <c r="L548" s="27" t="str">
        <f>IF(Table6[[#This Row],[Status]]="On process",IF($H$2&gt;Table6[[#This Row],[Target Date]],"Overdue","On time"),"Closed")</f>
        <v>Closed</v>
      </c>
      <c r="M548" s="27" t="str" cm="1">
        <f t="array" ref="M548">_xlfn.IFS(Table6[[#This Row],[Finish Date]]=0,"",Table6[[#This Row],[Finish Date]]&gt;Table6[[#This Row],[Target Date]],"Delay",Table6[[#This Row],[Finish Date]]&lt;=Table6[[#This Row],[Target Date]],"On Time")</f>
        <v>On Time</v>
      </c>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row>
    <row r="549" spans="1:41" ht="21" hidden="1" customHeight="1">
      <c r="A549" s="27">
        <f>WEEKNUM(Table6[[#This Row],[Start Date]])</f>
        <v>24</v>
      </c>
      <c r="B549" s="27" t="str">
        <f>TEXT(Table6[[#This Row],[Start Date]],"mmm")</f>
        <v>Jun</v>
      </c>
      <c r="C549" s="27" t="str">
        <f>_xlfn.IFNA(INDEX(Refer!$B$5:$B$103,MATCH(Table6[[#This Row],[TASK]],Refer!$C$5:$C$103,0)),"")</f>
        <v>PACKING</v>
      </c>
      <c r="D549" s="93" t="s">
        <v>112</v>
      </c>
      <c r="E549" s="79" t="s">
        <v>488</v>
      </c>
      <c r="F549" s="82" t="s">
        <v>114</v>
      </c>
      <c r="G549" s="27" t="s">
        <v>440</v>
      </c>
      <c r="H549" s="41">
        <v>46185</v>
      </c>
      <c r="I549" s="41">
        <v>46185</v>
      </c>
      <c r="J549" s="41">
        <v>46185</v>
      </c>
      <c r="K549" s="27" t="str">
        <f>IF(Table6[[#This Row],[Finish Date]]=0,"On process","Close")</f>
        <v>Close</v>
      </c>
      <c r="L549" s="27" t="str">
        <f>IF(Table6[[#This Row],[Status]]="On process",IF($H$2&gt;Table6[[#This Row],[Target Date]],"Overdue","On time"),"Closed")</f>
        <v>Closed</v>
      </c>
      <c r="M549" s="27" t="str" cm="1">
        <f t="array" ref="M549">_xlfn.IFS(Table6[[#This Row],[Finish Date]]=0,"",Table6[[#This Row],[Finish Date]]&gt;Table6[[#This Row],[Target Date]],"Delay",Table6[[#This Row],[Finish Date]]&lt;=Table6[[#This Row],[Target Date]],"On Time")</f>
        <v>On Time</v>
      </c>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row>
    <row r="550" spans="1:41" ht="21" hidden="1" customHeight="1">
      <c r="A550" s="27">
        <f>WEEKNUM(Table6[[#This Row],[Start Date]])</f>
        <v>24</v>
      </c>
      <c r="B550" s="27" t="str">
        <f>TEXT(Table6[[#This Row],[Start Date]],"mmm")</f>
        <v>Jun</v>
      </c>
      <c r="C550" s="27" t="str">
        <f>_xlfn.IFNA(INDEX(Refer!$B$5:$B$103,MATCH(Table6[[#This Row],[TASK]],Refer!$C$5:$C$103,0)),"")</f>
        <v>DFM Mold</v>
      </c>
      <c r="D550" s="93" t="s">
        <v>99</v>
      </c>
      <c r="E550" s="79" t="s">
        <v>599</v>
      </c>
      <c r="F550" s="82" t="s">
        <v>580</v>
      </c>
      <c r="G550" s="27" t="s">
        <v>479</v>
      </c>
      <c r="H550" s="41">
        <v>46184</v>
      </c>
      <c r="I550" s="41">
        <v>46185</v>
      </c>
      <c r="J550" s="41">
        <v>46184</v>
      </c>
      <c r="K550" s="27" t="str">
        <f>IF(Table6[[#This Row],[Finish Date]]=0,"On process","Close")</f>
        <v>Close</v>
      </c>
      <c r="L550" s="27" t="str">
        <f>IF(Table6[[#This Row],[Status]]="On process",IF($H$2&gt;Table6[[#This Row],[Target Date]],"Overdue","On time"),"Closed")</f>
        <v>Closed</v>
      </c>
      <c r="M550" s="27" t="str" cm="1">
        <f t="array" ref="M550">_xlfn.IFS(Table6[[#This Row],[Finish Date]]=0,"",Table6[[#This Row],[Finish Date]]&gt;Table6[[#This Row],[Target Date]],"Delay",Table6[[#This Row],[Finish Date]]&lt;=Table6[[#This Row],[Target Date]],"On Time")</f>
        <v>On Time</v>
      </c>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row>
    <row r="551" spans="1:41" ht="21" hidden="1" customHeight="1">
      <c r="A551" s="27">
        <f>WEEKNUM(Table6[[#This Row],[Start Date]])</f>
        <v>24</v>
      </c>
      <c r="B551" s="27" t="str">
        <f>TEXT(Table6[[#This Row],[Start Date]],"mmm")</f>
        <v>Jun</v>
      </c>
      <c r="C551" s="27" t="str">
        <f>_xlfn.IFNA(INDEX(Refer!$B$5:$B$103,MATCH(Table6[[#This Row],[TASK]],Refer!$C$5:$C$103,0)),"")</f>
        <v>DFM Mold</v>
      </c>
      <c r="D551" s="93" t="s">
        <v>99</v>
      </c>
      <c r="E551" s="79" t="s">
        <v>600</v>
      </c>
      <c r="F551" s="82" t="s">
        <v>580</v>
      </c>
      <c r="G551" s="27" t="s">
        <v>479</v>
      </c>
      <c r="H551" s="41">
        <v>46182</v>
      </c>
      <c r="I551" s="41">
        <v>46183</v>
      </c>
      <c r="J551" s="41">
        <v>46183</v>
      </c>
      <c r="K551" s="27" t="str">
        <f>IF(Table6[[#This Row],[Finish Date]]=0,"On process","Close")</f>
        <v>Close</v>
      </c>
      <c r="L551" s="27" t="str">
        <f>IF(Table6[[#This Row],[Status]]="On process",IF($H$2&gt;Table6[[#This Row],[Target Date]],"Overdue","On time"),"Closed")</f>
        <v>Closed</v>
      </c>
      <c r="M551" s="27" t="str" cm="1">
        <f t="array" ref="M551">_xlfn.IFS(Table6[[#This Row],[Finish Date]]=0,"",Table6[[#This Row],[Finish Date]]&gt;Table6[[#This Row],[Target Date]],"Delay",Table6[[#This Row],[Finish Date]]&lt;=Table6[[#This Row],[Target Date]],"On Time")</f>
        <v>On Time</v>
      </c>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row>
    <row r="552" spans="1:41" ht="21" hidden="1" customHeight="1">
      <c r="A552" s="27">
        <f>WEEKNUM(Table6[[#This Row],[Start Date]])</f>
        <v>24</v>
      </c>
      <c r="B552" s="27" t="str">
        <f>TEXT(Table6[[#This Row],[Start Date]],"mmm")</f>
        <v>Jun</v>
      </c>
      <c r="C552" s="27" t="str">
        <f>_xlfn.IFNA(INDEX(Refer!$B$5:$B$103,MATCH(Table6[[#This Row],[TASK]],Refer!$C$5:$C$103,0)),"")</f>
        <v>Part DFM</v>
      </c>
      <c r="D552" s="93" t="s">
        <v>447</v>
      </c>
      <c r="E552" s="79" t="s">
        <v>601</v>
      </c>
      <c r="F552" s="82" t="s">
        <v>421</v>
      </c>
      <c r="G552" s="27" t="s">
        <v>64</v>
      </c>
      <c r="H552" s="41">
        <v>46184</v>
      </c>
      <c r="I552" s="41">
        <v>46185</v>
      </c>
      <c r="J552" s="41">
        <v>46185</v>
      </c>
      <c r="K552" s="27" t="str">
        <f>IF(Table6[[#This Row],[Finish Date]]=0,"On process","Close")</f>
        <v>Close</v>
      </c>
      <c r="L552" s="27" t="str">
        <f>IF(Table6[[#This Row],[Status]]="On process",IF($H$2&gt;Table6[[#This Row],[Target Date]],"Overdue","On time"),"Closed")</f>
        <v>Closed</v>
      </c>
      <c r="M552" s="27" t="str" cm="1">
        <f t="array" ref="M552">_xlfn.IFS(Table6[[#This Row],[Finish Date]]=0,"",Table6[[#This Row],[Finish Date]]&gt;Table6[[#This Row],[Target Date]],"Delay",Table6[[#This Row],[Finish Date]]&lt;=Table6[[#This Row],[Target Date]],"On Time")</f>
        <v>On Time</v>
      </c>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row>
    <row r="553" spans="1:41" ht="21" hidden="1" customHeight="1">
      <c r="A553" s="27">
        <f>WEEKNUM(Table6[[#This Row],[Start Date]])</f>
        <v>24</v>
      </c>
      <c r="B553" s="27" t="str">
        <f>TEXT(Table6[[#This Row],[Start Date]],"mmm")</f>
        <v>Jun</v>
      </c>
      <c r="C553" s="27" t="str">
        <f>_xlfn.IFNA(INDEX(Refer!$B$5:$B$103,MATCH(Table6[[#This Row],[TASK]],Refer!$C$5:$C$103,0)),"")</f>
        <v>PACKING</v>
      </c>
      <c r="D553" s="93" t="s">
        <v>112</v>
      </c>
      <c r="E553" s="79" t="s">
        <v>602</v>
      </c>
      <c r="F553" s="82" t="s">
        <v>206</v>
      </c>
      <c r="G553" s="27" t="s">
        <v>440</v>
      </c>
      <c r="H553" s="41">
        <v>46182</v>
      </c>
      <c r="I553" s="41">
        <v>46183</v>
      </c>
      <c r="J553" s="41">
        <v>46182</v>
      </c>
      <c r="K553" s="27" t="str">
        <f>IF(Table6[[#This Row],[Finish Date]]=0,"On process","Close")</f>
        <v>Close</v>
      </c>
      <c r="L553" s="27" t="str">
        <f>IF(Table6[[#This Row],[Status]]="On process",IF($H$2&gt;Table6[[#This Row],[Target Date]],"Overdue","On time"),"Closed")</f>
        <v>Closed</v>
      </c>
      <c r="M553" s="27" t="str" cm="1">
        <f t="array" ref="M553">_xlfn.IFS(Table6[[#This Row],[Finish Date]]=0,"",Table6[[#This Row],[Finish Date]]&gt;Table6[[#This Row],[Target Date]],"Delay",Table6[[#This Row],[Finish Date]]&lt;=Table6[[#This Row],[Target Date]],"On Time")</f>
        <v>On Time</v>
      </c>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row>
    <row r="554" spans="1:41" ht="21" hidden="1" customHeight="1">
      <c r="A554" s="27">
        <f>WEEKNUM(Table6[[#This Row],[Start Date]])</f>
        <v>24</v>
      </c>
      <c r="B554" s="27" t="str">
        <f>TEXT(Table6[[#This Row],[Start Date]],"mmm")</f>
        <v>Jun</v>
      </c>
      <c r="C554" s="27" t="str">
        <f>_xlfn.IFNA(INDEX(Refer!$B$5:$B$103,MATCH(Table6[[#This Row],[TASK]],Refer!$C$5:$C$103,0)),"")</f>
        <v>PACKING</v>
      </c>
      <c r="D554" s="93" t="s">
        <v>511</v>
      </c>
      <c r="E554" s="79" t="s">
        <v>603</v>
      </c>
      <c r="F554" s="82" t="s">
        <v>604</v>
      </c>
      <c r="G554" s="27" t="s">
        <v>479</v>
      </c>
      <c r="H554" s="41">
        <v>46183</v>
      </c>
      <c r="I554" s="41">
        <v>46184</v>
      </c>
      <c r="J554" s="41">
        <v>46184</v>
      </c>
      <c r="K554" s="27" t="str">
        <f>IF(Table6[[#This Row],[Finish Date]]=0,"On process","Close")</f>
        <v>Close</v>
      </c>
      <c r="L554" s="27" t="str">
        <f>IF(Table6[[#This Row],[Status]]="On process",IF($H$2&gt;Table6[[#This Row],[Target Date]],"Overdue","On time"),"Closed")</f>
        <v>Closed</v>
      </c>
      <c r="M554" s="27" t="str" cm="1">
        <f t="array" ref="M554">_xlfn.IFS(Table6[[#This Row],[Finish Date]]=0,"",Table6[[#This Row],[Finish Date]]&gt;Table6[[#This Row],[Target Date]],"Delay",Table6[[#This Row],[Finish Date]]&lt;=Table6[[#This Row],[Target Date]],"On Time")</f>
        <v>On Time</v>
      </c>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row>
    <row r="555" spans="1:41" ht="21" hidden="1" customHeight="1">
      <c r="A555" s="27">
        <f>WEEKNUM(Table6[[#This Row],[Start Date]])</f>
        <v>24</v>
      </c>
      <c r="B555" s="27" t="str">
        <f>TEXT(Table6[[#This Row],[Start Date]],"mmm")</f>
        <v>Jun</v>
      </c>
      <c r="C555" s="27" t="str">
        <f>_xlfn.IFNA(INDEX(Refer!$B$5:$B$103,MATCH(Table6[[#This Row],[TASK]],Refer!$C$5:$C$103,0)),"")</f>
        <v>PACKING</v>
      </c>
      <c r="D555" s="93" t="s">
        <v>511</v>
      </c>
      <c r="E555" s="79" t="s">
        <v>605</v>
      </c>
      <c r="F555" s="82" t="s">
        <v>606</v>
      </c>
      <c r="G555" s="27" t="s">
        <v>479</v>
      </c>
      <c r="H555" s="41">
        <v>46183</v>
      </c>
      <c r="I555" s="41">
        <v>46184</v>
      </c>
      <c r="J555" s="41">
        <v>46184</v>
      </c>
      <c r="K555" s="27" t="str">
        <f>IF(Table6[[#This Row],[Finish Date]]=0,"On process","Close")</f>
        <v>Close</v>
      </c>
      <c r="L555" s="27" t="str">
        <f>IF(Table6[[#This Row],[Status]]="On process",IF($H$2&gt;Table6[[#This Row],[Target Date]],"Overdue","On time"),"Closed")</f>
        <v>Closed</v>
      </c>
      <c r="M555" s="27" t="str" cm="1">
        <f t="array" ref="M555">_xlfn.IFS(Table6[[#This Row],[Finish Date]]=0,"",Table6[[#This Row],[Finish Date]]&gt;Table6[[#This Row],[Target Date]],"Delay",Table6[[#This Row],[Finish Date]]&lt;=Table6[[#This Row],[Target Date]],"On Time")</f>
        <v>On Time</v>
      </c>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row>
    <row r="556" spans="1:41" ht="21" hidden="1" customHeight="1">
      <c r="A556" s="27">
        <f>WEEKNUM(Table6[[#This Row],[Start Date]])</f>
        <v>24</v>
      </c>
      <c r="B556" s="27" t="str">
        <f>TEXT(Table6[[#This Row],[Start Date]],"mmm")</f>
        <v>Jun</v>
      </c>
      <c r="C556" s="27" t="str">
        <f>_xlfn.IFNA(INDEX(Refer!$B$5:$B$103,MATCH(Table6[[#This Row],[TASK]],Refer!$C$5:$C$103,0)),"")</f>
        <v>PACKING</v>
      </c>
      <c r="D556" s="93" t="s">
        <v>511</v>
      </c>
      <c r="E556" s="79" t="s">
        <v>607</v>
      </c>
      <c r="F556" s="82" t="s">
        <v>604</v>
      </c>
      <c r="G556" s="27" t="s">
        <v>479</v>
      </c>
      <c r="H556" s="41">
        <v>46183</v>
      </c>
      <c r="I556" s="41">
        <v>46184</v>
      </c>
      <c r="J556" s="41">
        <v>46184</v>
      </c>
      <c r="K556" s="27" t="str">
        <f>IF(Table6[[#This Row],[Finish Date]]=0,"On process","Close")</f>
        <v>Close</v>
      </c>
      <c r="L556" s="27" t="str">
        <f>IF(Table6[[#This Row],[Status]]="On process",IF($H$2&gt;Table6[[#This Row],[Target Date]],"Overdue","On time"),"Closed")</f>
        <v>Closed</v>
      </c>
      <c r="M556" s="27" t="str" cm="1">
        <f t="array" ref="M556">_xlfn.IFS(Table6[[#This Row],[Finish Date]]=0,"",Table6[[#This Row],[Finish Date]]&gt;Table6[[#This Row],[Target Date]],"Delay",Table6[[#This Row],[Finish Date]]&lt;=Table6[[#This Row],[Target Date]],"On Time")</f>
        <v>On Time</v>
      </c>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row>
    <row r="557" spans="1:41" ht="21" hidden="1" customHeight="1">
      <c r="A557" s="27">
        <f>WEEKNUM(Table6[[#This Row],[Start Date]])</f>
        <v>24</v>
      </c>
      <c r="B557" s="27" t="str">
        <f>TEXT(Table6[[#This Row],[Start Date]],"mmm")</f>
        <v>Jun</v>
      </c>
      <c r="C557" s="27" t="str">
        <f>_xlfn.IFNA(INDEX(Refer!$B$5:$B$103,MATCH(Table6[[#This Row],[TASK]],Refer!$C$5:$C$103,0)),"")</f>
        <v>PACKING</v>
      </c>
      <c r="D557" s="93" t="s">
        <v>511</v>
      </c>
      <c r="E557" s="79" t="s">
        <v>608</v>
      </c>
      <c r="F557" s="82" t="s">
        <v>604</v>
      </c>
      <c r="G557" s="27" t="s">
        <v>479</v>
      </c>
      <c r="H557" s="41">
        <v>46183</v>
      </c>
      <c r="I557" s="41">
        <v>46184</v>
      </c>
      <c r="J557" s="41">
        <v>46184</v>
      </c>
      <c r="K557" s="27" t="str">
        <f>IF(Table6[[#This Row],[Finish Date]]=0,"On process","Close")</f>
        <v>Close</v>
      </c>
      <c r="L557" s="27" t="str">
        <f>IF(Table6[[#This Row],[Status]]="On process",IF($H$2&gt;Table6[[#This Row],[Target Date]],"Overdue","On time"),"Closed")</f>
        <v>Closed</v>
      </c>
      <c r="M557" s="27" t="str" cm="1">
        <f t="array" ref="M557">_xlfn.IFS(Table6[[#This Row],[Finish Date]]=0,"",Table6[[#This Row],[Finish Date]]&gt;Table6[[#This Row],[Target Date]],"Delay",Table6[[#This Row],[Finish Date]]&lt;=Table6[[#This Row],[Target Date]],"On Time")</f>
        <v>On Time</v>
      </c>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row>
    <row r="558" spans="1:41" ht="21" hidden="1" customHeight="1">
      <c r="A558" s="27">
        <f>WEEKNUM(Table6[[#This Row],[Start Date]])</f>
        <v>24</v>
      </c>
      <c r="B558" s="27" t="str">
        <f>TEXT(Table6[[#This Row],[Start Date]],"mmm")</f>
        <v>Jun</v>
      </c>
      <c r="C558" s="27" t="str">
        <f>_xlfn.IFNA(INDEX(Refer!$B$5:$B$103,MATCH(Table6[[#This Row],[TASK]],Refer!$C$5:$C$103,0)),"")</f>
        <v>NPI</v>
      </c>
      <c r="D558" s="93" t="s">
        <v>61</v>
      </c>
      <c r="E558" s="79" t="s">
        <v>609</v>
      </c>
      <c r="F558" s="82" t="s">
        <v>66</v>
      </c>
      <c r="G558" s="27" t="s">
        <v>479</v>
      </c>
      <c r="H558" s="41">
        <v>46185</v>
      </c>
      <c r="I558" s="41">
        <v>46185</v>
      </c>
      <c r="J558" s="41">
        <v>46185</v>
      </c>
      <c r="K558" s="27" t="str">
        <f>IF(Table6[[#This Row],[Finish Date]]=0,"On process","Close")</f>
        <v>Close</v>
      </c>
      <c r="L558" s="27" t="str">
        <f>IF(Table6[[#This Row],[Status]]="On process",IF($H$2&gt;Table6[[#This Row],[Target Date]],"Overdue","On time"),"Closed")</f>
        <v>Closed</v>
      </c>
      <c r="M558" s="27" t="str" cm="1">
        <f t="array" ref="M558">_xlfn.IFS(Table6[[#This Row],[Finish Date]]=0,"",Table6[[#This Row],[Finish Date]]&gt;Table6[[#This Row],[Target Date]],"Delay",Table6[[#This Row],[Finish Date]]&lt;=Table6[[#This Row],[Target Date]],"On Time")</f>
        <v>On Time</v>
      </c>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row>
    <row r="559" spans="1:41" ht="21" customHeight="1">
      <c r="A559" s="27">
        <f>WEEKNUM(Table6[[#This Row],[Start Date]])</f>
        <v>25</v>
      </c>
      <c r="B559" s="27" t="str">
        <f>TEXT(Table6[[#This Row],[Start Date]],"mmm")</f>
        <v>Jun</v>
      </c>
      <c r="C559" s="27" t="str">
        <f>_xlfn.IFNA(INDEX(Refer!$B$5:$B$103,MATCH(Table6[[#This Row],[TASK]],Refer!$C$5:$C$103,0)),"")</f>
        <v>RFQ</v>
      </c>
      <c r="D559" s="93" t="s">
        <v>123</v>
      </c>
      <c r="E559" s="79" t="s">
        <v>610</v>
      </c>
      <c r="F559" s="82" t="s">
        <v>611</v>
      </c>
      <c r="G559" s="27" t="s">
        <v>440</v>
      </c>
      <c r="H559" s="41">
        <v>46189</v>
      </c>
      <c r="I559" s="41">
        <v>46190</v>
      </c>
      <c r="J559" s="41">
        <v>46182</v>
      </c>
      <c r="K559" s="27" t="str">
        <f>IF(Table6[[#This Row],[Finish Date]]=0,"On process","Close")</f>
        <v>Close</v>
      </c>
      <c r="L559" s="27" t="str">
        <f>IF(Table6[[#This Row],[Status]]="On process",IF($H$2&gt;Table6[[#This Row],[Target Date]],"Overdue","On time"),"Closed")</f>
        <v>Closed</v>
      </c>
      <c r="M559" s="27" t="str" cm="1">
        <f t="array" ref="M559">_xlfn.IFS(Table6[[#This Row],[Finish Date]]=0,"",Table6[[#This Row],[Finish Date]]&gt;Table6[[#This Row],[Target Date]],"Delay",Table6[[#This Row],[Finish Date]]&lt;=Table6[[#This Row],[Target Date]],"On Time")</f>
        <v>On Time</v>
      </c>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row>
    <row r="560" spans="1:41" ht="21" customHeight="1">
      <c r="A560" s="27">
        <f>WEEKNUM(Table6[[#This Row],[Start Date]])</f>
        <v>25</v>
      </c>
      <c r="B560" s="27" t="str">
        <f>TEXT(Table6[[#This Row],[Start Date]],"mmm")</f>
        <v>Jun</v>
      </c>
      <c r="C560" s="27" t="str">
        <f>_xlfn.IFNA(INDEX(Refer!$B$5:$B$103,MATCH(Table6[[#This Row],[TASK]],Refer!$C$5:$C$103,0)),"")</f>
        <v>PACKING</v>
      </c>
      <c r="D560" s="93" t="s">
        <v>147</v>
      </c>
      <c r="E560" s="79" t="s">
        <v>612</v>
      </c>
      <c r="F560" s="82" t="s">
        <v>63</v>
      </c>
      <c r="G560" s="27" t="s">
        <v>440</v>
      </c>
      <c r="H560" s="41">
        <v>46189</v>
      </c>
      <c r="I560" s="41">
        <v>46189</v>
      </c>
      <c r="J560" s="41">
        <v>46189</v>
      </c>
      <c r="K560" s="27" t="str">
        <f>IF(Table6[[#This Row],[Finish Date]]=0,"On process","Close")</f>
        <v>Close</v>
      </c>
      <c r="L560" s="27" t="str">
        <f>IF(Table6[[#This Row],[Status]]="On process",IF($H$2&gt;Table6[[#This Row],[Target Date]],"Overdue","On time"),"Closed")</f>
        <v>Closed</v>
      </c>
      <c r="M560" s="27" t="str" cm="1">
        <f t="array" ref="M560">_xlfn.IFS(Table6[[#This Row],[Finish Date]]=0,"",Table6[[#This Row],[Finish Date]]&gt;Table6[[#This Row],[Target Date]],"Delay",Table6[[#This Row],[Finish Date]]&lt;=Table6[[#This Row],[Target Date]],"On Time")</f>
        <v>On Time</v>
      </c>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row>
    <row r="561" spans="1:41" ht="21" customHeight="1">
      <c r="A561" s="27">
        <f>WEEKNUM(Table6[[#This Row],[Start Date]])</f>
        <v>25</v>
      </c>
      <c r="B561" s="27" t="str">
        <f>TEXT(Table6[[#This Row],[Start Date]],"mmm")</f>
        <v>Jun</v>
      </c>
      <c r="C561" s="27" t="str">
        <f>_xlfn.IFNA(INDEX(Refer!$B$5:$B$103,MATCH(Table6[[#This Row],[TASK]],Refer!$C$5:$C$103,0)),"")</f>
        <v>PACKING</v>
      </c>
      <c r="D561" s="93" t="s">
        <v>147</v>
      </c>
      <c r="E561" s="79" t="s">
        <v>613</v>
      </c>
      <c r="F561" s="82"/>
      <c r="G561" s="27" t="s">
        <v>440</v>
      </c>
      <c r="H561" s="41">
        <v>46188</v>
      </c>
      <c r="I561" s="41">
        <v>46191</v>
      </c>
      <c r="J561" s="41">
        <v>46191</v>
      </c>
      <c r="K561" s="27" t="str">
        <f>IF(Table6[[#This Row],[Finish Date]]=0,"On process","Close")</f>
        <v>Close</v>
      </c>
      <c r="L561" s="27" t="str">
        <f>IF(Table6[[#This Row],[Status]]="On process",IF($H$2&gt;Table6[[#This Row],[Target Date]],"Overdue","On time"),"Closed")</f>
        <v>Closed</v>
      </c>
      <c r="M561" s="27" t="str" cm="1">
        <f t="array" ref="M561">_xlfn.IFS(Table6[[#This Row],[Finish Date]]=0,"",Table6[[#This Row],[Finish Date]]&gt;Table6[[#This Row],[Target Date]],"Delay",Table6[[#This Row],[Finish Date]]&lt;=Table6[[#This Row],[Target Date]],"On Time")</f>
        <v>On Time</v>
      </c>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row>
    <row r="562" spans="1:41" ht="21" customHeight="1">
      <c r="A562" s="27">
        <f>WEEKNUM(Table6[[#This Row],[Start Date]])</f>
        <v>25</v>
      </c>
      <c r="B562" s="27" t="str">
        <f>TEXT(Table6[[#This Row],[Start Date]],"mmm")</f>
        <v>Jun</v>
      </c>
      <c r="C562" s="27" t="str">
        <f>_xlfn.IFNA(INDEX(Refer!$B$5:$B$103,MATCH(Table6[[#This Row],[TASK]],Refer!$C$5:$C$103,0)),"")</f>
        <v>RFQ</v>
      </c>
      <c r="D562" s="93" t="s">
        <v>123</v>
      </c>
      <c r="E562" s="79" t="s">
        <v>614</v>
      </c>
      <c r="F562" s="82" t="s">
        <v>615</v>
      </c>
      <c r="G562" s="27" t="s">
        <v>440</v>
      </c>
      <c r="H562" s="41">
        <v>46189</v>
      </c>
      <c r="I562" s="41">
        <v>46190</v>
      </c>
      <c r="J562" s="41">
        <v>46190</v>
      </c>
      <c r="K562" s="27" t="str">
        <f>IF(Table6[[#This Row],[Finish Date]]=0,"On process","Close")</f>
        <v>Close</v>
      </c>
      <c r="L562" s="27" t="str">
        <f>IF(Table6[[#This Row],[Status]]="On process",IF($H$2&gt;Table6[[#This Row],[Target Date]],"Overdue","On time"),"Closed")</f>
        <v>Closed</v>
      </c>
      <c r="M562" s="27" t="str" cm="1">
        <f t="array" ref="M562">_xlfn.IFS(Table6[[#This Row],[Finish Date]]=0,"",Table6[[#This Row],[Finish Date]]&gt;Table6[[#This Row],[Target Date]],"Delay",Table6[[#This Row],[Finish Date]]&lt;=Table6[[#This Row],[Target Date]],"On Time")</f>
        <v>On Time</v>
      </c>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row>
    <row r="563" spans="1:41" ht="21" customHeight="1">
      <c r="A563" s="27">
        <f>WEEKNUM(Table6[[#This Row],[Start Date]])</f>
        <v>25</v>
      </c>
      <c r="B563" s="27" t="str">
        <f>TEXT(Table6[[#This Row],[Start Date]],"mmm")</f>
        <v>Jun</v>
      </c>
      <c r="C563" s="27" t="str">
        <f>_xlfn.IFNA(INDEX(Refer!$B$5:$B$103,MATCH(Table6[[#This Row],[TASK]],Refer!$C$5:$C$103,0)),"")</f>
        <v>PACKING</v>
      </c>
      <c r="D563" s="93" t="s">
        <v>147</v>
      </c>
      <c r="E563" s="79" t="s">
        <v>616</v>
      </c>
      <c r="F563" s="82" t="s">
        <v>66</v>
      </c>
      <c r="G563" s="27" t="s">
        <v>440</v>
      </c>
      <c r="H563" s="41">
        <v>46191</v>
      </c>
      <c r="I563" s="41">
        <v>46192</v>
      </c>
      <c r="J563" s="41">
        <v>46192</v>
      </c>
      <c r="K563" s="27" t="str">
        <f>IF(Table6[[#This Row],[Finish Date]]=0,"On process","Close")</f>
        <v>Close</v>
      </c>
      <c r="L563" s="27" t="str">
        <f>IF(Table6[[#This Row],[Status]]="On process",IF($H$2&gt;Table6[[#This Row],[Target Date]],"Overdue","On time"),"Closed")</f>
        <v>Closed</v>
      </c>
      <c r="M563" s="27" t="str" cm="1">
        <f t="array" ref="M563">_xlfn.IFS(Table6[[#This Row],[Finish Date]]=0,"",Table6[[#This Row],[Finish Date]]&gt;Table6[[#This Row],[Target Date]],"Delay",Table6[[#This Row],[Finish Date]]&lt;=Table6[[#This Row],[Target Date]],"On Time")</f>
        <v>On Time</v>
      </c>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row>
    <row r="564" spans="1:41" ht="21" customHeight="1">
      <c r="A564" s="27">
        <f>WEEKNUM(Table6[[#This Row],[Start Date]])</f>
        <v>25</v>
      </c>
      <c r="B564" s="27" t="str">
        <f>TEXT(Table6[[#This Row],[Start Date]],"mmm")</f>
        <v>Jun</v>
      </c>
      <c r="C564" s="27" t="str">
        <f>_xlfn.IFNA(INDEX(Refer!$B$5:$B$103,MATCH(Table6[[#This Row],[TASK]],Refer!$C$5:$C$103,0)),"")</f>
        <v>PACKING</v>
      </c>
      <c r="D564" s="93" t="s">
        <v>120</v>
      </c>
      <c r="E564" s="79" t="s">
        <v>617</v>
      </c>
      <c r="F564" s="82" t="s">
        <v>552</v>
      </c>
      <c r="G564" s="27" t="s">
        <v>440</v>
      </c>
      <c r="H564" s="41">
        <v>46192</v>
      </c>
      <c r="I564" s="41">
        <v>46192</v>
      </c>
      <c r="J564" s="41">
        <v>46192</v>
      </c>
      <c r="K564" s="27" t="str">
        <f>IF(Table6[[#This Row],[Finish Date]]=0,"On process","Close")</f>
        <v>Close</v>
      </c>
      <c r="L564" s="27" t="str">
        <f>IF(Table6[[#This Row],[Status]]="On process",IF($H$2&gt;Table6[[#This Row],[Target Date]],"Overdue","On time"),"Closed")</f>
        <v>Closed</v>
      </c>
      <c r="M564" s="27" t="str" cm="1">
        <f t="array" ref="M564">_xlfn.IFS(Table6[[#This Row],[Finish Date]]=0,"",Table6[[#This Row],[Finish Date]]&gt;Table6[[#This Row],[Target Date]],"Delay",Table6[[#This Row],[Finish Date]]&lt;=Table6[[#This Row],[Target Date]],"On Time")</f>
        <v>On Time</v>
      </c>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row>
    <row r="565" spans="1:41" ht="21" customHeight="1">
      <c r="A565" s="27">
        <f>WEEKNUM(Table6[[#This Row],[Start Date]])</f>
        <v>25</v>
      </c>
      <c r="B565" s="27" t="str">
        <f>TEXT(Table6[[#This Row],[Start Date]],"mmm")</f>
        <v>Jun</v>
      </c>
      <c r="C565" s="27" t="str">
        <f>_xlfn.IFNA(INDEX(Refer!$B$5:$B$103,MATCH(Table6[[#This Row],[TASK]],Refer!$C$5:$C$103,0)),"")</f>
        <v>MEETING</v>
      </c>
      <c r="D565" s="93" t="s">
        <v>72</v>
      </c>
      <c r="E565" s="79" t="s">
        <v>618</v>
      </c>
      <c r="F565" s="82" t="s">
        <v>95</v>
      </c>
      <c r="G565" s="27" t="s">
        <v>440</v>
      </c>
      <c r="H565" s="41">
        <v>46192</v>
      </c>
      <c r="I565" s="41">
        <v>46192</v>
      </c>
      <c r="J565" s="41">
        <v>46192</v>
      </c>
      <c r="K565" s="27" t="str">
        <f>IF(Table6[[#This Row],[Finish Date]]=0,"On process","Close")</f>
        <v>Close</v>
      </c>
      <c r="L565" s="27" t="str">
        <f>IF(Table6[[#This Row],[Status]]="On process",IF($H$2&gt;Table6[[#This Row],[Target Date]],"Overdue","On time"),"Closed")</f>
        <v>Closed</v>
      </c>
      <c r="M565" s="27" t="str" cm="1">
        <f t="array" ref="M565">_xlfn.IFS(Table6[[#This Row],[Finish Date]]=0,"",Table6[[#This Row],[Finish Date]]&gt;Table6[[#This Row],[Target Date]],"Delay",Table6[[#This Row],[Finish Date]]&lt;=Table6[[#This Row],[Target Date]],"On Time")</f>
        <v>On Time</v>
      </c>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row>
    <row r="566" spans="1:41" ht="21" customHeight="1">
      <c r="A566" s="27">
        <f>WEEKNUM(Table6[[#This Row],[Start Date]])</f>
        <v>25</v>
      </c>
      <c r="B566" s="27" t="str">
        <f>TEXT(Table6[[#This Row],[Start Date]],"mmm")</f>
        <v>Jun</v>
      </c>
      <c r="C566" s="27" t="str">
        <f>_xlfn.IFNA(INDEX(Refer!$B$5:$B$103,MATCH(Table6[[#This Row],[TASK]],Refer!$C$5:$C$103,0)),"")</f>
        <v>MEETING</v>
      </c>
      <c r="D566" s="93" t="s">
        <v>72</v>
      </c>
      <c r="E566" s="79" t="s">
        <v>619</v>
      </c>
      <c r="F566" s="82" t="s">
        <v>66</v>
      </c>
      <c r="G566" s="27" t="s">
        <v>479</v>
      </c>
      <c r="H566" s="41">
        <v>46188</v>
      </c>
      <c r="I566" s="41">
        <v>46188</v>
      </c>
      <c r="J566" s="41">
        <v>46188</v>
      </c>
      <c r="K566" s="27" t="str">
        <f>IF(Table6[[#This Row],[Finish Date]]=0,"On process","Close")</f>
        <v>Close</v>
      </c>
      <c r="L566" s="27" t="str">
        <f>IF(Table6[[#This Row],[Status]]="On process",IF($H$2&gt;Table6[[#This Row],[Target Date]],"Overdue","On time"),"Closed")</f>
        <v>Closed</v>
      </c>
      <c r="M566" s="27" t="str" cm="1">
        <f t="array" ref="M566">_xlfn.IFS(Table6[[#This Row],[Finish Date]]=0,"",Table6[[#This Row],[Finish Date]]&gt;Table6[[#This Row],[Target Date]],"Delay",Table6[[#This Row],[Finish Date]]&lt;=Table6[[#This Row],[Target Date]],"On Time")</f>
        <v>On Time</v>
      </c>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row>
    <row r="567" spans="1:41" ht="21" customHeight="1">
      <c r="A567" s="27">
        <f>WEEKNUM(Table6[[#This Row],[Start Date]])</f>
        <v>25</v>
      </c>
      <c r="B567" s="27" t="str">
        <f>TEXT(Table6[[#This Row],[Start Date]],"mmm")</f>
        <v>Jun</v>
      </c>
      <c r="C567" s="27" t="str">
        <f>_xlfn.IFNA(INDEX(Refer!$B$5:$B$103,MATCH(Table6[[#This Row],[TASK]],Refer!$C$5:$C$103,0)),"")</f>
        <v>PACKING</v>
      </c>
      <c r="D567" s="93" t="s">
        <v>511</v>
      </c>
      <c r="E567" s="79" t="s">
        <v>620</v>
      </c>
      <c r="F567" s="82" t="s">
        <v>604</v>
      </c>
      <c r="G567" s="27" t="s">
        <v>479</v>
      </c>
      <c r="H567" s="41">
        <v>46188</v>
      </c>
      <c r="I567" s="41">
        <v>46189</v>
      </c>
      <c r="J567" s="41">
        <v>46189</v>
      </c>
      <c r="K567" s="27" t="str">
        <f>IF(Table6[[#This Row],[Finish Date]]=0,"On process","Close")</f>
        <v>Close</v>
      </c>
      <c r="L567" s="27" t="str">
        <f>IF(Table6[[#This Row],[Status]]="On process",IF($H$2&gt;Table6[[#This Row],[Target Date]],"Overdue","On time"),"Closed")</f>
        <v>Closed</v>
      </c>
      <c r="M567" s="27" t="str" cm="1">
        <f t="array" ref="M567">_xlfn.IFS(Table6[[#This Row],[Finish Date]]=0,"",Table6[[#This Row],[Finish Date]]&gt;Table6[[#This Row],[Target Date]],"Delay",Table6[[#This Row],[Finish Date]]&lt;=Table6[[#This Row],[Target Date]],"On Time")</f>
        <v>On Time</v>
      </c>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row>
    <row r="568" spans="1:41" ht="21" customHeight="1">
      <c r="A568" s="27">
        <f>WEEKNUM(Table6[[#This Row],[Start Date]])</f>
        <v>25</v>
      </c>
      <c r="B568" s="27" t="str">
        <f>TEXT(Table6[[#This Row],[Start Date]],"mmm")</f>
        <v>Jun</v>
      </c>
      <c r="C568" s="27" t="str">
        <f>_xlfn.IFNA(INDEX(Refer!$B$5:$B$103,MATCH(Table6[[#This Row],[TASK]],Refer!$C$5:$C$103,0)),"")</f>
        <v>PACKING</v>
      </c>
      <c r="D568" s="93" t="s">
        <v>511</v>
      </c>
      <c r="E568" s="79" t="s">
        <v>621</v>
      </c>
      <c r="F568" s="82" t="s">
        <v>604</v>
      </c>
      <c r="G568" s="27" t="s">
        <v>479</v>
      </c>
      <c r="H568" s="41">
        <v>46188</v>
      </c>
      <c r="I568" s="41">
        <v>46189</v>
      </c>
      <c r="J568" s="41">
        <v>46189</v>
      </c>
      <c r="K568" s="27" t="str">
        <f>IF(Table6[[#This Row],[Finish Date]]=0,"On process","Close")</f>
        <v>Close</v>
      </c>
      <c r="L568" s="27" t="str">
        <f>IF(Table6[[#This Row],[Status]]="On process",IF($H$2&gt;Table6[[#This Row],[Target Date]],"Overdue","On time"),"Closed")</f>
        <v>Closed</v>
      </c>
      <c r="M568" s="27" t="str" cm="1">
        <f t="array" ref="M568">_xlfn.IFS(Table6[[#This Row],[Finish Date]]=0,"",Table6[[#This Row],[Finish Date]]&gt;Table6[[#This Row],[Target Date]],"Delay",Table6[[#This Row],[Finish Date]]&lt;=Table6[[#This Row],[Target Date]],"On Time")</f>
        <v>On Time</v>
      </c>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row>
    <row r="569" spans="1:41" ht="21" customHeight="1">
      <c r="A569" s="27">
        <f>WEEKNUM(Table6[[#This Row],[Start Date]])</f>
        <v>25</v>
      </c>
      <c r="B569" s="27" t="str">
        <f>TEXT(Table6[[#This Row],[Start Date]],"mmm")</f>
        <v>Jun</v>
      </c>
      <c r="C569" s="27" t="str">
        <f>_xlfn.IFNA(INDEX(Refer!$B$5:$B$103,MATCH(Table6[[#This Row],[TASK]],Refer!$C$5:$C$103,0)),"")</f>
        <v>NPI</v>
      </c>
      <c r="D569" s="93" t="s">
        <v>61</v>
      </c>
      <c r="E569" s="79" t="s">
        <v>622</v>
      </c>
      <c r="F569" s="82"/>
      <c r="G569" s="27" t="s">
        <v>479</v>
      </c>
      <c r="H569" s="41">
        <v>46190</v>
      </c>
      <c r="I569" s="41">
        <v>46191</v>
      </c>
      <c r="J569" s="41">
        <v>46191</v>
      </c>
      <c r="K569" s="27" t="str">
        <f>IF(Table6[[#This Row],[Finish Date]]=0,"On process","Close")</f>
        <v>Close</v>
      </c>
      <c r="L569" s="27" t="str">
        <f>IF(Table6[[#This Row],[Status]]="On process",IF($H$2&gt;Table6[[#This Row],[Target Date]],"Overdue","On time"),"Closed")</f>
        <v>Closed</v>
      </c>
      <c r="M569" s="27" t="str" cm="1">
        <f t="array" ref="M569">_xlfn.IFS(Table6[[#This Row],[Finish Date]]=0,"",Table6[[#This Row],[Finish Date]]&gt;Table6[[#This Row],[Target Date]],"Delay",Table6[[#This Row],[Finish Date]]&lt;=Table6[[#This Row],[Target Date]],"On Time")</f>
        <v>On Time</v>
      </c>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row>
    <row r="570" spans="1:41" ht="21" customHeight="1">
      <c r="A570" s="27">
        <f>WEEKNUM(Table6[[#This Row],[Start Date]])</f>
        <v>25</v>
      </c>
      <c r="B570" s="27" t="str">
        <f>TEXT(Table6[[#This Row],[Start Date]],"mmm")</f>
        <v>Jun</v>
      </c>
      <c r="C570" s="27" t="str">
        <f>_xlfn.IFNA(INDEX(Refer!$B$5:$B$103,MATCH(Table6[[#This Row],[TASK]],Refer!$C$5:$C$103,0)),"")</f>
        <v>OTHER</v>
      </c>
      <c r="D570" s="93" t="s">
        <v>325</v>
      </c>
      <c r="E570" s="79" t="s">
        <v>623</v>
      </c>
      <c r="F570" s="82"/>
      <c r="G570" s="27" t="s">
        <v>479</v>
      </c>
      <c r="H570" s="41">
        <v>46191</v>
      </c>
      <c r="I570" s="41">
        <v>46191</v>
      </c>
      <c r="J570" s="41">
        <v>46191</v>
      </c>
      <c r="K570" s="27" t="str">
        <f>IF(Table6[[#This Row],[Finish Date]]=0,"On process","Close")</f>
        <v>Close</v>
      </c>
      <c r="L570" s="27" t="str">
        <f>IF(Table6[[#This Row],[Status]]="On process",IF($H$2&gt;Table6[[#This Row],[Target Date]],"Overdue","On time"),"Closed")</f>
        <v>Closed</v>
      </c>
      <c r="M570" s="27" t="str" cm="1">
        <f t="array" ref="M570">_xlfn.IFS(Table6[[#This Row],[Finish Date]]=0,"",Table6[[#This Row],[Finish Date]]&gt;Table6[[#This Row],[Target Date]],"Delay",Table6[[#This Row],[Finish Date]]&lt;=Table6[[#This Row],[Target Date]],"On Time")</f>
        <v>On Time</v>
      </c>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row>
    <row r="571" spans="1:41" ht="21" customHeight="1">
      <c r="A571" s="27">
        <f>WEEKNUM(Table6[[#This Row],[Start Date]])</f>
        <v>25</v>
      </c>
      <c r="B571" s="27" t="str">
        <f>TEXT(Table6[[#This Row],[Start Date]],"mmm")</f>
        <v>Jun</v>
      </c>
      <c r="C571" s="27" t="str">
        <f>_xlfn.IFNA(INDEX(Refer!$B$5:$B$103,MATCH(Table6[[#This Row],[TASK]],Refer!$C$5:$C$103,0)),"")</f>
        <v>DFM Mold</v>
      </c>
      <c r="D571" s="93" t="s">
        <v>99</v>
      </c>
      <c r="E571" s="79" t="s">
        <v>624</v>
      </c>
      <c r="F571" s="82" t="s">
        <v>580</v>
      </c>
      <c r="G571" s="27" t="s">
        <v>479</v>
      </c>
      <c r="H571" s="41">
        <v>46191</v>
      </c>
      <c r="I571" s="41">
        <v>46192</v>
      </c>
      <c r="J571" s="41">
        <v>46192</v>
      </c>
      <c r="K571" s="27" t="str">
        <f>IF(Table6[[#This Row],[Finish Date]]=0,"On process","Close")</f>
        <v>Close</v>
      </c>
      <c r="L571" s="27" t="str">
        <f>IF(Table6[[#This Row],[Status]]="On process",IF($H$2&gt;Table6[[#This Row],[Target Date]],"Overdue","On time"),"Closed")</f>
        <v>Closed</v>
      </c>
      <c r="M571" s="27" t="str" cm="1">
        <f t="array" ref="M571">_xlfn.IFS(Table6[[#This Row],[Finish Date]]=0,"",Table6[[#This Row],[Finish Date]]&gt;Table6[[#This Row],[Target Date]],"Delay",Table6[[#This Row],[Finish Date]]&lt;=Table6[[#This Row],[Target Date]],"On Time")</f>
        <v>On Time</v>
      </c>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row>
    <row r="572" spans="1:41" ht="21" customHeight="1">
      <c r="A572" s="27">
        <f>WEEKNUM(Table6[[#This Row],[Start Date]])</f>
        <v>25</v>
      </c>
      <c r="B572" s="27" t="str">
        <f>TEXT(Table6[[#This Row],[Start Date]],"mmm")</f>
        <v>Jun</v>
      </c>
      <c r="C572" s="27" t="str">
        <f>_xlfn.IFNA(INDEX(Refer!$B$5:$B$103,MATCH(Table6[[#This Row],[TASK]],Refer!$C$5:$C$103,0)),"")</f>
        <v>MEETING</v>
      </c>
      <c r="D572" s="93" t="s">
        <v>72</v>
      </c>
      <c r="E572" s="79" t="s">
        <v>619</v>
      </c>
      <c r="F572" s="82" t="s">
        <v>66</v>
      </c>
      <c r="G572" s="27" t="s">
        <v>182</v>
      </c>
      <c r="H572" s="41">
        <v>46188</v>
      </c>
      <c r="I572" s="41">
        <v>46188</v>
      </c>
      <c r="J572" s="41">
        <v>46188</v>
      </c>
      <c r="K572" s="27" t="str">
        <f>IF(Table6[[#This Row],[Finish Date]]=0,"On process","Close")</f>
        <v>Close</v>
      </c>
      <c r="L572" s="27" t="str">
        <f>IF(Table6[[#This Row],[Status]]="On process",IF($H$2&gt;Table6[[#This Row],[Target Date]],"Overdue","On time"),"Closed")</f>
        <v>Closed</v>
      </c>
      <c r="M572" s="27" t="str" cm="1">
        <f t="array" ref="M572">_xlfn.IFS(Table6[[#This Row],[Finish Date]]=0,"",Table6[[#This Row],[Finish Date]]&gt;Table6[[#This Row],[Target Date]],"Delay",Table6[[#This Row],[Finish Date]]&lt;=Table6[[#This Row],[Target Date]],"On Time")</f>
        <v>On Time</v>
      </c>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row>
    <row r="573" spans="1:41" ht="21" customHeight="1">
      <c r="A573" s="27">
        <f>WEEKNUM(Table6[[#This Row],[Start Date]])</f>
        <v>25</v>
      </c>
      <c r="B573" s="27" t="str">
        <f>TEXT(Table6[[#This Row],[Start Date]],"mmm")</f>
        <v>Jun</v>
      </c>
      <c r="C573" s="27" t="str">
        <f>_xlfn.IFNA(INDEX(Refer!$B$5:$B$103,MATCH(Table6[[#This Row],[TASK]],Refer!$C$5:$C$103,0)),"")</f>
        <v>DFA</v>
      </c>
      <c r="D573" s="93" t="s">
        <v>178</v>
      </c>
      <c r="E573" s="79" t="s">
        <v>625</v>
      </c>
      <c r="F573" s="82" t="s">
        <v>95</v>
      </c>
      <c r="G573" s="27" t="s">
        <v>182</v>
      </c>
      <c r="H573" s="41">
        <v>46189</v>
      </c>
      <c r="I573" s="41">
        <v>46191</v>
      </c>
      <c r="J573" s="41">
        <v>46191</v>
      </c>
      <c r="K573" s="27" t="str">
        <f>IF(Table6[[#This Row],[Finish Date]]=0,"On process","Close")</f>
        <v>Close</v>
      </c>
      <c r="L573" s="27" t="str">
        <f>IF(Table6[[#This Row],[Status]]="On process",IF($H$2&gt;Table6[[#This Row],[Target Date]],"Overdue","On time"),"Closed")</f>
        <v>Closed</v>
      </c>
      <c r="M573" s="27" t="str" cm="1">
        <f t="array" ref="M573">_xlfn.IFS(Table6[[#This Row],[Finish Date]]=0,"",Table6[[#This Row],[Finish Date]]&gt;Table6[[#This Row],[Target Date]],"Delay",Table6[[#This Row],[Finish Date]]&lt;=Table6[[#This Row],[Target Date]],"On Time")</f>
        <v>On Time</v>
      </c>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row>
    <row r="574" spans="1:41" ht="21" customHeight="1">
      <c r="A574" s="27">
        <f>WEEKNUM(Table6[[#This Row],[Start Date]])</f>
        <v>25</v>
      </c>
      <c r="B574" s="27" t="str">
        <f>TEXT(Table6[[#This Row],[Start Date]],"mmm")</f>
        <v>Jun</v>
      </c>
      <c r="C574" s="27" t="str">
        <f>_xlfn.IFNA(INDEX(Refer!$B$5:$B$103,MATCH(Table6[[#This Row],[TASK]],Refer!$C$5:$C$103,0)),"")</f>
        <v>NPI</v>
      </c>
      <c r="D574" s="93" t="s">
        <v>61</v>
      </c>
      <c r="E574" s="79" t="s">
        <v>626</v>
      </c>
      <c r="F574" s="82" t="s">
        <v>63</v>
      </c>
      <c r="G574" s="27" t="s">
        <v>182</v>
      </c>
      <c r="H574" s="41">
        <v>46190</v>
      </c>
      <c r="I574" s="41">
        <v>46190</v>
      </c>
      <c r="J574" s="41">
        <v>46190</v>
      </c>
      <c r="K574" s="27" t="str">
        <f>IF(Table6[[#This Row],[Finish Date]]=0,"On process","Close")</f>
        <v>Close</v>
      </c>
      <c r="L574" s="27" t="str">
        <f>IF(Table6[[#This Row],[Status]]="On process",IF($H$2&gt;Table6[[#This Row],[Target Date]],"Overdue","On time"),"Closed")</f>
        <v>Closed</v>
      </c>
      <c r="M574" s="27" t="str" cm="1">
        <f t="array" ref="M574">_xlfn.IFS(Table6[[#This Row],[Finish Date]]=0,"",Table6[[#This Row],[Finish Date]]&gt;Table6[[#This Row],[Target Date]],"Delay",Table6[[#This Row],[Finish Date]]&lt;=Table6[[#This Row],[Target Date]],"On Time")</f>
        <v>On Time</v>
      </c>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row>
    <row r="575" spans="1:41" ht="21" customHeight="1">
      <c r="A575" s="27">
        <f>WEEKNUM(Table6[[#This Row],[Start Date]])</f>
        <v>25</v>
      </c>
      <c r="B575" s="27" t="str">
        <f>TEXT(Table6[[#This Row],[Start Date]],"mmm")</f>
        <v>Jun</v>
      </c>
      <c r="C575" s="27" t="str">
        <f>_xlfn.IFNA(INDEX(Refer!$B$5:$B$103,MATCH(Table6[[#This Row],[TASK]],Refer!$C$5:$C$103,0)),"")</f>
        <v>NPI</v>
      </c>
      <c r="D575" s="93" t="s">
        <v>61</v>
      </c>
      <c r="E575" s="79" t="s">
        <v>627</v>
      </c>
      <c r="F575" s="82" t="s">
        <v>580</v>
      </c>
      <c r="G575" s="27" t="s">
        <v>182</v>
      </c>
      <c r="H575" s="41">
        <v>46191</v>
      </c>
      <c r="I575" s="41">
        <v>46191</v>
      </c>
      <c r="J575" s="41">
        <v>46191</v>
      </c>
      <c r="K575" s="27" t="str">
        <f>IF(Table6[[#This Row],[Finish Date]]=0,"On process","Close")</f>
        <v>Close</v>
      </c>
      <c r="L575" s="27" t="str">
        <f>IF(Table6[[#This Row],[Status]]="On process",IF($H$2&gt;Table6[[#This Row],[Target Date]],"Overdue","On time"),"Closed")</f>
        <v>Closed</v>
      </c>
      <c r="M575" s="27" t="str" cm="1">
        <f t="array" ref="M575">_xlfn.IFS(Table6[[#This Row],[Finish Date]]=0,"",Table6[[#This Row],[Finish Date]]&gt;Table6[[#This Row],[Target Date]],"Delay",Table6[[#This Row],[Finish Date]]&lt;=Table6[[#This Row],[Target Date]],"On Time")</f>
        <v>On Time</v>
      </c>
      <c r="N575" s="78"/>
      <c r="O575" s="78"/>
      <c r="P575" s="78"/>
      <c r="Q575" s="78"/>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row>
    <row r="576" spans="1:41" ht="21" customHeight="1">
      <c r="A576" s="27">
        <f>WEEKNUM(Table6[[#This Row],[Start Date]])</f>
        <v>25</v>
      </c>
      <c r="B576" s="27" t="str">
        <f>TEXT(Table6[[#This Row],[Start Date]],"mmm")</f>
        <v>Jun</v>
      </c>
      <c r="C576" s="27" t="str">
        <f>_xlfn.IFNA(INDEX(Refer!$B$5:$B$103,MATCH(Table6[[#This Row],[TASK]],Refer!$C$5:$C$103,0)),"")</f>
        <v>OTHER</v>
      </c>
      <c r="D576" s="93" t="s">
        <v>325</v>
      </c>
      <c r="E576" s="79" t="s">
        <v>623</v>
      </c>
      <c r="F576" s="82"/>
      <c r="G576" s="27" t="s">
        <v>182</v>
      </c>
      <c r="H576" s="41">
        <v>46192</v>
      </c>
      <c r="I576" s="41">
        <v>46192</v>
      </c>
      <c r="J576" s="41">
        <v>46192</v>
      </c>
      <c r="K576" s="27" t="str">
        <f>IF(Table6[[#This Row],[Finish Date]]=0,"On process","Close")</f>
        <v>Close</v>
      </c>
      <c r="L576" s="27" t="str">
        <f>IF(Table6[[#This Row],[Status]]="On process",IF($H$2&gt;Table6[[#This Row],[Target Date]],"Overdue","On time"),"Closed")</f>
        <v>Closed</v>
      </c>
      <c r="M576" s="27" t="str" cm="1">
        <f t="array" ref="M576">_xlfn.IFS(Table6[[#This Row],[Finish Date]]=0,"",Table6[[#This Row],[Finish Date]]&gt;Table6[[#This Row],[Target Date]],"Delay",Table6[[#This Row],[Finish Date]]&lt;=Table6[[#This Row],[Target Date]],"On Time")</f>
        <v>On Time</v>
      </c>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row>
    <row r="577" spans="1:41" ht="21" customHeight="1">
      <c r="A577" s="27">
        <f>WEEKNUM(Table6[[#This Row],[Start Date]])</f>
        <v>25</v>
      </c>
      <c r="B577" s="27" t="str">
        <f>TEXT(Table6[[#This Row],[Start Date]],"mmm")</f>
        <v>Jun</v>
      </c>
      <c r="C577" s="27" t="str">
        <f>_xlfn.IFNA(INDEX(Refer!$B$5:$B$103,MATCH(Table6[[#This Row],[TASK]],Refer!$C$5:$C$103,0)),"")</f>
        <v>MEETING</v>
      </c>
      <c r="D577" s="93" t="s">
        <v>72</v>
      </c>
      <c r="E577" s="79" t="s">
        <v>619</v>
      </c>
      <c r="F577" s="82" t="s">
        <v>66</v>
      </c>
      <c r="G577" s="27" t="s">
        <v>64</v>
      </c>
      <c r="H577" s="41">
        <v>46188</v>
      </c>
      <c r="I577" s="41">
        <v>46188</v>
      </c>
      <c r="J577" s="41">
        <v>46188</v>
      </c>
      <c r="K577" s="27" t="str">
        <f>IF(Table6[[#This Row],[Finish Date]]=0,"On process","Close")</f>
        <v>Close</v>
      </c>
      <c r="L577" s="27" t="str">
        <f>IF(Table6[[#This Row],[Status]]="On process",IF($H$2&gt;Table6[[#This Row],[Target Date]],"Overdue","On time"),"Closed")</f>
        <v>Closed</v>
      </c>
      <c r="M577" s="27" t="str" cm="1">
        <f t="array" ref="M577">_xlfn.IFS(Table6[[#This Row],[Finish Date]]=0,"",Table6[[#This Row],[Finish Date]]&gt;Table6[[#This Row],[Target Date]],"Delay",Table6[[#This Row],[Finish Date]]&lt;=Table6[[#This Row],[Target Date]],"On Time")</f>
        <v>On Time</v>
      </c>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row>
    <row r="578" spans="1:41" ht="21" customHeight="1">
      <c r="A578" s="27">
        <f>WEEKNUM(Table6[[#This Row],[Start Date]])</f>
        <v>25</v>
      </c>
      <c r="B578" s="27" t="str">
        <f>TEXT(Table6[[#This Row],[Start Date]],"mmm")</f>
        <v>Jun</v>
      </c>
      <c r="C578" s="27" t="str">
        <f>_xlfn.IFNA(INDEX(Refer!$B$5:$B$103,MATCH(Table6[[#This Row],[TASK]],Refer!$C$5:$C$103,0)),"")</f>
        <v>PACKING</v>
      </c>
      <c r="D578" s="93" t="s">
        <v>120</v>
      </c>
      <c r="E578" s="100" t="s">
        <v>628</v>
      </c>
      <c r="F578" s="82" t="s">
        <v>66</v>
      </c>
      <c r="G578" s="27" t="s">
        <v>64</v>
      </c>
      <c r="H578" s="41">
        <v>46188</v>
      </c>
      <c r="I578" s="41">
        <v>46188</v>
      </c>
      <c r="J578" s="41">
        <v>46188</v>
      </c>
      <c r="K578" s="27" t="str">
        <f>IF(Table6[[#This Row],[Finish Date]]=0,"On process","Close")</f>
        <v>Close</v>
      </c>
      <c r="L578" s="27" t="str">
        <f>IF(Table6[[#This Row],[Status]]="On process",IF($H$2&gt;Table6[[#This Row],[Target Date]],"Overdue","On time"),"Closed")</f>
        <v>Closed</v>
      </c>
      <c r="M578" s="27" t="str" cm="1">
        <f t="array" ref="M578">_xlfn.IFS(Table6[[#This Row],[Finish Date]]=0,"",Table6[[#This Row],[Finish Date]]&gt;Table6[[#This Row],[Target Date]],"Delay",Table6[[#This Row],[Finish Date]]&lt;=Table6[[#This Row],[Target Date]],"On Time")</f>
        <v>On Time</v>
      </c>
      <c r="N578" s="101"/>
      <c r="O578" s="101"/>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row>
    <row r="579" spans="1:41" ht="21" customHeight="1">
      <c r="A579" s="27">
        <f>WEEKNUM(Table6[[#This Row],[Start Date]])</f>
        <v>25</v>
      </c>
      <c r="B579" s="27" t="str">
        <f>TEXT(Table6[[#This Row],[Start Date]],"mmm")</f>
        <v>Jun</v>
      </c>
      <c r="C579" s="27" t="str">
        <f>_xlfn.IFNA(INDEX(Refer!$B$5:$B$103,MATCH(Table6[[#This Row],[TASK]],Refer!$C$5:$C$103,0)),"")</f>
        <v>PACKING</v>
      </c>
      <c r="D579" s="93" t="s">
        <v>120</v>
      </c>
      <c r="E579" s="100" t="s">
        <v>629</v>
      </c>
      <c r="F579" s="82" t="s">
        <v>66</v>
      </c>
      <c r="G579" s="27" t="s">
        <v>64</v>
      </c>
      <c r="H579" s="41">
        <v>46188</v>
      </c>
      <c r="I579" s="41">
        <v>46188</v>
      </c>
      <c r="J579" s="41">
        <v>46188</v>
      </c>
      <c r="K579" s="27" t="str">
        <f>IF(Table6[[#This Row],[Finish Date]]=0,"On process","Close")</f>
        <v>Close</v>
      </c>
      <c r="L579" s="27" t="str">
        <f>IF(Table6[[#This Row],[Status]]="On process",IF($H$2&gt;Table6[[#This Row],[Target Date]],"Overdue","On time"),"Closed")</f>
        <v>Closed</v>
      </c>
      <c r="M579" s="27" t="str" cm="1">
        <f t="array" ref="M579">_xlfn.IFS(Table6[[#This Row],[Finish Date]]=0,"",Table6[[#This Row],[Finish Date]]&gt;Table6[[#This Row],[Target Date]],"Delay",Table6[[#This Row],[Finish Date]]&lt;=Table6[[#This Row],[Target Date]],"On Time")</f>
        <v>On Time</v>
      </c>
      <c r="N579" s="101"/>
      <c r="O579" s="101"/>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row>
    <row r="580" spans="1:41" ht="34.5" customHeight="1">
      <c r="A580" s="27">
        <f>WEEKNUM(Table6[[#This Row],[Start Date]])</f>
        <v>25</v>
      </c>
      <c r="B580" s="27" t="str">
        <f>TEXT(Table6[[#This Row],[Start Date]],"mmm")</f>
        <v>Jun</v>
      </c>
      <c r="C580" s="27" t="str">
        <f>_xlfn.IFNA(INDEX(Refer!$B$5:$B$103,MATCH(Table6[[#This Row],[TASK]],Refer!$C$5:$C$103,0)),"")</f>
        <v>NPI</v>
      </c>
      <c r="D580" s="93" t="s">
        <v>61</v>
      </c>
      <c r="E580" s="100" t="s">
        <v>630</v>
      </c>
      <c r="F580" s="82" t="s">
        <v>66</v>
      </c>
      <c r="G580" s="27" t="s">
        <v>64</v>
      </c>
      <c r="H580" s="41">
        <v>46189</v>
      </c>
      <c r="I580" s="41">
        <v>46189</v>
      </c>
      <c r="J580" s="41">
        <v>46189</v>
      </c>
      <c r="K580" s="27" t="str">
        <f>IF(Table6[[#This Row],[Finish Date]]=0,"On process","Close")</f>
        <v>Close</v>
      </c>
      <c r="L580" s="27" t="str">
        <f>IF(Table6[[#This Row],[Status]]="On process",IF($H$2&gt;Table6[[#This Row],[Target Date]],"Overdue","On time"),"Closed")</f>
        <v>Closed</v>
      </c>
      <c r="M580" s="27" t="str" cm="1">
        <f t="array" ref="M580">_xlfn.IFS(Table6[[#This Row],[Finish Date]]=0,"",Table6[[#This Row],[Finish Date]]&gt;Table6[[#This Row],[Target Date]],"Delay",Table6[[#This Row],[Finish Date]]&lt;=Table6[[#This Row],[Target Date]],"On Time")</f>
        <v>On Time</v>
      </c>
      <c r="N580" s="101"/>
      <c r="O580" s="101"/>
      <c r="P580" s="78"/>
      <c r="Q580" s="78"/>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row>
    <row r="581" spans="1:41" ht="21" customHeight="1">
      <c r="A581" s="27">
        <f>WEEKNUM(Table6[[#This Row],[Start Date]])</f>
        <v>25</v>
      </c>
      <c r="B581" s="27" t="str">
        <f>TEXT(Table6[[#This Row],[Start Date]],"mmm")</f>
        <v>Jun</v>
      </c>
      <c r="C581" s="27" t="str">
        <f>_xlfn.IFNA(INDEX(Refer!$B$5:$B$103,MATCH(Table6[[#This Row],[TASK]],Refer!$C$5:$C$103,0)),"")</f>
        <v>NPI</v>
      </c>
      <c r="D581" s="93" t="s">
        <v>86</v>
      </c>
      <c r="E581" s="100" t="s">
        <v>631</v>
      </c>
      <c r="F581" s="82" t="s">
        <v>66</v>
      </c>
      <c r="G581" s="27" t="s">
        <v>64</v>
      </c>
      <c r="H581" s="41">
        <v>46188</v>
      </c>
      <c r="I581" s="41">
        <v>46192</v>
      </c>
      <c r="J581" s="41">
        <v>46192</v>
      </c>
      <c r="K581" s="27" t="str">
        <f>IF(Table6[[#This Row],[Finish Date]]=0,"On process","Close")</f>
        <v>Close</v>
      </c>
      <c r="L581" s="27" t="str">
        <f>IF(Table6[[#This Row],[Status]]="On process",IF($H$2&gt;Table6[[#This Row],[Target Date]],"Overdue","On time"),"Closed")</f>
        <v>Closed</v>
      </c>
      <c r="M581" s="27" t="str" cm="1">
        <f t="array" ref="M581">_xlfn.IFS(Table6[[#This Row],[Finish Date]]=0,"",Table6[[#This Row],[Finish Date]]&gt;Table6[[#This Row],[Target Date]],"Delay",Table6[[#This Row],[Finish Date]]&lt;=Table6[[#This Row],[Target Date]],"On Time")</f>
        <v>On Time</v>
      </c>
      <c r="N581" s="101"/>
      <c r="O581" s="101"/>
      <c r="P581" s="78"/>
      <c r="Q581" s="78"/>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row>
    <row r="582" spans="1:41" ht="21" customHeight="1">
      <c r="A582" s="27">
        <f>WEEKNUM(Table6[[#This Row],[Start Date]])</f>
        <v>25</v>
      </c>
      <c r="B582" s="27" t="str">
        <f>TEXT(Table6[[#This Row],[Start Date]],"mmm")</f>
        <v>Jun</v>
      </c>
      <c r="C582" s="27" t="str">
        <f>_xlfn.IFNA(INDEX(Refer!$B$5:$B$103,MATCH(Table6[[#This Row],[TASK]],Refer!$C$5:$C$103,0)),"")</f>
        <v>OTHER</v>
      </c>
      <c r="D582" s="93" t="s">
        <v>325</v>
      </c>
      <c r="E582" s="79" t="s">
        <v>623</v>
      </c>
      <c r="F582" s="82"/>
      <c r="G582" s="27" t="s">
        <v>64</v>
      </c>
      <c r="H582" s="41">
        <v>46190</v>
      </c>
      <c r="I582" s="41">
        <v>46190</v>
      </c>
      <c r="J582" s="41">
        <v>46190</v>
      </c>
      <c r="K582" s="27" t="str">
        <f>IF(Table6[[#This Row],[Finish Date]]=0,"On process","Close")</f>
        <v>Close</v>
      </c>
      <c r="L582" s="27" t="str">
        <f>IF(Table6[[#This Row],[Status]]="On process",IF($H$2&gt;Table6[[#This Row],[Target Date]],"Overdue","On time"),"Closed")</f>
        <v>Closed</v>
      </c>
      <c r="M582" s="27" t="str" cm="1">
        <f t="array" ref="M582">_xlfn.IFS(Table6[[#This Row],[Finish Date]]=0,"",Table6[[#This Row],[Finish Date]]&gt;Table6[[#This Row],[Target Date]],"Delay",Table6[[#This Row],[Finish Date]]&lt;=Table6[[#This Row],[Target Date]],"On Time")</f>
        <v>On Time</v>
      </c>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row>
    <row r="583" spans="1:41" ht="21" customHeight="1">
      <c r="A583" s="27">
        <f>WEEKNUM(Table6[[#This Row],[Start Date]])</f>
        <v>25</v>
      </c>
      <c r="B583" s="27" t="str">
        <f>TEXT(Table6[[#This Row],[Start Date]],"mmm")</f>
        <v>Jun</v>
      </c>
      <c r="C583" s="27" t="str">
        <f>_xlfn.IFNA(INDEX(Refer!$B$5:$B$103,MATCH(Table6[[#This Row],[TASK]],Refer!$C$5:$C$103,0)),"")</f>
        <v>DFM Mold</v>
      </c>
      <c r="D583" s="93" t="s">
        <v>99</v>
      </c>
      <c r="E583" s="79" t="s">
        <v>632</v>
      </c>
      <c r="F583" s="82" t="s">
        <v>95</v>
      </c>
      <c r="G583" s="27" t="s">
        <v>64</v>
      </c>
      <c r="H583" s="41">
        <v>46191</v>
      </c>
      <c r="I583" s="41">
        <v>46191</v>
      </c>
      <c r="J583" s="41">
        <v>46191</v>
      </c>
      <c r="K583" s="27" t="str">
        <f>IF(Table6[[#This Row],[Finish Date]]=0,"On process","Close")</f>
        <v>Close</v>
      </c>
      <c r="L583" s="27" t="str">
        <f>IF(Table6[[#This Row],[Status]]="On process",IF($H$2&gt;Table6[[#This Row],[Target Date]],"Overdue","On time"),"Closed")</f>
        <v>Closed</v>
      </c>
      <c r="M583" s="27" t="str" cm="1">
        <f t="array" ref="M583">_xlfn.IFS(Table6[[#This Row],[Finish Date]]=0,"",Table6[[#This Row],[Finish Date]]&gt;Table6[[#This Row],[Target Date]],"Delay",Table6[[#This Row],[Finish Date]]&lt;=Table6[[#This Row],[Target Date]],"On Time")</f>
        <v>On Time</v>
      </c>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row>
    <row r="584" spans="1:41" ht="21" customHeight="1">
      <c r="A584" s="27">
        <f>WEEKNUM(Table6[[#This Row],[Start Date]])</f>
        <v>25</v>
      </c>
      <c r="B584" s="27" t="str">
        <f>TEXT(Table6[[#This Row],[Start Date]],"mmm")</f>
        <v>Jun</v>
      </c>
      <c r="C584" s="27" t="str">
        <f>_xlfn.IFNA(INDEX(Refer!$B$5:$B$103,MATCH(Table6[[#This Row],[TASK]],Refer!$C$5:$C$103,0)),"")</f>
        <v>Part DFM</v>
      </c>
      <c r="D584" s="93" t="s">
        <v>81</v>
      </c>
      <c r="E584" s="79" t="s">
        <v>633</v>
      </c>
      <c r="F584" s="82" t="s">
        <v>177</v>
      </c>
      <c r="G584" s="27" t="s">
        <v>64</v>
      </c>
      <c r="H584" s="41">
        <v>46191</v>
      </c>
      <c r="I584" s="41">
        <v>46192</v>
      </c>
      <c r="J584" s="41">
        <v>46192</v>
      </c>
      <c r="K584" s="27" t="str">
        <f>IF(Table6[[#This Row],[Finish Date]]=0,"On process","Close")</f>
        <v>Close</v>
      </c>
      <c r="L584" s="27" t="str">
        <f>IF(Table6[[#This Row],[Status]]="On process",IF($H$2&gt;Table6[[#This Row],[Target Date]],"Overdue","On time"),"Closed")</f>
        <v>Closed</v>
      </c>
      <c r="M584" s="27" t="str" cm="1">
        <f t="array" ref="M584">_xlfn.IFS(Table6[[#This Row],[Finish Date]]=0,"",Table6[[#This Row],[Finish Date]]&gt;Table6[[#This Row],[Target Date]],"Delay",Table6[[#This Row],[Finish Date]]&lt;=Table6[[#This Row],[Target Date]],"On Time")</f>
        <v>On Time</v>
      </c>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row>
    <row r="585" spans="1:41" ht="21" customHeight="1">
      <c r="A585" s="27">
        <f>WEEKNUM(Table6[[#This Row],[Start Date]])</f>
        <v>25</v>
      </c>
      <c r="B585" s="27" t="str">
        <f>TEXT(Table6[[#This Row],[Start Date]],"mmm")</f>
        <v>Jun</v>
      </c>
      <c r="C585" s="27" t="str">
        <f>_xlfn.IFNA(INDEX(Refer!$B$5:$B$103,MATCH(Table6[[#This Row],[TASK]],Refer!$C$5:$C$103,0)),"")</f>
        <v>MEETING</v>
      </c>
      <c r="D585" s="93" t="s">
        <v>72</v>
      </c>
      <c r="E585" s="79" t="s">
        <v>618</v>
      </c>
      <c r="F585" s="82" t="s">
        <v>95</v>
      </c>
      <c r="G585" s="27" t="s">
        <v>64</v>
      </c>
      <c r="H585" s="41">
        <v>46192</v>
      </c>
      <c r="I585" s="41">
        <v>46192</v>
      </c>
      <c r="J585" s="41">
        <v>46192</v>
      </c>
      <c r="K585" s="27" t="str">
        <f>IF(Table6[[#This Row],[Finish Date]]=0,"On process","Close")</f>
        <v>Close</v>
      </c>
      <c r="L585" s="27" t="str">
        <f>IF(Table6[[#This Row],[Status]]="On process",IF($H$2&gt;Table6[[#This Row],[Target Date]],"Overdue","On time"),"Closed")</f>
        <v>Closed</v>
      </c>
      <c r="M585" s="27" t="str" cm="1">
        <f t="array" ref="M585">_xlfn.IFS(Table6[[#This Row],[Finish Date]]=0,"",Table6[[#This Row],[Finish Date]]&gt;Table6[[#This Row],[Target Date]],"Delay",Table6[[#This Row],[Finish Date]]&lt;=Table6[[#This Row],[Target Date]],"On Time")</f>
        <v>On Time</v>
      </c>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row>
    <row r="586" spans="1:41" ht="21" customHeight="1">
      <c r="A586" s="27">
        <f>WEEKNUM(Table6[[#This Row],[Start Date]])</f>
        <v>25</v>
      </c>
      <c r="B586" s="27" t="str">
        <f>TEXT(Table6[[#This Row],[Start Date]],"mmm")</f>
        <v>Jun</v>
      </c>
      <c r="C586" s="27" t="str">
        <f>_xlfn.IFNA(INDEX(Refer!$B$5:$B$103,MATCH(Table6[[#This Row],[TASK]],Refer!$C$5:$C$103,0)),"")</f>
        <v>PROJECT</v>
      </c>
      <c r="D586" s="93" t="s">
        <v>504</v>
      </c>
      <c r="E586" s="100" t="s">
        <v>634</v>
      </c>
      <c r="F586" s="82"/>
      <c r="G586" s="27" t="s">
        <v>64</v>
      </c>
      <c r="H586" s="41">
        <v>46192</v>
      </c>
      <c r="I586" s="41">
        <v>46192</v>
      </c>
      <c r="J586" s="41">
        <v>46192</v>
      </c>
      <c r="K586" s="27" t="str">
        <f>IF(Table6[[#This Row],[Finish Date]]=0,"On process","Close")</f>
        <v>Close</v>
      </c>
      <c r="L586" s="27" t="str">
        <f>IF(Table6[[#This Row],[Status]]="On process",IF($H$2&gt;Table6[[#This Row],[Target Date]],"Overdue","On time"),"Closed")</f>
        <v>Closed</v>
      </c>
      <c r="M586" s="27" t="str" cm="1">
        <f t="array" ref="M586">_xlfn.IFS(Table6[[#This Row],[Finish Date]]=0,"",Table6[[#This Row],[Finish Date]]&gt;Table6[[#This Row],[Target Date]],"Delay",Table6[[#This Row],[Finish Date]]&lt;=Table6[[#This Row],[Target Date]],"On Time")</f>
        <v>On Time</v>
      </c>
      <c r="N586" s="101"/>
      <c r="O586" s="101"/>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row>
    <row r="587" spans="1:41" ht="21" customHeight="1">
      <c r="A587" s="27">
        <f>WEEKNUM(Table6[[#This Row],[Start Date]])</f>
        <v>26</v>
      </c>
      <c r="B587" s="27" t="str">
        <f>TEXT(Table6[[#This Row],[Start Date]],"mmm")</f>
        <v>Jun</v>
      </c>
      <c r="C587" s="27" t="str">
        <f>_xlfn.IFNA(INDEX(Refer!$B$5:$B$103,MATCH(Table6[[#This Row],[TASK]],Refer!$C$5:$C$103,0)),"")</f>
        <v>PACKING</v>
      </c>
      <c r="D587" s="93" t="s">
        <v>147</v>
      </c>
      <c r="E587" s="79" t="s">
        <v>635</v>
      </c>
      <c r="F587" s="82" t="s">
        <v>63</v>
      </c>
      <c r="G587" s="27" t="s">
        <v>440</v>
      </c>
      <c r="H587" s="41">
        <v>46195</v>
      </c>
      <c r="I587" s="41">
        <v>46196</v>
      </c>
      <c r="J587" s="41">
        <v>46196</v>
      </c>
      <c r="K587" s="27" t="str">
        <f>IF(Table6[[#This Row],[Finish Date]]=0,"On process","Close")</f>
        <v>Close</v>
      </c>
      <c r="L587" s="27" t="str">
        <f>IF(Table6[[#This Row],[Status]]="On process",IF($H$2&gt;Table6[[#This Row],[Target Date]],"Overdue","On time"),"Closed")</f>
        <v>Closed</v>
      </c>
      <c r="M587" s="27" t="str" cm="1">
        <f t="array" ref="M587">_xlfn.IFS(Table6[[#This Row],[Finish Date]]=0,"",Table6[[#This Row],[Finish Date]]&gt;Table6[[#This Row],[Target Date]],"Delay",Table6[[#This Row],[Finish Date]]&lt;=Table6[[#This Row],[Target Date]],"On Time")</f>
        <v>On Time</v>
      </c>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row>
    <row r="588" spans="1:41" ht="21.75" customHeight="1">
      <c r="A588" s="27">
        <f>WEEKNUM(Table6[[#This Row],[Start Date]])</f>
        <v>26</v>
      </c>
      <c r="B588" s="27" t="str">
        <f>TEXT(Table6[[#This Row],[Start Date]],"mmm")</f>
        <v>Jun</v>
      </c>
      <c r="C588" s="27" t="str">
        <f>_xlfn.IFNA(INDEX(Refer!$B$5:$B$103,MATCH(Table6[[#This Row],[TASK]],Refer!$C$5:$C$103,0)),"")</f>
        <v>RFQ</v>
      </c>
      <c r="D588" s="93" t="s">
        <v>123</v>
      </c>
      <c r="E588" s="79" t="s">
        <v>636</v>
      </c>
      <c r="F588" s="82" t="s">
        <v>95</v>
      </c>
      <c r="G588" s="27" t="s">
        <v>440</v>
      </c>
      <c r="H588" s="41">
        <v>46195</v>
      </c>
      <c r="I588" s="41">
        <v>46196</v>
      </c>
      <c r="J588" s="41">
        <v>46190</v>
      </c>
      <c r="K588" s="27" t="str">
        <f>IF(Table6[[#This Row],[Finish Date]]=0,"On process","Close")</f>
        <v>Close</v>
      </c>
      <c r="L588" s="27" t="str">
        <f>IF(Table6[[#This Row],[Status]]="On process",IF($H$2&gt;Table6[[#This Row],[Target Date]],"Overdue","On time"),"Closed")</f>
        <v>Closed</v>
      </c>
      <c r="M588" s="27" t="str" cm="1">
        <f t="array" ref="M588">_xlfn.IFS(Table6[[#This Row],[Finish Date]]=0,"",Table6[[#This Row],[Finish Date]]&gt;Table6[[#This Row],[Target Date]],"Delay",Table6[[#This Row],[Finish Date]]&lt;=Table6[[#This Row],[Target Date]],"On Time")</f>
        <v>On Time</v>
      </c>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row>
    <row r="589" spans="1:41" ht="21" customHeight="1">
      <c r="A589" s="27">
        <f>WEEKNUM(Table6[[#This Row],[Start Date]])</f>
        <v>26</v>
      </c>
      <c r="B589" s="27" t="str">
        <f>TEXT(Table6[[#This Row],[Start Date]],"mmm")</f>
        <v>Jun</v>
      </c>
      <c r="C589" s="27" t="str">
        <f>_xlfn.IFNA(INDEX(Refer!$B$5:$B$103,MATCH(Table6[[#This Row],[TASK]],Refer!$C$5:$C$103,0)),"")</f>
        <v>MEETING</v>
      </c>
      <c r="D589" s="93" t="s">
        <v>72</v>
      </c>
      <c r="E589" s="100" t="s">
        <v>637</v>
      </c>
      <c r="F589" s="82" t="s">
        <v>254</v>
      </c>
      <c r="G589" s="27" t="s">
        <v>440</v>
      </c>
      <c r="H589" s="41">
        <v>46197</v>
      </c>
      <c r="I589" s="41">
        <v>46197</v>
      </c>
      <c r="J589" s="41">
        <v>46197</v>
      </c>
      <c r="K589" s="27" t="str">
        <f>IF(Table6[[#This Row],[Finish Date]]=0,"On process","Close")</f>
        <v>Close</v>
      </c>
      <c r="L589" s="27" t="str">
        <f>IF(Table6[[#This Row],[Status]]="On process",IF($H$2&gt;Table6[[#This Row],[Target Date]],"Overdue","On time"),"Closed")</f>
        <v>Closed</v>
      </c>
      <c r="M589" s="27" t="str" cm="1">
        <f t="array" ref="M589">_xlfn.IFS(Table6[[#This Row],[Finish Date]]=0,"",Table6[[#This Row],[Finish Date]]&gt;Table6[[#This Row],[Target Date]],"Delay",Table6[[#This Row],[Finish Date]]&lt;=Table6[[#This Row],[Target Date]],"On Time")</f>
        <v>On Time</v>
      </c>
      <c r="N589" s="101"/>
      <c r="O589" s="101"/>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row>
    <row r="590" spans="1:41" ht="21" customHeight="1">
      <c r="A590" s="27">
        <f>WEEKNUM(Table6[[#This Row],[Start Date]])</f>
        <v>26</v>
      </c>
      <c r="B590" s="27" t="str">
        <f>TEXT(Table6[[#This Row],[Start Date]],"mmm")</f>
        <v>Jun</v>
      </c>
      <c r="C590" s="27" t="str">
        <f>_xlfn.IFNA(INDEX(Refer!$B$5:$B$103,MATCH(Table6[[#This Row],[TASK]],Refer!$C$5:$C$103,0)),"")</f>
        <v>MEETING</v>
      </c>
      <c r="D590" s="93" t="s">
        <v>72</v>
      </c>
      <c r="E590" s="100" t="s">
        <v>638</v>
      </c>
      <c r="F590" s="82" t="s">
        <v>254</v>
      </c>
      <c r="G590" s="27" t="s">
        <v>479</v>
      </c>
      <c r="H590" s="41">
        <v>46197</v>
      </c>
      <c r="I590" s="41">
        <v>46197</v>
      </c>
      <c r="J590" s="41">
        <v>46197</v>
      </c>
      <c r="K590" s="27" t="str">
        <f>IF(Table6[[#This Row],[Finish Date]]=0,"On process","Close")</f>
        <v>Close</v>
      </c>
      <c r="L590" s="27" t="str">
        <f>IF(Table6[[#This Row],[Status]]="On process",IF($H$2&gt;Table6[[#This Row],[Target Date]],"Overdue","On time"),"Closed")</f>
        <v>Closed</v>
      </c>
      <c r="M590" s="27" t="str" cm="1">
        <f t="array" ref="M590">_xlfn.IFS(Table6[[#This Row],[Finish Date]]=0,"",Table6[[#This Row],[Finish Date]]&gt;Table6[[#This Row],[Target Date]],"Delay",Table6[[#This Row],[Finish Date]]&lt;=Table6[[#This Row],[Target Date]],"On Time")</f>
        <v>On Time</v>
      </c>
      <c r="N590" s="101"/>
      <c r="O590" s="101"/>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row>
    <row r="591" spans="1:41" ht="21" customHeight="1">
      <c r="A591" s="27">
        <f>WEEKNUM(Table6[[#This Row],[Start Date]])</f>
        <v>26</v>
      </c>
      <c r="B591" s="27" t="str">
        <f>TEXT(Table6[[#This Row],[Start Date]],"mmm")</f>
        <v>Jun</v>
      </c>
      <c r="C591" s="27" t="str">
        <f>_xlfn.IFNA(INDEX(Refer!$B$5:$B$103,MATCH(Table6[[#This Row],[TASK]],Refer!$C$5:$C$103,0)),"")</f>
        <v>PACKING</v>
      </c>
      <c r="D591" s="93" t="s">
        <v>147</v>
      </c>
      <c r="E591" s="100" t="s">
        <v>639</v>
      </c>
      <c r="F591" s="82" t="s">
        <v>114</v>
      </c>
      <c r="G591" s="27" t="s">
        <v>440</v>
      </c>
      <c r="H591" s="41">
        <v>46197</v>
      </c>
      <c r="I591" s="41">
        <v>46198</v>
      </c>
      <c r="J591" s="41">
        <v>46198</v>
      </c>
      <c r="K591" s="27" t="str">
        <f>IF(Table6[[#This Row],[Finish Date]]=0,"On process","Close")</f>
        <v>Close</v>
      </c>
      <c r="L591" s="27" t="str">
        <f>IF(Table6[[#This Row],[Status]]="On process",IF($H$2&gt;Table6[[#This Row],[Target Date]],"Overdue","On time"),"Closed")</f>
        <v>Closed</v>
      </c>
      <c r="M591" s="27" t="str" cm="1">
        <f t="array" ref="M591">_xlfn.IFS(Table6[[#This Row],[Finish Date]]=0,"",Table6[[#This Row],[Finish Date]]&gt;Table6[[#This Row],[Target Date]],"Delay",Table6[[#This Row],[Finish Date]]&lt;=Table6[[#This Row],[Target Date]],"On Time")</f>
        <v>On Time</v>
      </c>
      <c r="N591" s="101"/>
      <c r="O591" s="101"/>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row>
    <row r="592" spans="1:41" ht="21" customHeight="1">
      <c r="A592" s="27">
        <f>WEEKNUM(Table6[[#This Row],[Start Date]])</f>
        <v>26</v>
      </c>
      <c r="B592" s="27" t="str">
        <f>TEXT(Table6[[#This Row],[Start Date]],"mmm")</f>
        <v>Jun</v>
      </c>
      <c r="C592" s="27" t="str">
        <f>_xlfn.IFNA(INDEX(Refer!$B$5:$B$103,MATCH(Table6[[#This Row],[TASK]],Refer!$C$5:$C$103,0)),"")</f>
        <v>PACKING</v>
      </c>
      <c r="D592" s="93" t="s">
        <v>147</v>
      </c>
      <c r="E592" s="100" t="s">
        <v>640</v>
      </c>
      <c r="F592" s="82" t="s">
        <v>66</v>
      </c>
      <c r="G592" s="27" t="s">
        <v>440</v>
      </c>
      <c r="H592" s="41">
        <v>46198</v>
      </c>
      <c r="I592" s="41">
        <v>46199</v>
      </c>
      <c r="J592" s="41">
        <v>46199</v>
      </c>
      <c r="K592" s="27" t="str">
        <f>IF(Table6[[#This Row],[Finish Date]]=0,"On process","Close")</f>
        <v>Close</v>
      </c>
      <c r="L592" s="27" t="str">
        <f>IF(Table6[[#This Row],[Status]]="On process",IF($H$2&gt;Table6[[#This Row],[Target Date]],"Overdue","On time"),"Closed")</f>
        <v>Closed</v>
      </c>
      <c r="M592" s="27" t="str" cm="1">
        <f t="array" ref="M592">_xlfn.IFS(Table6[[#This Row],[Finish Date]]=0,"",Table6[[#This Row],[Finish Date]]&gt;Table6[[#This Row],[Target Date]],"Delay",Table6[[#This Row],[Finish Date]]&lt;=Table6[[#This Row],[Target Date]],"On Time")</f>
        <v>On Time</v>
      </c>
      <c r="N592" s="101"/>
      <c r="O592" s="101"/>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row>
    <row r="593" spans="1:41" ht="21" customHeight="1">
      <c r="A593" s="27">
        <f>WEEKNUM(Table6[[#This Row],[Start Date]])</f>
        <v>26</v>
      </c>
      <c r="B593" s="27" t="str">
        <f>TEXT(Table6[[#This Row],[Start Date]],"mmm")</f>
        <v>Jun</v>
      </c>
      <c r="C593" s="27" t="str">
        <f>_xlfn.IFNA(INDEX(Refer!$B$5:$B$103,MATCH(Table6[[#This Row],[TASK]],Refer!$C$5:$C$103,0)),"")</f>
        <v>PACKING</v>
      </c>
      <c r="D593" s="93" t="s">
        <v>120</v>
      </c>
      <c r="E593" s="79" t="s">
        <v>641</v>
      </c>
      <c r="F593" s="82" t="s">
        <v>206</v>
      </c>
      <c r="G593" s="27" t="s">
        <v>440</v>
      </c>
      <c r="H593" s="41">
        <v>46198</v>
      </c>
      <c r="I593" s="41">
        <v>46199</v>
      </c>
      <c r="J593" s="41">
        <v>46198</v>
      </c>
      <c r="K593" s="27" t="str">
        <f>IF(Table6[[#This Row],[Finish Date]]=0,"On process","Close")</f>
        <v>Close</v>
      </c>
      <c r="L593" s="27" t="str">
        <f>IF(Table6[[#This Row],[Status]]="On process",IF($H$2&gt;Table6[[#This Row],[Target Date]],"Overdue","On time"),"Closed")</f>
        <v>Closed</v>
      </c>
      <c r="M593" s="27" t="str" cm="1">
        <f t="array" ref="M593">_xlfn.IFS(Table6[[#This Row],[Finish Date]]=0,"",Table6[[#This Row],[Finish Date]]&gt;Table6[[#This Row],[Target Date]],"Delay",Table6[[#This Row],[Finish Date]]&lt;=Table6[[#This Row],[Target Date]],"On Time")</f>
        <v>On Time</v>
      </c>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row>
    <row r="594" spans="1:41" ht="21" customHeight="1">
      <c r="A594" s="27">
        <f>WEEKNUM(Table6[[#This Row],[Start Date]])</f>
        <v>26</v>
      </c>
      <c r="B594" s="27" t="str">
        <f>TEXT(Table6[[#This Row],[Start Date]],"mmm")</f>
        <v>Jun</v>
      </c>
      <c r="C594" s="27" t="str">
        <f>_xlfn.IFNA(INDEX(Refer!$B$5:$B$103,MATCH(Table6[[#This Row],[TASK]],Refer!$C$5:$C$103,0)),"")</f>
        <v>MEETING</v>
      </c>
      <c r="D594" s="93" t="s">
        <v>72</v>
      </c>
      <c r="E594" s="79" t="s">
        <v>642</v>
      </c>
      <c r="F594" s="82" t="s">
        <v>66</v>
      </c>
      <c r="G594" s="27" t="s">
        <v>64</v>
      </c>
      <c r="H594" s="41">
        <v>46195</v>
      </c>
      <c r="I594" s="41">
        <v>46195</v>
      </c>
      <c r="J594" s="41">
        <v>46195</v>
      </c>
      <c r="K594" s="27" t="str">
        <f>IF(Table6[[#This Row],[Finish Date]]=0,"On process","Close")</f>
        <v>Close</v>
      </c>
      <c r="L594" s="27" t="str">
        <f>IF(Table6[[#This Row],[Status]]="On process",IF($H$2&gt;Table6[[#This Row],[Target Date]],"Overdue","On time"),"Closed")</f>
        <v>Closed</v>
      </c>
      <c r="M594" s="27" t="str" cm="1">
        <f t="array" ref="M594">_xlfn.IFS(Table6[[#This Row],[Finish Date]]=0,"",Table6[[#This Row],[Finish Date]]&gt;Table6[[#This Row],[Target Date]],"Delay",Table6[[#This Row],[Finish Date]]&lt;=Table6[[#This Row],[Target Date]],"On Time")</f>
        <v>On Time</v>
      </c>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row>
    <row r="595" spans="1:41" ht="21" customHeight="1">
      <c r="A595" s="27">
        <f>WEEKNUM(Table6[[#This Row],[Start Date]])</f>
        <v>26</v>
      </c>
      <c r="B595" s="27" t="str">
        <f>TEXT(Table6[[#This Row],[Start Date]],"mmm")</f>
        <v>Jun</v>
      </c>
      <c r="C595" s="27" t="str">
        <f>_xlfn.IFNA(INDEX(Refer!$B$5:$B$103,MATCH(Table6[[#This Row],[TASK]],Refer!$C$5:$C$103,0)),"")</f>
        <v/>
      </c>
      <c r="D595" s="93"/>
      <c r="E595" s="100" t="s">
        <v>643</v>
      </c>
      <c r="F595" s="82" t="s">
        <v>66</v>
      </c>
      <c r="G595" s="27" t="s">
        <v>64</v>
      </c>
      <c r="H595" s="41">
        <v>46196</v>
      </c>
      <c r="I595" s="41">
        <v>46197</v>
      </c>
      <c r="J595" s="41">
        <v>46197</v>
      </c>
      <c r="K595" s="27" t="str">
        <f>IF(Table6[[#This Row],[Finish Date]]=0,"On process","Close")</f>
        <v>Close</v>
      </c>
      <c r="L595" s="27" t="str">
        <f>IF(Table6[[#This Row],[Status]]="On process",IF($H$2&gt;Table6[[#This Row],[Target Date]],"Overdue","On time"),"Closed")</f>
        <v>Closed</v>
      </c>
      <c r="M595" s="27" t="str" cm="1">
        <f t="array" ref="M595">_xlfn.IFS(Table6[[#This Row],[Finish Date]]=0,"",Table6[[#This Row],[Finish Date]]&gt;Table6[[#This Row],[Target Date]],"Delay",Table6[[#This Row],[Finish Date]]&lt;=Table6[[#This Row],[Target Date]],"On Time")</f>
        <v>On Time</v>
      </c>
      <c r="N595" s="101"/>
      <c r="O595" s="101"/>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row>
    <row r="596" spans="1:41" ht="21" customHeight="1">
      <c r="A596" s="27">
        <f>WEEKNUM(Table6[[#This Row],[Start Date]])</f>
        <v>26</v>
      </c>
      <c r="B596" s="27" t="str">
        <f>TEXT(Table6[[#This Row],[Start Date]],"mmm")</f>
        <v>Jun</v>
      </c>
      <c r="C596" s="27" t="str">
        <f>_xlfn.IFNA(INDEX(Refer!$B$5:$B$103,MATCH(Table6[[#This Row],[TASK]],Refer!$C$5:$C$103,0)),"")</f>
        <v>NPI</v>
      </c>
      <c r="D596" s="93" t="s">
        <v>86</v>
      </c>
      <c r="E596" s="79" t="s">
        <v>644</v>
      </c>
      <c r="F596" s="82" t="s">
        <v>66</v>
      </c>
      <c r="G596" s="27" t="s">
        <v>64</v>
      </c>
      <c r="H596" s="41">
        <v>46197</v>
      </c>
      <c r="I596" s="41">
        <v>46197</v>
      </c>
      <c r="J596" s="41">
        <v>46197</v>
      </c>
      <c r="K596" s="27" t="str">
        <f>IF(Table6[[#This Row],[Finish Date]]=0,"On process","Close")</f>
        <v>Close</v>
      </c>
      <c r="L596" s="27" t="str">
        <f>IF(Table6[[#This Row],[Status]]="On process",IF($H$2&gt;Table6[[#This Row],[Target Date]],"Overdue","On time"),"Closed")</f>
        <v>Closed</v>
      </c>
      <c r="M596" s="27" t="str" cm="1">
        <f t="array" ref="M596">_xlfn.IFS(Table6[[#This Row],[Finish Date]]=0,"",Table6[[#This Row],[Finish Date]]&gt;Table6[[#This Row],[Target Date]],"Delay",Table6[[#This Row],[Finish Date]]&lt;=Table6[[#This Row],[Target Date]],"On Time")</f>
        <v>On Time</v>
      </c>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row>
    <row r="597" spans="1:41" ht="21" customHeight="1">
      <c r="A597" s="27">
        <f>WEEKNUM(Table6[[#This Row],[Start Date]])</f>
        <v>26</v>
      </c>
      <c r="B597" s="27" t="str">
        <f>TEXT(Table6[[#This Row],[Start Date]],"mmm")</f>
        <v>Jun</v>
      </c>
      <c r="C597" s="27" t="str">
        <f>_xlfn.IFNA(INDEX(Refer!$B$5:$B$103,MATCH(Table6[[#This Row],[TASK]],Refer!$C$5:$C$103,0)),"")</f>
        <v>MEETING</v>
      </c>
      <c r="D597" s="93" t="s">
        <v>72</v>
      </c>
      <c r="E597" s="100" t="s">
        <v>98</v>
      </c>
      <c r="F597" s="82" t="s">
        <v>63</v>
      </c>
      <c r="G597" s="27" t="s">
        <v>64</v>
      </c>
      <c r="H597" s="41">
        <v>46198</v>
      </c>
      <c r="I597" s="41">
        <v>46198</v>
      </c>
      <c r="J597" s="41">
        <v>46198</v>
      </c>
      <c r="K597" s="27" t="str">
        <f>IF(Table6[[#This Row],[Finish Date]]=0,"On process","Close")</f>
        <v>Close</v>
      </c>
      <c r="L597" s="27" t="str">
        <f>IF(Table6[[#This Row],[Status]]="On process",IF($H$2&gt;Table6[[#This Row],[Target Date]],"Overdue","On time"),"Closed")</f>
        <v>Closed</v>
      </c>
      <c r="M597" s="27" t="str" cm="1">
        <f t="array" ref="M597">_xlfn.IFS(Table6[[#This Row],[Finish Date]]=0,"",Table6[[#This Row],[Finish Date]]&gt;Table6[[#This Row],[Target Date]],"Delay",Table6[[#This Row],[Finish Date]]&lt;=Table6[[#This Row],[Target Date]],"On Time")</f>
        <v>On Time</v>
      </c>
      <c r="N597" s="101"/>
      <c r="O597" s="101"/>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row>
    <row r="598" spans="1:41" ht="21" customHeight="1">
      <c r="A598" s="27">
        <f>WEEKNUM(Table6[[#This Row],[Start Date]])</f>
        <v>26</v>
      </c>
      <c r="B598" s="27" t="str">
        <f>TEXT(Table6[[#This Row],[Start Date]],"mmm")</f>
        <v>Jun</v>
      </c>
      <c r="C598" s="27" t="str">
        <f>_xlfn.IFNA(INDEX(Refer!$B$5:$B$103,MATCH(Table6[[#This Row],[TASK]],Refer!$C$5:$C$103,0)),"")</f>
        <v>DFA</v>
      </c>
      <c r="D598" s="93" t="s">
        <v>264</v>
      </c>
      <c r="E598" s="100" t="s">
        <v>645</v>
      </c>
      <c r="F598" s="82"/>
      <c r="G598" s="27" t="s">
        <v>182</v>
      </c>
      <c r="H598" s="41">
        <v>46197</v>
      </c>
      <c r="I598" s="41">
        <v>46198</v>
      </c>
      <c r="J598" s="41">
        <v>46198</v>
      </c>
      <c r="K598" s="27" t="str">
        <f>IF(Table6[[#This Row],[Finish Date]]=0,"On process","Close")</f>
        <v>Close</v>
      </c>
      <c r="L598" s="27" t="str">
        <f>IF(Table6[[#This Row],[Status]]="On process",IF($H$2&gt;Table6[[#This Row],[Target Date]],"Overdue","On time"),"Closed")</f>
        <v>Closed</v>
      </c>
      <c r="M598" s="27" t="str" cm="1">
        <f t="array" ref="M598">_xlfn.IFS(Table6[[#This Row],[Finish Date]]=0,"",Table6[[#This Row],[Finish Date]]&gt;Table6[[#This Row],[Target Date]],"Delay",Table6[[#This Row],[Finish Date]]&lt;=Table6[[#This Row],[Target Date]],"On Time")</f>
        <v>On Time</v>
      </c>
      <c r="N598" s="101"/>
      <c r="O598" s="101"/>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row>
    <row r="599" spans="1:41" ht="21" customHeight="1">
      <c r="A599" s="27">
        <f>WEEKNUM(Table6[[#This Row],[Start Date]])</f>
        <v>26</v>
      </c>
      <c r="B599" s="27" t="str">
        <f>TEXT(Table6[[#This Row],[Start Date]],"mmm")</f>
        <v>Jun</v>
      </c>
      <c r="C599" s="27" t="str">
        <f>_xlfn.IFNA(INDEX(Refer!$B$5:$B$103,MATCH(Table6[[#This Row],[TASK]],Refer!$C$5:$C$103,0)),"")</f>
        <v>MEETING</v>
      </c>
      <c r="D599" s="93" t="s">
        <v>72</v>
      </c>
      <c r="E599" s="100" t="s">
        <v>637</v>
      </c>
      <c r="F599" s="82" t="s">
        <v>254</v>
      </c>
      <c r="G599" s="27" t="s">
        <v>182</v>
      </c>
      <c r="H599" s="41">
        <v>46197</v>
      </c>
      <c r="I599" s="41">
        <v>46197</v>
      </c>
      <c r="J599" s="41">
        <v>46197</v>
      </c>
      <c r="K599" s="27" t="str">
        <f>IF(Table6[[#This Row],[Finish Date]]=0,"On process","Close")</f>
        <v>Close</v>
      </c>
      <c r="L599" s="27" t="str">
        <f>IF(Table6[[#This Row],[Status]]="On process",IF($H$2&gt;Table6[[#This Row],[Target Date]],"Overdue","On time"),"Closed")</f>
        <v>Closed</v>
      </c>
      <c r="M599" s="27" t="str" cm="1">
        <f t="array" ref="M599">_xlfn.IFS(Table6[[#This Row],[Finish Date]]=0,"",Table6[[#This Row],[Finish Date]]&gt;Table6[[#This Row],[Target Date]],"Delay",Table6[[#This Row],[Finish Date]]&lt;=Table6[[#This Row],[Target Date]],"On Time")</f>
        <v>On Time</v>
      </c>
      <c r="N599" s="101"/>
      <c r="O599" s="101"/>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row>
    <row r="600" spans="1:41" ht="21" customHeight="1">
      <c r="A600" s="27">
        <f>WEEKNUM(Table6[[#This Row],[Start Date]])</f>
        <v>26</v>
      </c>
      <c r="B600" s="27" t="str">
        <f>TEXT(Table6[[#This Row],[Start Date]],"mmm")</f>
        <v>Jun</v>
      </c>
      <c r="C600" s="27" t="str">
        <f>_xlfn.IFNA(INDEX(Refer!$B$5:$B$103,MATCH(Table6[[#This Row],[TASK]],Refer!$C$5:$C$103,0)),"")</f>
        <v>MEETING</v>
      </c>
      <c r="D600" s="93" t="s">
        <v>72</v>
      </c>
      <c r="E600" s="100" t="s">
        <v>646</v>
      </c>
      <c r="F600" s="82" t="s">
        <v>580</v>
      </c>
      <c r="G600" s="27" t="s">
        <v>182</v>
      </c>
      <c r="H600" s="41">
        <v>46198</v>
      </c>
      <c r="I600" s="41">
        <v>46198</v>
      </c>
      <c r="J600" s="41">
        <v>46198</v>
      </c>
      <c r="K600" s="27" t="str">
        <f>IF(Table6[[#This Row],[Finish Date]]=0,"On process","Close")</f>
        <v>Close</v>
      </c>
      <c r="L600" s="27" t="str">
        <f>IF(Table6[[#This Row],[Status]]="On process",IF($H$2&gt;Table6[[#This Row],[Target Date]],"Overdue","On time"),"Closed")</f>
        <v>Closed</v>
      </c>
      <c r="M600" s="27" t="str" cm="1">
        <f t="array" ref="M600">_xlfn.IFS(Table6[[#This Row],[Finish Date]]=0,"",Table6[[#This Row],[Finish Date]]&gt;Table6[[#This Row],[Target Date]],"Delay",Table6[[#This Row],[Finish Date]]&lt;=Table6[[#This Row],[Target Date]],"On Time")</f>
        <v>On Time</v>
      </c>
      <c r="N600" s="101"/>
      <c r="O600" s="101"/>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row>
    <row r="601" spans="1:41" ht="21" customHeight="1">
      <c r="A601" s="27">
        <f>WEEKNUM(Table6[[#This Row],[Start Date]])</f>
        <v>26</v>
      </c>
      <c r="B601" s="27" t="str">
        <f>TEXT(Table6[[#This Row],[Start Date]],"mmm")</f>
        <v>Jun</v>
      </c>
      <c r="C601" s="27" t="str">
        <f>_xlfn.IFNA(INDEX(Refer!$B$5:$B$103,MATCH(Table6[[#This Row],[TASK]],Refer!$C$5:$C$103,0)),"")</f>
        <v>RFQ</v>
      </c>
      <c r="D601" s="93" t="s">
        <v>21</v>
      </c>
      <c r="E601" s="100" t="s">
        <v>647</v>
      </c>
      <c r="F601" s="82" t="s">
        <v>580</v>
      </c>
      <c r="G601" s="27" t="s">
        <v>182</v>
      </c>
      <c r="H601" s="41">
        <v>46199</v>
      </c>
      <c r="I601" s="41">
        <v>46202</v>
      </c>
      <c r="J601" s="41">
        <v>46202</v>
      </c>
      <c r="K601" s="27" t="str">
        <f>IF(Table6[[#This Row],[Finish Date]]=0,"On process","Close")</f>
        <v>Close</v>
      </c>
      <c r="L601" s="27" t="str">
        <f>IF(Table6[[#This Row],[Status]]="On process",IF($H$2&gt;Table6[[#This Row],[Target Date]],"Overdue","On time"),"Closed")</f>
        <v>Closed</v>
      </c>
      <c r="M601" s="27" t="str" cm="1">
        <f t="array" ref="M601">_xlfn.IFS(Table6[[#This Row],[Finish Date]]=0,"",Table6[[#This Row],[Finish Date]]&gt;Table6[[#This Row],[Target Date]],"Delay",Table6[[#This Row],[Finish Date]]&lt;=Table6[[#This Row],[Target Date]],"On Time")</f>
        <v>On Time</v>
      </c>
      <c r="N601" s="101"/>
      <c r="O601" s="101"/>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row>
    <row r="602" spans="1:41" ht="21" customHeight="1">
      <c r="A602" s="27">
        <f>WEEKNUM(Table6[[#This Row],[Start Date]])</f>
        <v>26</v>
      </c>
      <c r="B602" s="27" t="str">
        <f>TEXT(Table6[[#This Row],[Start Date]],"mmm")</f>
        <v>Jun</v>
      </c>
      <c r="C602" s="27" t="str">
        <f>_xlfn.IFNA(INDEX(Refer!$B$5:$B$103,MATCH(Table6[[#This Row],[TASK]],Refer!$C$5:$C$103,0)),"")</f>
        <v>PROJECT</v>
      </c>
      <c r="D602" s="93" t="s">
        <v>504</v>
      </c>
      <c r="E602" s="100" t="s">
        <v>634</v>
      </c>
      <c r="F602" s="82"/>
      <c r="G602" s="27" t="s">
        <v>182</v>
      </c>
      <c r="H602" s="41">
        <v>46199</v>
      </c>
      <c r="I602" s="41">
        <v>46199</v>
      </c>
      <c r="J602" s="41">
        <v>46202</v>
      </c>
      <c r="K602" s="27" t="str">
        <f>IF(Table6[[#This Row],[Finish Date]]=0,"On process","Close")</f>
        <v>Close</v>
      </c>
      <c r="L602" s="27" t="str">
        <f>IF(Table6[[#This Row],[Status]]="On process",IF($H$2&gt;Table6[[#This Row],[Target Date]],"Overdue","On time"),"Closed")</f>
        <v>Closed</v>
      </c>
      <c r="M602" s="27" t="str" cm="1">
        <f t="array" ref="M602">_xlfn.IFS(Table6[[#This Row],[Finish Date]]=0,"",Table6[[#This Row],[Finish Date]]&gt;Table6[[#This Row],[Target Date]],"Delay",Table6[[#This Row],[Finish Date]]&lt;=Table6[[#This Row],[Target Date]],"On Time")</f>
        <v>Delay</v>
      </c>
      <c r="N602" s="101"/>
      <c r="O602" s="101"/>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row>
    <row r="603" spans="1:41" ht="21" customHeight="1">
      <c r="A603" s="27">
        <f>WEEKNUM(Table6[[#This Row],[Start Date]])</f>
        <v>26</v>
      </c>
      <c r="B603" s="27" t="str">
        <f>TEXT(Table6[[#This Row],[Start Date]],"mmm")</f>
        <v>Jun</v>
      </c>
      <c r="C603" s="27" t="str">
        <f>_xlfn.IFNA(INDEX(Refer!$B$5:$B$103,MATCH(Table6[[#This Row],[TASK]],Refer!$C$5:$C$103,0)),"")</f>
        <v>MEETING</v>
      </c>
      <c r="D603" s="93" t="s">
        <v>72</v>
      </c>
      <c r="E603" s="79" t="s">
        <v>642</v>
      </c>
      <c r="F603" s="82" t="s">
        <v>66</v>
      </c>
      <c r="G603" s="27" t="s">
        <v>479</v>
      </c>
      <c r="H603" s="41">
        <v>46195</v>
      </c>
      <c r="I603" s="41">
        <v>46195</v>
      </c>
      <c r="J603" s="41">
        <v>46195</v>
      </c>
      <c r="K603" s="27" t="str">
        <f>IF(Table6[[#This Row],[Finish Date]]=0,"On process","Close")</f>
        <v>Close</v>
      </c>
      <c r="L603" s="27" t="str">
        <f>IF(Table6[[#This Row],[Status]]="On process",IF($H$2&gt;Table6[[#This Row],[Target Date]],"Overdue","On time"),"Closed")</f>
        <v>Closed</v>
      </c>
      <c r="M603" s="27" t="str" cm="1">
        <f t="array" ref="M603">_xlfn.IFS(Table6[[#This Row],[Finish Date]]=0,"",Table6[[#This Row],[Finish Date]]&gt;Table6[[#This Row],[Target Date]],"Delay",Table6[[#This Row],[Finish Date]]&lt;=Table6[[#This Row],[Target Date]],"On Time")</f>
        <v>On Time</v>
      </c>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row>
    <row r="604" spans="1:41" ht="21" customHeight="1">
      <c r="A604" s="27">
        <f>WEEKNUM(Table6[[#This Row],[Start Date]])</f>
        <v>26</v>
      </c>
      <c r="B604" s="27" t="str">
        <f>TEXT(Table6[[#This Row],[Start Date]],"mmm")</f>
        <v>Jun</v>
      </c>
      <c r="C604" s="27" t="str">
        <f>_xlfn.IFNA(INDEX(Refer!$B$5:$B$103,MATCH(Table6[[#This Row],[TASK]],Refer!$C$5:$C$103,0)),"")</f>
        <v>OTHER</v>
      </c>
      <c r="D604" s="93" t="s">
        <v>108</v>
      </c>
      <c r="E604" s="100" t="s">
        <v>648</v>
      </c>
      <c r="F604" s="82"/>
      <c r="G604" s="27" t="s">
        <v>479</v>
      </c>
      <c r="H604" s="41">
        <v>46197</v>
      </c>
      <c r="I604" s="41">
        <v>46197</v>
      </c>
      <c r="J604" s="41">
        <v>46197</v>
      </c>
      <c r="K604" s="27" t="str">
        <f>IF(Table6[[#This Row],[Finish Date]]=0,"On process","Close")</f>
        <v>Close</v>
      </c>
      <c r="L604" s="27" t="str">
        <f>IF(Table6[[#This Row],[Status]]="On process",IF($H$2&gt;Table6[[#This Row],[Target Date]],"Overdue","On time"),"Closed")</f>
        <v>Closed</v>
      </c>
      <c r="M604" s="27" t="str" cm="1">
        <f t="array" ref="M604">_xlfn.IFS(Table6[[#This Row],[Finish Date]]=0,"",Table6[[#This Row],[Finish Date]]&gt;Table6[[#This Row],[Target Date]],"Delay",Table6[[#This Row],[Finish Date]]&lt;=Table6[[#This Row],[Target Date]],"On Time")</f>
        <v>On Time</v>
      </c>
      <c r="N604" s="101"/>
      <c r="O604" s="101"/>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row>
    <row r="605" spans="1:41" ht="21" customHeight="1">
      <c r="A605" s="27">
        <f>WEEKNUM(Table6[[#This Row],[Start Date]])</f>
        <v>26</v>
      </c>
      <c r="B605" s="27" t="str">
        <f>TEXT(Table6[[#This Row],[Start Date]],"mmm")</f>
        <v>Jun</v>
      </c>
      <c r="C605" s="27" t="str">
        <f>_xlfn.IFNA(INDEX(Refer!$B$5:$B$103,MATCH(Table6[[#This Row],[TASK]],Refer!$C$5:$C$103,0)),"")</f>
        <v>MEETING</v>
      </c>
      <c r="D605" s="93" t="s">
        <v>72</v>
      </c>
      <c r="E605" s="100" t="s">
        <v>638</v>
      </c>
      <c r="F605" s="82" t="s">
        <v>254</v>
      </c>
      <c r="G605" s="27" t="s">
        <v>479</v>
      </c>
      <c r="H605" s="41">
        <v>46197</v>
      </c>
      <c r="I605" s="41">
        <v>46197</v>
      </c>
      <c r="J605" s="41">
        <v>46197</v>
      </c>
      <c r="K605" s="27" t="str">
        <f>IF(Table6[[#This Row],[Finish Date]]=0,"On process","Close")</f>
        <v>Close</v>
      </c>
      <c r="L605" s="27" t="str">
        <f>IF(Table6[[#This Row],[Status]]="On process",IF($H$2&gt;Table6[[#This Row],[Target Date]],"Overdue","On time"),"Closed")</f>
        <v>Closed</v>
      </c>
      <c r="M605" s="27" t="str" cm="1">
        <f t="array" ref="M605">_xlfn.IFS(Table6[[#This Row],[Finish Date]]=0,"",Table6[[#This Row],[Finish Date]]&gt;Table6[[#This Row],[Target Date]],"Delay",Table6[[#This Row],[Finish Date]]&lt;=Table6[[#This Row],[Target Date]],"On Time")</f>
        <v>On Time</v>
      </c>
      <c r="N605" s="101"/>
      <c r="O605" s="101"/>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row>
    <row r="606" spans="1:41" ht="21" customHeight="1">
      <c r="A606" s="27">
        <f>WEEKNUM(Table6[[#This Row],[Start Date]])</f>
        <v>26</v>
      </c>
      <c r="B606" s="27" t="str">
        <f>TEXT(Table6[[#This Row],[Start Date]],"mmm")</f>
        <v>Jun</v>
      </c>
      <c r="C606" s="27" t="str">
        <f>_xlfn.IFNA(INDEX(Refer!$B$5:$B$103,MATCH(Table6[[#This Row],[TASK]],Refer!$C$5:$C$103,0)),"")</f>
        <v>PROJECT</v>
      </c>
      <c r="D606" s="93" t="s">
        <v>504</v>
      </c>
      <c r="E606" s="100" t="s">
        <v>634</v>
      </c>
      <c r="F606" s="82"/>
      <c r="G606" s="27" t="s">
        <v>479</v>
      </c>
      <c r="H606" s="41">
        <v>46197</v>
      </c>
      <c r="I606" s="41">
        <v>46198</v>
      </c>
      <c r="J606" s="41">
        <v>46198</v>
      </c>
      <c r="K606" s="27" t="str">
        <f>IF(Table6[[#This Row],[Finish Date]]=0,"On process","Close")</f>
        <v>Close</v>
      </c>
      <c r="L606" s="27" t="str">
        <f>IF(Table6[[#This Row],[Status]]="On process",IF($H$2&gt;Table6[[#This Row],[Target Date]],"Overdue","On time"),"Closed")</f>
        <v>Closed</v>
      </c>
      <c r="M606" s="27" t="str" cm="1">
        <f t="array" ref="M606">_xlfn.IFS(Table6[[#This Row],[Finish Date]]=0,"",Table6[[#This Row],[Finish Date]]&gt;Table6[[#This Row],[Target Date]],"Delay",Table6[[#This Row],[Finish Date]]&lt;=Table6[[#This Row],[Target Date]],"On Time")</f>
        <v>On Time</v>
      </c>
      <c r="N606" s="101"/>
      <c r="O606" s="101"/>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row>
    <row r="607" spans="1:41" ht="21" customHeight="1">
      <c r="A607" s="27">
        <f>WEEKNUM(Table6[[#This Row],[Start Date]])</f>
        <v>26</v>
      </c>
      <c r="B607" s="27" t="str">
        <f>TEXT(Table6[[#This Row],[Start Date]],"mmm")</f>
        <v>Jun</v>
      </c>
      <c r="C607" s="27" t="str">
        <f>_xlfn.IFNA(INDEX(Refer!$B$5:$B$103,MATCH(Table6[[#This Row],[TASK]],Refer!$C$5:$C$103,0)),"")</f>
        <v>DFA</v>
      </c>
      <c r="D607" s="93" t="s">
        <v>264</v>
      </c>
      <c r="E607" s="100" t="s">
        <v>645</v>
      </c>
      <c r="F607" s="82" t="s">
        <v>649</v>
      </c>
      <c r="G607" s="27" t="s">
        <v>479</v>
      </c>
      <c r="H607" s="41">
        <v>46197</v>
      </c>
      <c r="I607" s="41">
        <v>46198</v>
      </c>
      <c r="J607" s="41">
        <v>46198</v>
      </c>
      <c r="K607" s="27" t="str">
        <f>IF(Table6[[#This Row],[Finish Date]]=0,"On process","Close")</f>
        <v>Close</v>
      </c>
      <c r="L607" s="27" t="str">
        <f>IF(Table6[[#This Row],[Status]]="On process",IF($H$2&gt;Table6[[#This Row],[Target Date]],"Overdue","On time"),"Closed")</f>
        <v>Closed</v>
      </c>
      <c r="M607" s="27" t="str" cm="1">
        <f t="array" ref="M607">_xlfn.IFS(Table6[[#This Row],[Finish Date]]=0,"",Table6[[#This Row],[Finish Date]]&gt;Table6[[#This Row],[Target Date]],"Delay",Table6[[#This Row],[Finish Date]]&lt;=Table6[[#This Row],[Target Date]],"On Time")</f>
        <v>On Time</v>
      </c>
      <c r="N607" s="101"/>
      <c r="O607" s="101"/>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row>
    <row r="608" spans="1:41" ht="21" customHeight="1">
      <c r="A608" s="27">
        <f>WEEKNUM(Table6[[#This Row],[Start Date]])</f>
        <v>26</v>
      </c>
      <c r="B608" s="27" t="str">
        <f>TEXT(Table6[[#This Row],[Start Date]],"mmm")</f>
        <v>Jun</v>
      </c>
      <c r="C608" s="27" t="str">
        <f>_xlfn.IFNA(INDEX(Refer!$B$5:$B$103,MATCH(Table6[[#This Row],[TASK]],Refer!$C$5:$C$103,0)),"")</f>
        <v>DFA</v>
      </c>
      <c r="D608" s="93" t="s">
        <v>264</v>
      </c>
      <c r="E608" s="100" t="s">
        <v>650</v>
      </c>
      <c r="F608" s="82" t="s">
        <v>649</v>
      </c>
      <c r="G608" s="27" t="s">
        <v>479</v>
      </c>
      <c r="H608" s="41">
        <v>46197</v>
      </c>
      <c r="I608" s="41">
        <v>46198</v>
      </c>
      <c r="J608" s="41">
        <v>46198</v>
      </c>
      <c r="K608" s="27" t="str">
        <f>IF(Table6[[#This Row],[Finish Date]]=0,"On process","Close")</f>
        <v>Close</v>
      </c>
      <c r="L608" s="27" t="str">
        <f>IF(Table6[[#This Row],[Status]]="On process",IF($H$2&gt;Table6[[#This Row],[Target Date]],"Overdue","On time"),"Closed")</f>
        <v>Closed</v>
      </c>
      <c r="M608" s="27" t="str" cm="1">
        <f t="array" ref="M608">_xlfn.IFS(Table6[[#This Row],[Finish Date]]=0,"",Table6[[#This Row],[Finish Date]]&gt;Table6[[#This Row],[Target Date]],"Delay",Table6[[#This Row],[Finish Date]]&lt;=Table6[[#This Row],[Target Date]],"On Time")</f>
        <v>On Time</v>
      </c>
      <c r="N608" s="101"/>
      <c r="O608" s="101"/>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row>
    <row r="609" spans="1:41" ht="21" customHeight="1">
      <c r="A609" s="27">
        <f>WEEKNUM(Table6[[#This Row],[Start Date]])</f>
        <v>26</v>
      </c>
      <c r="B609" s="27" t="str">
        <f>TEXT(Table6[[#This Row],[Start Date]],"mmm")</f>
        <v>Jun</v>
      </c>
      <c r="C609" s="27" t="str">
        <f>_xlfn.IFNA(INDEX(Refer!$B$5:$B$103,MATCH(Table6[[#This Row],[TASK]],Refer!$C$5:$C$103,0)),"")</f>
        <v>Part DFM</v>
      </c>
      <c r="D609" s="93" t="s">
        <v>447</v>
      </c>
      <c r="E609" s="100" t="s">
        <v>651</v>
      </c>
      <c r="F609" s="82" t="s">
        <v>580</v>
      </c>
      <c r="G609" s="27" t="s">
        <v>479</v>
      </c>
      <c r="H609" s="41">
        <v>46199</v>
      </c>
      <c r="I609" s="41">
        <v>46203</v>
      </c>
      <c r="J609" s="41">
        <v>46203</v>
      </c>
      <c r="K609" s="27" t="str">
        <f>IF(Table6[[#This Row],[Finish Date]]=0,"On process","Close")</f>
        <v>Close</v>
      </c>
      <c r="L609" s="27" t="str">
        <f>IF(Table6[[#This Row],[Status]]="On process",IF($H$2&gt;Table6[[#This Row],[Target Date]],"Overdue","On time"),"Closed")</f>
        <v>Closed</v>
      </c>
      <c r="M609" s="27" t="str" cm="1">
        <f t="array" ref="M609">_xlfn.IFS(Table6[[#This Row],[Finish Date]]=0,"",Table6[[#This Row],[Finish Date]]&gt;Table6[[#This Row],[Target Date]],"Delay",Table6[[#This Row],[Finish Date]]&lt;=Table6[[#This Row],[Target Date]],"On Time")</f>
        <v>On Time</v>
      </c>
      <c r="N609" s="101"/>
      <c r="O609" s="101"/>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row>
    <row r="610" spans="1:41" ht="21" customHeight="1">
      <c r="A610" s="27">
        <f>WEEKNUM(Table6[[#This Row],[Start Date]])</f>
        <v>26</v>
      </c>
      <c r="B610" s="27" t="str">
        <f>TEXT(Table6[[#This Row],[Start Date]],"mmm")</f>
        <v>Jun</v>
      </c>
      <c r="C610" s="27" t="str">
        <f>_xlfn.IFNA(INDEX(Refer!$B$5:$B$103,MATCH(Table6[[#This Row],[TASK]],Refer!$C$5:$C$103,0)),"")</f>
        <v>RFQ</v>
      </c>
      <c r="D610" s="93" t="s">
        <v>123</v>
      </c>
      <c r="E610" s="100" t="s">
        <v>652</v>
      </c>
      <c r="F610" s="82" t="s">
        <v>134</v>
      </c>
      <c r="G610" s="27" t="s">
        <v>440</v>
      </c>
      <c r="H610" s="41">
        <v>46199</v>
      </c>
      <c r="I610" s="41">
        <v>46202</v>
      </c>
      <c r="J610" s="41">
        <v>46202</v>
      </c>
      <c r="K610" s="27" t="str">
        <f>IF(Table6[[#This Row],[Finish Date]]=0,"On process","Close")</f>
        <v>Close</v>
      </c>
      <c r="L610" s="27" t="str">
        <f>IF(Table6[[#This Row],[Status]]="On process",IF($H$2&gt;Table6[[#This Row],[Target Date]],"Overdue","On time"),"Closed")</f>
        <v>Closed</v>
      </c>
      <c r="M610" s="27" t="str" cm="1">
        <f t="array" ref="M610">_xlfn.IFS(Table6[[#This Row],[Finish Date]]=0,"",Table6[[#This Row],[Finish Date]]&gt;Table6[[#This Row],[Target Date]],"Delay",Table6[[#This Row],[Finish Date]]&lt;=Table6[[#This Row],[Target Date]],"On Time")</f>
        <v>On Time</v>
      </c>
      <c r="N610" s="101"/>
      <c r="O610" s="101"/>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row>
    <row r="611" spans="1:41" ht="21" customHeight="1">
      <c r="A611" s="27">
        <f>WEEKNUM(Table6[[#This Row],[Start Date]])</f>
        <v>27</v>
      </c>
      <c r="B611" s="27" t="str">
        <f>TEXT(Table6[[#This Row],[Start Date]],"mmm")</f>
        <v>Jun</v>
      </c>
      <c r="C611" s="27" t="str">
        <f>_xlfn.IFNA(INDEX(Refer!$B$5:$B$103,MATCH(Table6[[#This Row],[TASK]],Refer!$C$5:$C$103,0)),"")</f>
        <v>PACKING</v>
      </c>
      <c r="D611" s="93" t="s">
        <v>120</v>
      </c>
      <c r="E611" s="100" t="s">
        <v>653</v>
      </c>
      <c r="F611" s="82" t="s">
        <v>366</v>
      </c>
      <c r="G611" s="27" t="s">
        <v>440</v>
      </c>
      <c r="H611" s="41">
        <v>46202</v>
      </c>
      <c r="I611" s="41">
        <v>46202</v>
      </c>
      <c r="J611" s="41">
        <v>46202</v>
      </c>
      <c r="K611" s="27" t="str">
        <f>IF(Table6[[#This Row],[Finish Date]]=0,"On process","Close")</f>
        <v>Close</v>
      </c>
      <c r="L611" s="27" t="str">
        <f>IF(Table6[[#This Row],[Status]]="On process",IF($H$2&gt;Table6[[#This Row],[Target Date]],"Overdue","On time"),"Closed")</f>
        <v>Closed</v>
      </c>
      <c r="M611" s="27" t="str" cm="1">
        <f t="array" ref="M611">_xlfn.IFS(Table6[[#This Row],[Finish Date]]=0,"",Table6[[#This Row],[Finish Date]]&gt;Table6[[#This Row],[Target Date]],"Delay",Table6[[#This Row],[Finish Date]]&lt;=Table6[[#This Row],[Target Date]],"On Time")</f>
        <v>On Time</v>
      </c>
      <c r="N611" s="101"/>
      <c r="O611" s="101"/>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row>
    <row r="612" spans="1:41" ht="21" customHeight="1">
      <c r="A612" s="27">
        <f>WEEKNUM(Table6[[#This Row],[Start Date]])</f>
        <v>27</v>
      </c>
      <c r="B612" s="27" t="str">
        <f>TEXT(Table6[[#This Row],[Start Date]],"mmm")</f>
        <v>Jun</v>
      </c>
      <c r="C612" s="27" t="str">
        <f>_xlfn.IFNA(INDEX(Refer!$B$5:$B$103,MATCH(Table6[[#This Row],[TASK]],Refer!$C$5:$C$103,0)),"")</f>
        <v>PACKING</v>
      </c>
      <c r="D612" s="93" t="s">
        <v>120</v>
      </c>
      <c r="E612" s="100" t="s">
        <v>654</v>
      </c>
      <c r="F612" s="82" t="s">
        <v>655</v>
      </c>
      <c r="G612" s="27" t="s">
        <v>440</v>
      </c>
      <c r="H612" s="41">
        <v>46202</v>
      </c>
      <c r="I612" s="41">
        <v>46202</v>
      </c>
      <c r="J612" s="41">
        <v>46202</v>
      </c>
      <c r="K612" s="27" t="str">
        <f>IF(Table6[[#This Row],[Finish Date]]=0,"On process","Close")</f>
        <v>Close</v>
      </c>
      <c r="L612" s="27" t="str">
        <f>IF(Table6[[#This Row],[Status]]="On process",IF($H$2&gt;Table6[[#This Row],[Target Date]],"Overdue","On time"),"Closed")</f>
        <v>Closed</v>
      </c>
      <c r="M612" s="27" t="str" cm="1">
        <f t="array" ref="M612">_xlfn.IFS(Table6[[#This Row],[Finish Date]]=0,"",Table6[[#This Row],[Finish Date]]&gt;Table6[[#This Row],[Target Date]],"Delay",Table6[[#This Row],[Finish Date]]&lt;=Table6[[#This Row],[Target Date]],"On Time")</f>
        <v>On Time</v>
      </c>
      <c r="N612" s="101"/>
      <c r="O612" s="101"/>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row>
    <row r="613" spans="1:41" ht="21" customHeight="1">
      <c r="A613" s="27">
        <f>WEEKNUM(Table6[[#This Row],[Start Date]])</f>
        <v>27</v>
      </c>
      <c r="B613" s="27" t="str">
        <f>TEXT(Table6[[#This Row],[Start Date]],"mmm")</f>
        <v>Jun</v>
      </c>
      <c r="C613" s="27" t="str">
        <f>_xlfn.IFNA(INDEX(Refer!$B$5:$B$103,MATCH(Table6[[#This Row],[TASK]],Refer!$C$5:$C$103,0)),"")</f>
        <v>PACKING</v>
      </c>
      <c r="D613" s="93" t="s">
        <v>120</v>
      </c>
      <c r="E613" s="100" t="s">
        <v>656</v>
      </c>
      <c r="F613" s="82" t="s">
        <v>206</v>
      </c>
      <c r="G613" s="27" t="s">
        <v>440</v>
      </c>
      <c r="H613" s="41">
        <v>46202</v>
      </c>
      <c r="I613" s="41">
        <v>46202</v>
      </c>
      <c r="J613" s="41">
        <v>46202</v>
      </c>
      <c r="K613" s="27" t="str">
        <f>IF(Table6[[#This Row],[Finish Date]]=0,"On process","Close")</f>
        <v>Close</v>
      </c>
      <c r="L613" s="27" t="str">
        <f>IF(Table6[[#This Row],[Status]]="On process",IF($H$2&gt;Table6[[#This Row],[Target Date]],"Overdue","On time"),"Closed")</f>
        <v>Closed</v>
      </c>
      <c r="M613" s="27" t="str" cm="1">
        <f t="array" ref="M613">_xlfn.IFS(Table6[[#This Row],[Finish Date]]=0,"",Table6[[#This Row],[Finish Date]]&gt;Table6[[#This Row],[Target Date]],"Delay",Table6[[#This Row],[Finish Date]]&lt;=Table6[[#This Row],[Target Date]],"On Time")</f>
        <v>On Time</v>
      </c>
      <c r="N613" s="101"/>
      <c r="O613" s="101"/>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row>
    <row r="614" spans="1:41" ht="21" customHeight="1">
      <c r="A614" s="27">
        <f>WEEKNUM(Table6[[#This Row],[Start Date]])</f>
        <v>27</v>
      </c>
      <c r="B614" s="27" t="str">
        <f>TEXT(Table6[[#This Row],[Start Date]],"mmm")</f>
        <v>Jun</v>
      </c>
      <c r="C614" s="27" t="str">
        <f>_xlfn.IFNA(INDEX(Refer!$B$5:$B$103,MATCH(Table6[[#This Row],[TASK]],Refer!$C$5:$C$103,0)),"")</f>
        <v>RFQ</v>
      </c>
      <c r="D614" s="93" t="s">
        <v>123</v>
      </c>
      <c r="E614" s="100" t="s">
        <v>657</v>
      </c>
      <c r="F614" s="82" t="s">
        <v>95</v>
      </c>
      <c r="G614" s="27" t="s">
        <v>440</v>
      </c>
      <c r="H614" s="41">
        <v>46202</v>
      </c>
      <c r="I614" s="41">
        <v>46203</v>
      </c>
      <c r="J614" s="41">
        <v>46202</v>
      </c>
      <c r="K614" s="27" t="str">
        <f>IF(Table6[[#This Row],[Finish Date]]=0,"On process","Close")</f>
        <v>Close</v>
      </c>
      <c r="L614" s="27" t="str">
        <f>IF(Table6[[#This Row],[Status]]="On process",IF($H$2&gt;Table6[[#This Row],[Target Date]],"Overdue","On time"),"Closed")</f>
        <v>Closed</v>
      </c>
      <c r="M614" s="27" t="str" cm="1">
        <f t="array" ref="M614">_xlfn.IFS(Table6[[#This Row],[Finish Date]]=0,"",Table6[[#This Row],[Finish Date]]&gt;Table6[[#This Row],[Target Date]],"Delay",Table6[[#This Row],[Finish Date]]&lt;=Table6[[#This Row],[Target Date]],"On Time")</f>
        <v>On Time</v>
      </c>
      <c r="N614" s="101"/>
      <c r="O614" s="101"/>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row>
    <row r="615" spans="1:41" ht="21" customHeight="1">
      <c r="A615" s="27">
        <f>WEEKNUM(Table6[[#This Row],[Start Date]])</f>
        <v>27</v>
      </c>
      <c r="B615" s="27" t="str">
        <f>TEXT(Table6[[#This Row],[Start Date]],"mmm")</f>
        <v>Jun</v>
      </c>
      <c r="C615" s="27" t="str">
        <f>_xlfn.IFNA(INDEX(Refer!$B$5:$B$103,MATCH(Table6[[#This Row],[TASK]],Refer!$C$5:$C$103,0)),"")</f>
        <v>PACKING</v>
      </c>
      <c r="D615" s="93" t="s">
        <v>120</v>
      </c>
      <c r="E615" s="100" t="s">
        <v>658</v>
      </c>
      <c r="F615" s="82" t="s">
        <v>138</v>
      </c>
      <c r="G615" s="27" t="s">
        <v>440</v>
      </c>
      <c r="H615" s="41">
        <v>46202</v>
      </c>
      <c r="I615" s="41">
        <v>46203</v>
      </c>
      <c r="J615" s="41">
        <v>46202</v>
      </c>
      <c r="K615" s="27" t="str">
        <f>IF(Table6[[#This Row],[Finish Date]]=0,"On process","Close")</f>
        <v>Close</v>
      </c>
      <c r="L615" s="27" t="str">
        <f>IF(Table6[[#This Row],[Status]]="On process",IF($H$2&gt;Table6[[#This Row],[Target Date]],"Overdue","On time"),"Closed")</f>
        <v>Closed</v>
      </c>
      <c r="M615" s="27" t="str" cm="1">
        <f t="array" ref="M615">_xlfn.IFS(Table6[[#This Row],[Finish Date]]=0,"",Table6[[#This Row],[Finish Date]]&gt;Table6[[#This Row],[Target Date]],"Delay",Table6[[#This Row],[Finish Date]]&lt;=Table6[[#This Row],[Target Date]],"On Time")</f>
        <v>On Time</v>
      </c>
      <c r="N615" s="101"/>
      <c r="O615" s="101"/>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row>
    <row r="616" spans="1:41" ht="21" customHeight="1">
      <c r="A616" s="27">
        <f>WEEKNUM(Table6[[#This Row],[Start Date]])</f>
        <v>27</v>
      </c>
      <c r="B616" s="27" t="str">
        <f>TEXT(Table6[[#This Row],[Start Date]],"mmm")</f>
        <v>Jun</v>
      </c>
      <c r="C616" s="27" t="str">
        <f>_xlfn.IFNA(INDEX(Refer!$B$5:$B$103,MATCH(Table6[[#This Row],[TASK]],Refer!$C$5:$C$103,0)),"")</f>
        <v>RFQ</v>
      </c>
      <c r="D616" s="93" t="s">
        <v>123</v>
      </c>
      <c r="E616" s="100" t="s">
        <v>659</v>
      </c>
      <c r="F616" s="82" t="s">
        <v>138</v>
      </c>
      <c r="G616" s="27" t="s">
        <v>440</v>
      </c>
      <c r="H616" s="41">
        <v>46203</v>
      </c>
      <c r="I616" s="41">
        <v>46204</v>
      </c>
      <c r="J616" s="41">
        <v>46203</v>
      </c>
      <c r="K616" s="27" t="str">
        <f>IF(Table6[[#This Row],[Finish Date]]=0,"On process","Close")</f>
        <v>Close</v>
      </c>
      <c r="L616" s="27" t="str">
        <f>IF(Table6[[#This Row],[Status]]="On process",IF($H$2&gt;Table6[[#This Row],[Target Date]],"Overdue","On time"),"Closed")</f>
        <v>Closed</v>
      </c>
      <c r="M616" s="27" t="str" cm="1">
        <f t="array" ref="M616">_xlfn.IFS(Table6[[#This Row],[Finish Date]]=0,"",Table6[[#This Row],[Finish Date]]&gt;Table6[[#This Row],[Target Date]],"Delay",Table6[[#This Row],[Finish Date]]&lt;=Table6[[#This Row],[Target Date]],"On Time")</f>
        <v>On Time</v>
      </c>
      <c r="N616" s="101"/>
      <c r="O616" s="101"/>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row>
    <row r="617" spans="1:41" ht="21" customHeight="1">
      <c r="A617" s="27">
        <f>WEEKNUM(Table6[[#This Row],[Start Date]])</f>
        <v>27</v>
      </c>
      <c r="B617" s="27" t="str">
        <f>TEXT(Table6[[#This Row],[Start Date]],"mmm")</f>
        <v>Jun</v>
      </c>
      <c r="C617" s="27" t="str">
        <f>_xlfn.IFNA(INDEX(Refer!$B$5:$B$103,MATCH(Table6[[#This Row],[TASK]],Refer!$C$5:$C$103,0)),"")</f>
        <v>PACKING</v>
      </c>
      <c r="D617" s="93" t="s">
        <v>120</v>
      </c>
      <c r="E617" s="100" t="s">
        <v>660</v>
      </c>
      <c r="F617" s="82" t="s">
        <v>177</v>
      </c>
      <c r="G617" s="27" t="s">
        <v>440</v>
      </c>
      <c r="H617" s="41">
        <v>46203</v>
      </c>
      <c r="I617" s="41">
        <v>46204</v>
      </c>
      <c r="J617" s="41">
        <v>46203</v>
      </c>
      <c r="K617" s="27" t="str">
        <f>IF(Table6[[#This Row],[Finish Date]]=0,"On process","Close")</f>
        <v>Close</v>
      </c>
      <c r="L617" s="27" t="str">
        <f>IF(Table6[[#This Row],[Status]]="On process",IF($H$2&gt;Table6[[#This Row],[Target Date]],"Overdue","On time"),"Closed")</f>
        <v>Closed</v>
      </c>
      <c r="M617" s="27" t="str" cm="1">
        <f t="array" ref="M617">_xlfn.IFS(Table6[[#This Row],[Finish Date]]=0,"",Table6[[#This Row],[Finish Date]]&gt;Table6[[#This Row],[Target Date]],"Delay",Table6[[#This Row],[Finish Date]]&lt;=Table6[[#This Row],[Target Date]],"On Time")</f>
        <v>On Time</v>
      </c>
      <c r="N617" s="101"/>
      <c r="O617" s="101"/>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row>
    <row r="618" spans="1:41" ht="21" customHeight="1">
      <c r="A618" s="27">
        <f>WEEKNUM(Table6[[#This Row],[Start Date]])</f>
        <v>27</v>
      </c>
      <c r="B618" s="27" t="str">
        <f>TEXT(Table6[[#This Row],[Start Date]],"mmm")</f>
        <v>Jun</v>
      </c>
      <c r="C618" s="27" t="str">
        <f>_xlfn.IFNA(INDEX(Refer!$B$5:$B$103,MATCH(Table6[[#This Row],[TASK]],Refer!$C$5:$C$103,0)),"")</f>
        <v>PACKING</v>
      </c>
      <c r="D618" s="93" t="s">
        <v>112</v>
      </c>
      <c r="E618" s="100" t="s">
        <v>661</v>
      </c>
      <c r="F618" s="82" t="s">
        <v>254</v>
      </c>
      <c r="G618" s="27" t="s">
        <v>440</v>
      </c>
      <c r="H618" s="41">
        <v>46203</v>
      </c>
      <c r="I618" s="41">
        <v>46204</v>
      </c>
      <c r="J618" s="41">
        <v>46204</v>
      </c>
      <c r="K618" s="27" t="str">
        <f>IF(Table6[[#This Row],[Finish Date]]=0,"On process","Close")</f>
        <v>Close</v>
      </c>
      <c r="L618" s="27" t="str">
        <f>IF(Table6[[#This Row],[Status]]="On process",IF($H$2&gt;Table6[[#This Row],[Target Date]],"Overdue","On time"),"Closed")</f>
        <v>Closed</v>
      </c>
      <c r="M618" s="27" t="str" cm="1">
        <f t="array" ref="M618">_xlfn.IFS(Table6[[#This Row],[Finish Date]]=0,"",Table6[[#This Row],[Finish Date]]&gt;Table6[[#This Row],[Target Date]],"Delay",Table6[[#This Row],[Finish Date]]&lt;=Table6[[#This Row],[Target Date]],"On Time")</f>
        <v>On Time</v>
      </c>
      <c r="N618" s="101"/>
      <c r="O618" s="101"/>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row>
    <row r="619" spans="1:41" ht="21" customHeight="1">
      <c r="A619" s="27">
        <f>WEEKNUM(Table6[[#This Row],[Start Date]])</f>
        <v>27</v>
      </c>
      <c r="B619" s="27" t="str">
        <f>TEXT(Table6[[#This Row],[Start Date]],"mmm")</f>
        <v>Jun</v>
      </c>
      <c r="C619" s="27" t="str">
        <f>_xlfn.IFNA(INDEX(Refer!$B$5:$B$103,MATCH(Table6[[#This Row],[TASK]],Refer!$C$5:$C$103,0)),"")</f>
        <v>PACKING</v>
      </c>
      <c r="D619" s="93" t="s">
        <v>147</v>
      </c>
      <c r="E619" s="100" t="s">
        <v>662</v>
      </c>
      <c r="F619" s="82" t="s">
        <v>177</v>
      </c>
      <c r="G619" s="27" t="s">
        <v>440</v>
      </c>
      <c r="H619" s="41">
        <v>46203</v>
      </c>
      <c r="I619" s="41">
        <v>46205</v>
      </c>
      <c r="J619" s="41">
        <v>46205</v>
      </c>
      <c r="K619" s="27" t="str">
        <f>IF(Table6[[#This Row],[Finish Date]]=0,"On process","Close")</f>
        <v>Close</v>
      </c>
      <c r="L619" s="27" t="str">
        <f>IF(Table6[[#This Row],[Status]]="On process",IF($H$2&gt;Table6[[#This Row],[Target Date]],"Overdue","On time"),"Closed")</f>
        <v>Closed</v>
      </c>
      <c r="M619" s="27" t="str" cm="1">
        <f t="array" ref="M619">_xlfn.IFS(Table6[[#This Row],[Finish Date]]=0,"",Table6[[#This Row],[Finish Date]]&gt;Table6[[#This Row],[Target Date]],"Delay",Table6[[#This Row],[Finish Date]]&lt;=Table6[[#This Row],[Target Date]],"On Time")</f>
        <v>On Time</v>
      </c>
      <c r="N619" s="101"/>
      <c r="O619" s="101"/>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row>
    <row r="620" spans="1:41" ht="21" customHeight="1">
      <c r="A620" s="27">
        <f>WEEKNUM(Table6[[#This Row],[Start Date]])</f>
        <v>27</v>
      </c>
      <c r="B620" s="27" t="str">
        <f>TEXT(Table6[[#This Row],[Start Date]],"mmm")</f>
        <v>Jul</v>
      </c>
      <c r="C620" s="27" t="str">
        <f>_xlfn.IFNA(INDEX(Refer!$B$5:$B$103,MATCH(Table6[[#This Row],[TASK]],Refer!$C$5:$C$103,0)),"")</f>
        <v>PACKING</v>
      </c>
      <c r="D620" s="93" t="s">
        <v>120</v>
      </c>
      <c r="E620" s="100" t="s">
        <v>663</v>
      </c>
      <c r="F620" s="82"/>
      <c r="G620" s="27" t="s">
        <v>440</v>
      </c>
      <c r="H620" s="41">
        <v>46204</v>
      </c>
      <c r="I620" s="41">
        <v>46204</v>
      </c>
      <c r="J620" s="41">
        <v>46204</v>
      </c>
      <c r="K620" s="27" t="str">
        <f>IF(Table6[[#This Row],[Finish Date]]=0,"On process","Close")</f>
        <v>Close</v>
      </c>
      <c r="L620" s="27" t="str">
        <f>IF(Table6[[#This Row],[Status]]="On process",IF($H$2&gt;Table6[[#This Row],[Target Date]],"Overdue","On time"),"Closed")</f>
        <v>Closed</v>
      </c>
      <c r="M620" s="27" t="str" cm="1">
        <f t="array" ref="M620">_xlfn.IFS(Table6[[#This Row],[Finish Date]]=0,"",Table6[[#This Row],[Finish Date]]&gt;Table6[[#This Row],[Target Date]],"Delay",Table6[[#This Row],[Finish Date]]&lt;=Table6[[#This Row],[Target Date]],"On Time")</f>
        <v>On Time</v>
      </c>
      <c r="N620" s="101"/>
      <c r="O620" s="101"/>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row>
    <row r="621" spans="1:41" ht="21" customHeight="1">
      <c r="A621" s="27">
        <f>WEEKNUM(Table6[[#This Row],[Start Date]])</f>
        <v>27</v>
      </c>
      <c r="B621" s="27" t="str">
        <f>TEXT(Table6[[#This Row],[Start Date]],"mmm")</f>
        <v>Jul</v>
      </c>
      <c r="C621" s="27" t="str">
        <f>_xlfn.IFNA(INDEX(Refer!$B$5:$B$103,MATCH(Table6[[#This Row],[TASK]],Refer!$C$5:$C$103,0)),"")</f>
        <v>RFQ</v>
      </c>
      <c r="D621" s="93" t="s">
        <v>123</v>
      </c>
      <c r="E621" s="100" t="s">
        <v>664</v>
      </c>
      <c r="F621" s="82" t="s">
        <v>649</v>
      </c>
      <c r="G621" s="27" t="s">
        <v>440</v>
      </c>
      <c r="H621" s="41">
        <v>46205</v>
      </c>
      <c r="I621" s="41">
        <v>46206</v>
      </c>
      <c r="J621" s="41">
        <v>46205</v>
      </c>
      <c r="K621" s="27" t="str">
        <f>IF(Table6[[#This Row],[Finish Date]]=0,"On process","Close")</f>
        <v>Close</v>
      </c>
      <c r="L621" s="27" t="str">
        <f>IF(Table6[[#This Row],[Status]]="On process",IF($H$2&gt;Table6[[#This Row],[Target Date]],"Overdue","On time"),"Closed")</f>
        <v>Closed</v>
      </c>
      <c r="M621" s="27" t="str" cm="1">
        <f t="array" ref="M621">_xlfn.IFS(Table6[[#This Row],[Finish Date]]=0,"",Table6[[#This Row],[Finish Date]]&gt;Table6[[#This Row],[Target Date]],"Delay",Table6[[#This Row],[Finish Date]]&lt;=Table6[[#This Row],[Target Date]],"On Time")</f>
        <v>On Time</v>
      </c>
      <c r="N621" s="101"/>
      <c r="O621" s="101"/>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row>
    <row r="622" spans="1:41" ht="21" customHeight="1">
      <c r="A622" s="27">
        <f>WEEKNUM(Table6[[#This Row],[Start Date]])</f>
        <v>27</v>
      </c>
      <c r="B622" s="27" t="str">
        <f>TEXT(Table6[[#This Row],[Start Date]],"mmm")</f>
        <v>Jul</v>
      </c>
      <c r="C622" s="27" t="str">
        <f>_xlfn.IFNA(INDEX(Refer!$B$5:$B$103,MATCH(Table6[[#This Row],[TASK]],Refer!$C$5:$C$103,0)),"")</f>
        <v>PACKING</v>
      </c>
      <c r="D622" s="93" t="s">
        <v>147</v>
      </c>
      <c r="E622" s="100" t="s">
        <v>665</v>
      </c>
      <c r="F622" s="82" t="s">
        <v>206</v>
      </c>
      <c r="G622" s="27" t="s">
        <v>440</v>
      </c>
      <c r="H622" s="41">
        <v>46206</v>
      </c>
      <c r="I622" s="41">
        <v>46206</v>
      </c>
      <c r="J622" s="41">
        <v>46206</v>
      </c>
      <c r="K622" s="27" t="str">
        <f>IF(Table6[[#This Row],[Finish Date]]=0,"On process","Close")</f>
        <v>Close</v>
      </c>
      <c r="L622" s="27" t="str">
        <f>IF(Table6[[#This Row],[Status]]="On process",IF($H$2&gt;Table6[[#This Row],[Target Date]],"Overdue","On time"),"Closed")</f>
        <v>Closed</v>
      </c>
      <c r="M622" s="27" t="str" cm="1">
        <f t="array" ref="M622">_xlfn.IFS(Table6[[#This Row],[Finish Date]]=0,"",Table6[[#This Row],[Finish Date]]&gt;Table6[[#This Row],[Target Date]],"Delay",Table6[[#This Row],[Finish Date]]&lt;=Table6[[#This Row],[Target Date]],"On Time")</f>
        <v>On Time</v>
      </c>
      <c r="N622" s="101"/>
      <c r="O622" s="101"/>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row>
    <row r="623" spans="1:41" ht="21" customHeight="1">
      <c r="A623" s="27">
        <f>WEEKNUM(Table6[[#This Row],[Start Date]])</f>
        <v>27</v>
      </c>
      <c r="B623" s="27" t="str">
        <f>TEXT(Table6[[#This Row],[Start Date]],"mmm")</f>
        <v>Jun</v>
      </c>
      <c r="C623" s="27" t="str">
        <f>_xlfn.IFNA(INDEX(Refer!$B$5:$B$103,MATCH(Table6[[#This Row],[TASK]],Refer!$C$5:$C$103,0)),"")</f>
        <v>NPI</v>
      </c>
      <c r="D623" s="93" t="s">
        <v>61</v>
      </c>
      <c r="E623" s="100" t="s">
        <v>666</v>
      </c>
      <c r="F623" s="82" t="s">
        <v>407</v>
      </c>
      <c r="G623" s="27" t="s">
        <v>64</v>
      </c>
      <c r="H623" s="41">
        <v>46202</v>
      </c>
      <c r="I623" s="41">
        <v>46202</v>
      </c>
      <c r="J623" s="41">
        <v>46202</v>
      </c>
      <c r="K623" s="27" t="str">
        <f>IF(Table6[[#This Row],[Finish Date]]=0,"On process","Close")</f>
        <v>Close</v>
      </c>
      <c r="L623" s="27" t="str">
        <f>IF(Table6[[#This Row],[Status]]="On process",IF($H$2&gt;Table6[[#This Row],[Target Date]],"Overdue","On time"),"Closed")</f>
        <v>Closed</v>
      </c>
      <c r="M623" s="27" t="str" cm="1">
        <f t="array" ref="M623">_xlfn.IFS(Table6[[#This Row],[Finish Date]]=0,"",Table6[[#This Row],[Finish Date]]&gt;Table6[[#This Row],[Target Date]],"Delay",Table6[[#This Row],[Finish Date]]&lt;=Table6[[#This Row],[Target Date]],"On Time")</f>
        <v>On Time</v>
      </c>
      <c r="N623" s="101"/>
      <c r="O623" s="101"/>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row>
    <row r="624" spans="1:41" ht="21" customHeight="1">
      <c r="A624" s="27">
        <f>WEEKNUM(Table6[[#This Row],[Start Date]])</f>
        <v>27</v>
      </c>
      <c r="B624" s="27" t="str">
        <f>TEXT(Table6[[#This Row],[Start Date]],"mmm")</f>
        <v>Jun</v>
      </c>
      <c r="C624" s="27" t="str">
        <f>_xlfn.IFNA(INDEX(Refer!$B$5:$B$103,MATCH(Table6[[#This Row],[TASK]],Refer!$C$5:$C$103,0)),"")</f>
        <v>NPI</v>
      </c>
      <c r="D624" s="93" t="s">
        <v>61</v>
      </c>
      <c r="E624" s="100" t="s">
        <v>667</v>
      </c>
      <c r="F624" s="82" t="s">
        <v>66</v>
      </c>
      <c r="G624" s="27" t="s">
        <v>64</v>
      </c>
      <c r="H624" s="41">
        <v>46202</v>
      </c>
      <c r="I624" s="41">
        <v>46202</v>
      </c>
      <c r="J624" s="41">
        <v>46202</v>
      </c>
      <c r="K624" s="27" t="str">
        <f>IF(Table6[[#This Row],[Finish Date]]=0,"On process","Close")</f>
        <v>Close</v>
      </c>
      <c r="L624" s="27" t="str">
        <f>IF(Table6[[#This Row],[Status]]="On process",IF($H$2&gt;Table6[[#This Row],[Target Date]],"Overdue","On time"),"Closed")</f>
        <v>Closed</v>
      </c>
      <c r="M624" s="27" t="str" cm="1">
        <f t="array" ref="M624">_xlfn.IFS(Table6[[#This Row],[Finish Date]]=0,"",Table6[[#This Row],[Finish Date]]&gt;Table6[[#This Row],[Target Date]],"Delay",Table6[[#This Row],[Finish Date]]&lt;=Table6[[#This Row],[Target Date]],"On Time")</f>
        <v>On Time</v>
      </c>
      <c r="N624" s="101"/>
      <c r="O624" s="101"/>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row>
    <row r="625" spans="1:41" ht="21" customHeight="1">
      <c r="A625" s="27">
        <f>WEEKNUM(Table6[[#This Row],[Start Date]])</f>
        <v>27</v>
      </c>
      <c r="B625" s="27" t="str">
        <f>TEXT(Table6[[#This Row],[Start Date]],"mmm")</f>
        <v>Jun</v>
      </c>
      <c r="C625" s="27" t="str">
        <f>_xlfn.IFNA(INDEX(Refer!$B$5:$B$103,MATCH(Table6[[#This Row],[TASK]],Refer!$C$5:$C$103,0)),"")</f>
        <v>MEETING</v>
      </c>
      <c r="D625" s="93" t="s">
        <v>72</v>
      </c>
      <c r="E625" s="100" t="s">
        <v>619</v>
      </c>
      <c r="F625" s="82" t="s">
        <v>66</v>
      </c>
      <c r="G625" s="27" t="s">
        <v>64</v>
      </c>
      <c r="H625" s="41">
        <v>46202</v>
      </c>
      <c r="I625" s="41">
        <v>46202</v>
      </c>
      <c r="J625" s="41">
        <v>46202</v>
      </c>
      <c r="K625" s="27" t="str">
        <f>IF(Table6[[#This Row],[Finish Date]]=0,"On process","Close")</f>
        <v>Close</v>
      </c>
      <c r="L625" s="27" t="str">
        <f>IF(Table6[[#This Row],[Status]]="On process",IF($H$2&gt;Table6[[#This Row],[Target Date]],"Overdue","On time"),"Closed")</f>
        <v>Closed</v>
      </c>
      <c r="M625" s="27" t="str" cm="1">
        <f t="array" ref="M625">_xlfn.IFS(Table6[[#This Row],[Finish Date]]=0,"",Table6[[#This Row],[Finish Date]]&gt;Table6[[#This Row],[Target Date]],"Delay",Table6[[#This Row],[Finish Date]]&lt;=Table6[[#This Row],[Target Date]],"On Time")</f>
        <v>On Time</v>
      </c>
      <c r="N625" s="101"/>
      <c r="O625" s="101"/>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row>
    <row r="626" spans="1:41" ht="21" customHeight="1">
      <c r="A626" s="27">
        <f>WEEKNUM(Table6[[#This Row],[Start Date]])</f>
        <v>27</v>
      </c>
      <c r="B626" s="27" t="str">
        <f>TEXT(Table6[[#This Row],[Start Date]],"mmm")</f>
        <v>Jun</v>
      </c>
      <c r="C626" s="27" t="str">
        <f>_xlfn.IFNA(INDEX(Refer!$B$5:$B$103,MATCH(Table6[[#This Row],[TASK]],Refer!$C$5:$C$103,0)),"")</f>
        <v>NPI</v>
      </c>
      <c r="D626" s="93" t="s">
        <v>61</v>
      </c>
      <c r="E626" s="100" t="s">
        <v>668</v>
      </c>
      <c r="F626" s="82"/>
      <c r="G626" s="27" t="s">
        <v>64</v>
      </c>
      <c r="H626" s="41">
        <v>46203</v>
      </c>
      <c r="I626" s="41">
        <v>46203</v>
      </c>
      <c r="J626" s="41">
        <v>46203</v>
      </c>
      <c r="K626" s="27" t="str">
        <f>IF(Table6[[#This Row],[Finish Date]]=0,"On process","Close")</f>
        <v>Close</v>
      </c>
      <c r="L626" s="27" t="str">
        <f>IF(Table6[[#This Row],[Status]]="On process",IF($H$2&gt;Table6[[#This Row],[Target Date]],"Overdue","On time"),"Closed")</f>
        <v>Closed</v>
      </c>
      <c r="M626" s="27" t="str" cm="1">
        <f t="array" ref="M626">_xlfn.IFS(Table6[[#This Row],[Finish Date]]=0,"",Table6[[#This Row],[Finish Date]]&gt;Table6[[#This Row],[Target Date]],"Delay",Table6[[#This Row],[Finish Date]]&lt;=Table6[[#This Row],[Target Date]],"On Time")</f>
        <v>On Time</v>
      </c>
      <c r="N626" s="101"/>
      <c r="O626" s="101"/>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row>
    <row r="627" spans="1:41" ht="21" customHeight="1">
      <c r="A627" s="27">
        <f>WEEKNUM(Table6[[#This Row],[Start Date]])</f>
        <v>27</v>
      </c>
      <c r="B627" s="27" t="str">
        <f>TEXT(Table6[[#This Row],[Start Date]],"mmm")</f>
        <v>Jun</v>
      </c>
      <c r="C627" s="27" t="str">
        <f>_xlfn.IFNA(INDEX(Refer!$B$5:$B$103,MATCH(Table6[[#This Row],[TASK]],Refer!$C$5:$C$103,0)),"")</f>
        <v>NPI</v>
      </c>
      <c r="D627" s="93" t="s">
        <v>61</v>
      </c>
      <c r="E627" s="100" t="s">
        <v>669</v>
      </c>
      <c r="F627" s="82" t="s">
        <v>66</v>
      </c>
      <c r="G627" s="27" t="s">
        <v>64</v>
      </c>
      <c r="H627" s="41">
        <v>46202</v>
      </c>
      <c r="I627" s="41">
        <v>46203</v>
      </c>
      <c r="J627" s="41">
        <v>46202</v>
      </c>
      <c r="K627" s="27" t="str">
        <f>IF(Table6[[#This Row],[Finish Date]]=0,"On process","Close")</f>
        <v>Close</v>
      </c>
      <c r="L627" s="27" t="str">
        <f>IF(Table6[[#This Row],[Status]]="On process",IF($H$2&gt;Table6[[#This Row],[Target Date]],"Overdue","On time"),"Closed")</f>
        <v>Closed</v>
      </c>
      <c r="M627" s="27" t="str" cm="1">
        <f t="array" ref="M627">_xlfn.IFS(Table6[[#This Row],[Finish Date]]=0,"",Table6[[#This Row],[Finish Date]]&gt;Table6[[#This Row],[Target Date]],"Delay",Table6[[#This Row],[Finish Date]]&lt;=Table6[[#This Row],[Target Date]],"On Time")</f>
        <v>On Time</v>
      </c>
      <c r="N627" s="101"/>
      <c r="O627" s="101"/>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row>
    <row r="628" spans="1:41" ht="21" customHeight="1">
      <c r="A628" s="27">
        <f>WEEKNUM(Table6[[#This Row],[Start Date]])</f>
        <v>27</v>
      </c>
      <c r="B628" s="27" t="str">
        <f>TEXT(Table6[[#This Row],[Start Date]],"mmm")</f>
        <v>Jun</v>
      </c>
      <c r="C628" s="27" t="str">
        <f>_xlfn.IFNA(INDEX(Refer!$B$5:$B$103,MATCH(Table6[[#This Row],[TASK]],Refer!$C$5:$C$103,0)),"")</f>
        <v>NPI</v>
      </c>
      <c r="D628" s="93" t="s">
        <v>61</v>
      </c>
      <c r="E628" s="100" t="s">
        <v>670</v>
      </c>
      <c r="F628" s="82" t="s">
        <v>66</v>
      </c>
      <c r="G628" s="27" t="s">
        <v>64</v>
      </c>
      <c r="H628" s="41">
        <v>46203</v>
      </c>
      <c r="I628" s="41">
        <v>46205</v>
      </c>
      <c r="J628" s="41">
        <v>46205</v>
      </c>
      <c r="K628" s="27" t="str">
        <f>IF(Table6[[#This Row],[Finish Date]]=0,"On process","Close")</f>
        <v>Close</v>
      </c>
      <c r="L628" s="27" t="str">
        <f>IF(Table6[[#This Row],[Status]]="On process",IF($H$2&gt;Table6[[#This Row],[Target Date]],"Overdue","On time"),"Closed")</f>
        <v>Closed</v>
      </c>
      <c r="M628" s="27" t="str" cm="1">
        <f t="array" ref="M628">_xlfn.IFS(Table6[[#This Row],[Finish Date]]=0,"",Table6[[#This Row],[Finish Date]]&gt;Table6[[#This Row],[Target Date]],"Delay",Table6[[#This Row],[Finish Date]]&lt;=Table6[[#This Row],[Target Date]],"On Time")</f>
        <v>On Time</v>
      </c>
      <c r="N628" s="101"/>
      <c r="O628" s="101"/>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row>
    <row r="629" spans="1:41" ht="21" customHeight="1">
      <c r="A629" s="27">
        <f>WEEKNUM(Table6[[#This Row],[Start Date]])</f>
        <v>27</v>
      </c>
      <c r="B629" s="27" t="str">
        <f>TEXT(Table6[[#This Row],[Start Date]],"mmm")</f>
        <v>Jul</v>
      </c>
      <c r="C629" s="27" t="str">
        <f>_xlfn.IFNA(INDEX(Refer!$B$5:$B$103,MATCH(Table6[[#This Row],[TASK]],Refer!$C$5:$C$103,0)),"")</f>
        <v>MEETING</v>
      </c>
      <c r="D629" s="93" t="s">
        <v>72</v>
      </c>
      <c r="E629" s="100" t="s">
        <v>671</v>
      </c>
      <c r="F629" s="82"/>
      <c r="G629" s="27" t="s">
        <v>64</v>
      </c>
      <c r="H629" s="41">
        <v>46204</v>
      </c>
      <c r="I629" s="41">
        <v>46204</v>
      </c>
      <c r="J629" s="41">
        <v>46204</v>
      </c>
      <c r="K629" s="27" t="str">
        <f>IF(Table6[[#This Row],[Finish Date]]=0,"On process","Close")</f>
        <v>Close</v>
      </c>
      <c r="L629" s="27" t="str">
        <f>IF(Table6[[#This Row],[Status]]="On process",IF($H$2&gt;Table6[[#This Row],[Target Date]],"Overdue","On time"),"Closed")</f>
        <v>Closed</v>
      </c>
      <c r="M629" s="27" t="str" cm="1">
        <f t="array" ref="M629">_xlfn.IFS(Table6[[#This Row],[Finish Date]]=0,"",Table6[[#This Row],[Finish Date]]&gt;Table6[[#This Row],[Target Date]],"Delay",Table6[[#This Row],[Finish Date]]&lt;=Table6[[#This Row],[Target Date]],"On Time")</f>
        <v>On Time</v>
      </c>
      <c r="N629" s="101"/>
      <c r="O629" s="101"/>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row>
    <row r="630" spans="1:41" ht="21" customHeight="1">
      <c r="A630" s="27">
        <f>WEEKNUM(Table6[[#This Row],[Start Date]])</f>
        <v>27</v>
      </c>
      <c r="B630" s="27" t="str">
        <f>TEXT(Table6[[#This Row],[Start Date]],"mmm")</f>
        <v>Jul</v>
      </c>
      <c r="C630" s="27" t="str">
        <f>_xlfn.IFNA(INDEX(Refer!$B$5:$B$103,MATCH(Table6[[#This Row],[TASK]],Refer!$C$5:$C$103,0)),"")</f>
        <v>NPI</v>
      </c>
      <c r="D630" s="93" t="s">
        <v>521</v>
      </c>
      <c r="E630" s="100" t="s">
        <v>672</v>
      </c>
      <c r="F630" s="82" t="s">
        <v>66</v>
      </c>
      <c r="G630" s="27" t="s">
        <v>64</v>
      </c>
      <c r="H630" s="41">
        <v>46204</v>
      </c>
      <c r="I630" s="41">
        <v>46204</v>
      </c>
      <c r="J630" s="41">
        <v>46204</v>
      </c>
      <c r="K630" s="27" t="str">
        <f>IF(Table6[[#This Row],[Finish Date]]=0,"On process","Close")</f>
        <v>Close</v>
      </c>
      <c r="L630" s="27" t="str">
        <f>IF(Table6[[#This Row],[Status]]="On process",IF($H$2&gt;Table6[[#This Row],[Target Date]],"Overdue","On time"),"Closed")</f>
        <v>Closed</v>
      </c>
      <c r="M630" s="27" t="str" cm="1">
        <f t="array" ref="M630">_xlfn.IFS(Table6[[#This Row],[Finish Date]]=0,"",Table6[[#This Row],[Finish Date]]&gt;Table6[[#This Row],[Target Date]],"Delay",Table6[[#This Row],[Finish Date]]&lt;=Table6[[#This Row],[Target Date]],"On Time")</f>
        <v>On Time</v>
      </c>
      <c r="N630" s="101"/>
      <c r="O630" s="101"/>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row>
    <row r="631" spans="1:41" ht="21" customHeight="1">
      <c r="A631" s="27">
        <f>WEEKNUM(Table6[[#This Row],[Start Date]])</f>
        <v>27</v>
      </c>
      <c r="B631" s="27" t="str">
        <f>TEXT(Table6[[#This Row],[Start Date]],"mmm")</f>
        <v>Jul</v>
      </c>
      <c r="C631" s="27" t="str">
        <f>_xlfn.IFNA(INDEX(Refer!$B$5:$B$103,MATCH(Table6[[#This Row],[TASK]],Refer!$C$5:$C$103,0)),"")</f>
        <v>NPI</v>
      </c>
      <c r="D631" s="93" t="s">
        <v>61</v>
      </c>
      <c r="E631" s="100" t="s">
        <v>673</v>
      </c>
      <c r="F631" s="82" t="s">
        <v>66</v>
      </c>
      <c r="G631" s="27" t="s">
        <v>64</v>
      </c>
      <c r="H631" s="41">
        <v>46204</v>
      </c>
      <c r="I631" s="41">
        <v>46204</v>
      </c>
      <c r="J631" s="41">
        <v>46204</v>
      </c>
      <c r="K631" s="27" t="str">
        <f>IF(Table6[[#This Row],[Finish Date]]=0,"On process","Close")</f>
        <v>Close</v>
      </c>
      <c r="L631" s="27" t="str">
        <f>IF(Table6[[#This Row],[Status]]="On process",IF($H$2&gt;Table6[[#This Row],[Target Date]],"Overdue","On time"),"Closed")</f>
        <v>Closed</v>
      </c>
      <c r="M631" s="27" t="str" cm="1">
        <f t="array" ref="M631">_xlfn.IFS(Table6[[#This Row],[Finish Date]]=0,"",Table6[[#This Row],[Finish Date]]&gt;Table6[[#This Row],[Target Date]],"Delay",Table6[[#This Row],[Finish Date]]&lt;=Table6[[#This Row],[Target Date]],"On Time")</f>
        <v>On Time</v>
      </c>
      <c r="N631" s="101"/>
      <c r="O631" s="101"/>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row>
    <row r="632" spans="1:41" ht="21" customHeight="1">
      <c r="A632" s="27">
        <f>WEEKNUM(Table6[[#This Row],[Start Date]])</f>
        <v>27</v>
      </c>
      <c r="B632" s="27" t="str">
        <f>TEXT(Table6[[#This Row],[Start Date]],"mmm")</f>
        <v>Jul</v>
      </c>
      <c r="C632" s="27" t="str">
        <f>_xlfn.IFNA(INDEX(Refer!$B$5:$B$103,MATCH(Table6[[#This Row],[TASK]],Refer!$C$5:$C$103,0)),"")</f>
        <v>NPI</v>
      </c>
      <c r="D632" s="93" t="s">
        <v>61</v>
      </c>
      <c r="E632" s="100" t="s">
        <v>674</v>
      </c>
      <c r="F632" s="82" t="s">
        <v>138</v>
      </c>
      <c r="G632" s="27" t="s">
        <v>64</v>
      </c>
      <c r="H632" s="41">
        <v>46204</v>
      </c>
      <c r="I632" s="41">
        <v>46204</v>
      </c>
      <c r="J632" s="41">
        <v>46204</v>
      </c>
      <c r="K632" s="27" t="str">
        <f>IF(Table6[[#This Row],[Finish Date]]=0,"On process","Close")</f>
        <v>Close</v>
      </c>
      <c r="L632" s="27" t="str">
        <f>IF(Table6[[#This Row],[Status]]="On process",IF($H$2&gt;Table6[[#This Row],[Target Date]],"Overdue","On time"),"Closed")</f>
        <v>Closed</v>
      </c>
      <c r="M632" s="27" t="str" cm="1">
        <f t="array" ref="M632">_xlfn.IFS(Table6[[#This Row],[Finish Date]]=0,"",Table6[[#This Row],[Finish Date]]&gt;Table6[[#This Row],[Target Date]],"Delay",Table6[[#This Row],[Finish Date]]&lt;=Table6[[#This Row],[Target Date]],"On Time")</f>
        <v>On Time</v>
      </c>
      <c r="N632" s="101"/>
      <c r="O632" s="101"/>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row>
    <row r="633" spans="1:41" ht="21" customHeight="1">
      <c r="A633" s="27">
        <f>WEEKNUM(Table6[[#This Row],[Start Date]])</f>
        <v>27</v>
      </c>
      <c r="B633" s="27" t="str">
        <f>TEXT(Table6[[#This Row],[Start Date]],"mmm")</f>
        <v>Jul</v>
      </c>
      <c r="C633" s="27" t="str">
        <f>_xlfn.IFNA(INDEX(Refer!$B$5:$B$103,MATCH(Table6[[#This Row],[TASK]],Refer!$C$5:$C$103,0)),"")</f>
        <v>NPI</v>
      </c>
      <c r="D633" s="93" t="s">
        <v>675</v>
      </c>
      <c r="E633" s="100" t="s">
        <v>676</v>
      </c>
      <c r="F633" s="82" t="s">
        <v>66</v>
      </c>
      <c r="G633" s="27" t="s">
        <v>64</v>
      </c>
      <c r="H633" s="41">
        <v>46205</v>
      </c>
      <c r="I633" s="41">
        <v>46205</v>
      </c>
      <c r="J633" s="41">
        <v>46205</v>
      </c>
      <c r="K633" s="27" t="str">
        <f>IF(Table6[[#This Row],[Finish Date]]=0,"On process","Close")</f>
        <v>Close</v>
      </c>
      <c r="L633" s="27" t="str">
        <f>IF(Table6[[#This Row],[Status]]="On process",IF($H$2&gt;Table6[[#This Row],[Target Date]],"Overdue","On time"),"Closed")</f>
        <v>Closed</v>
      </c>
      <c r="M633" s="27" t="str" cm="1">
        <f t="array" ref="M633">_xlfn.IFS(Table6[[#This Row],[Finish Date]]=0,"",Table6[[#This Row],[Finish Date]]&gt;Table6[[#This Row],[Target Date]],"Delay",Table6[[#This Row],[Finish Date]]&lt;=Table6[[#This Row],[Target Date]],"On Time")</f>
        <v>On Time</v>
      </c>
      <c r="N633" s="101"/>
      <c r="O633" s="101"/>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row>
    <row r="634" spans="1:41" ht="21" customHeight="1">
      <c r="A634" s="27">
        <f>WEEKNUM(Table6[[#This Row],[Start Date]])</f>
        <v>27</v>
      </c>
      <c r="B634" s="27" t="str">
        <f>TEXT(Table6[[#This Row],[Start Date]],"mmm")</f>
        <v>Jul</v>
      </c>
      <c r="C634" s="27" t="str">
        <f>_xlfn.IFNA(INDEX(Refer!$B$5:$B$103,MATCH(Table6[[#This Row],[TASK]],Refer!$C$5:$C$103,0)),"")</f>
        <v>NPI</v>
      </c>
      <c r="D634" s="93" t="s">
        <v>61</v>
      </c>
      <c r="E634" s="100" t="s">
        <v>677</v>
      </c>
      <c r="F634" s="82" t="s">
        <v>138</v>
      </c>
      <c r="G634" s="27" t="s">
        <v>64</v>
      </c>
      <c r="H634" s="41">
        <v>46206</v>
      </c>
      <c r="I634" s="41">
        <v>46206</v>
      </c>
      <c r="J634" s="41">
        <v>46206</v>
      </c>
      <c r="K634" s="27" t="str">
        <f>IF(Table6[[#This Row],[Finish Date]]=0,"On process","Close")</f>
        <v>Close</v>
      </c>
      <c r="L634" s="27" t="str">
        <f>IF(Table6[[#This Row],[Status]]="On process",IF($H$2&gt;Table6[[#This Row],[Target Date]],"Overdue","On time"),"Closed")</f>
        <v>Closed</v>
      </c>
      <c r="M634" s="27" t="str" cm="1">
        <f t="array" ref="M634">_xlfn.IFS(Table6[[#This Row],[Finish Date]]=0,"",Table6[[#This Row],[Finish Date]]&gt;Table6[[#This Row],[Target Date]],"Delay",Table6[[#This Row],[Finish Date]]&lt;=Table6[[#This Row],[Target Date]],"On Time")</f>
        <v>On Time</v>
      </c>
      <c r="N634" s="101"/>
      <c r="O634" s="101"/>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row>
    <row r="635" spans="1:41" ht="21" customHeight="1">
      <c r="A635" s="27">
        <f>WEEKNUM(Table6[[#This Row],[Start Date]])</f>
        <v>27</v>
      </c>
      <c r="B635" s="27" t="str">
        <f>TEXT(Table6[[#This Row],[Start Date]],"mmm")</f>
        <v>Jul</v>
      </c>
      <c r="C635" s="27" t="str">
        <f>_xlfn.IFNA(INDEX(Refer!$B$5:$B$103,MATCH(Table6[[#This Row],[TASK]],Refer!$C$5:$C$103,0)),"")</f>
        <v>NPI</v>
      </c>
      <c r="D635" s="93" t="s">
        <v>61</v>
      </c>
      <c r="E635" s="100" t="s">
        <v>678</v>
      </c>
      <c r="F635" s="82"/>
      <c r="G635" s="27" t="s">
        <v>64</v>
      </c>
      <c r="H635" s="41">
        <v>46206</v>
      </c>
      <c r="I635" s="41">
        <v>46206</v>
      </c>
      <c r="J635" s="41">
        <v>46206</v>
      </c>
      <c r="K635" s="27" t="str">
        <f>IF(Table6[[#This Row],[Finish Date]]=0,"On process","Close")</f>
        <v>Close</v>
      </c>
      <c r="L635" s="27" t="str">
        <f>IF(Table6[[#This Row],[Status]]="On process",IF($H$2&gt;Table6[[#This Row],[Target Date]],"Overdue","On time"),"Closed")</f>
        <v>Closed</v>
      </c>
      <c r="M635" s="27" t="str" cm="1">
        <f t="array" ref="M635">_xlfn.IFS(Table6[[#This Row],[Finish Date]]=0,"",Table6[[#This Row],[Finish Date]]&gt;Table6[[#This Row],[Target Date]],"Delay",Table6[[#This Row],[Finish Date]]&lt;=Table6[[#This Row],[Target Date]],"On Time")</f>
        <v>On Time</v>
      </c>
      <c r="N635" s="101"/>
      <c r="O635" s="101"/>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row>
    <row r="636" spans="1:41" ht="21" customHeight="1">
      <c r="A636" s="27">
        <f>WEEKNUM(Table6[[#This Row],[Start Date]])</f>
        <v>27</v>
      </c>
      <c r="B636" s="27" t="str">
        <f>TEXT(Table6[[#This Row],[Start Date]],"mmm")</f>
        <v>Jun</v>
      </c>
      <c r="C636" s="27" t="str">
        <f>_xlfn.IFNA(INDEX(Refer!$B$5:$B$103,MATCH(Table6[[#This Row],[TASK]],Refer!$C$5:$C$103,0)),"")</f>
        <v>MEETING</v>
      </c>
      <c r="D636" s="93" t="s">
        <v>72</v>
      </c>
      <c r="E636" s="100" t="s">
        <v>619</v>
      </c>
      <c r="F636" s="82" t="s">
        <v>66</v>
      </c>
      <c r="G636" s="27" t="s">
        <v>479</v>
      </c>
      <c r="H636" s="41">
        <v>46202</v>
      </c>
      <c r="I636" s="41">
        <v>46202</v>
      </c>
      <c r="J636" s="41">
        <v>46202</v>
      </c>
      <c r="K636" s="27" t="str">
        <f>IF(Table6[[#This Row],[Finish Date]]=0,"On process","Close")</f>
        <v>Close</v>
      </c>
      <c r="L636" s="27" t="str">
        <f>IF(Table6[[#This Row],[Status]]="On process",IF($H$2&gt;Table6[[#This Row],[Target Date]],"Overdue","On time"),"Closed")</f>
        <v>Closed</v>
      </c>
      <c r="M636" s="27" t="str" cm="1">
        <f t="array" ref="M636">_xlfn.IFS(Table6[[#This Row],[Finish Date]]=0,"",Table6[[#This Row],[Finish Date]]&gt;Table6[[#This Row],[Target Date]],"Delay",Table6[[#This Row],[Finish Date]]&lt;=Table6[[#This Row],[Target Date]],"On Time")</f>
        <v>On Time</v>
      </c>
      <c r="N636" s="101"/>
      <c r="O636" s="101"/>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row>
    <row r="637" spans="1:41" ht="21" customHeight="1">
      <c r="A637" s="27">
        <f>WEEKNUM(Table6[[#This Row],[Start Date]])</f>
        <v>27</v>
      </c>
      <c r="B637" s="27" t="str">
        <f>TEXT(Table6[[#This Row],[Start Date]],"mmm")</f>
        <v>Jun</v>
      </c>
      <c r="C637" s="27" t="str">
        <f>_xlfn.IFNA(INDEX(Refer!$B$5:$B$103,MATCH(Table6[[#This Row],[TASK]],Refer!$C$5:$C$103,0)),"")</f>
        <v>PACKING</v>
      </c>
      <c r="D637" s="93" t="s">
        <v>511</v>
      </c>
      <c r="E637" s="100" t="s">
        <v>679</v>
      </c>
      <c r="F637" s="82" t="s">
        <v>254</v>
      </c>
      <c r="G637" s="27" t="s">
        <v>479</v>
      </c>
      <c r="H637" s="41">
        <v>46202</v>
      </c>
      <c r="I637" s="41">
        <v>46203</v>
      </c>
      <c r="J637" s="41">
        <v>46202</v>
      </c>
      <c r="K637" s="27" t="str">
        <f>IF(Table6[[#This Row],[Finish Date]]=0,"On process","Close")</f>
        <v>Close</v>
      </c>
      <c r="L637" s="27" t="str">
        <f>IF(Table6[[#This Row],[Status]]="On process",IF($H$2&gt;Table6[[#This Row],[Target Date]],"Overdue","On time"),"Closed")</f>
        <v>Closed</v>
      </c>
      <c r="M637" s="27" t="str" cm="1">
        <f t="array" ref="M637">_xlfn.IFS(Table6[[#This Row],[Finish Date]]=0,"",Table6[[#This Row],[Finish Date]]&gt;Table6[[#This Row],[Target Date]],"Delay",Table6[[#This Row],[Finish Date]]&lt;=Table6[[#This Row],[Target Date]],"On Time")</f>
        <v>On Time</v>
      </c>
      <c r="N637" s="101"/>
      <c r="O637" s="101"/>
      <c r="P637" s="78"/>
      <c r="Q637" s="78"/>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row>
    <row r="638" spans="1:41" ht="21" customHeight="1">
      <c r="A638" s="27">
        <f>WEEKNUM(Table6[[#This Row],[Start Date]])</f>
        <v>27</v>
      </c>
      <c r="B638" s="27" t="str">
        <f>TEXT(Table6[[#This Row],[Start Date]],"mmm")</f>
        <v>Jun</v>
      </c>
      <c r="C638" s="27" t="str">
        <f>_xlfn.IFNA(INDEX(Refer!$B$5:$B$103,MATCH(Table6[[#This Row],[TASK]],Refer!$C$5:$C$103,0)),"")</f>
        <v>Part DFM</v>
      </c>
      <c r="D638" s="93" t="s">
        <v>447</v>
      </c>
      <c r="E638" s="100" t="s">
        <v>680</v>
      </c>
      <c r="F638" s="82" t="s">
        <v>580</v>
      </c>
      <c r="G638" s="27" t="s">
        <v>479</v>
      </c>
      <c r="H638" s="41">
        <v>46202</v>
      </c>
      <c r="I638" s="41">
        <v>46204</v>
      </c>
      <c r="J638" s="41">
        <v>46203</v>
      </c>
      <c r="K638" s="27" t="str">
        <f>IF(Table6[[#This Row],[Finish Date]]=0,"On process","Close")</f>
        <v>Close</v>
      </c>
      <c r="L638" s="27" t="str">
        <f>IF(Table6[[#This Row],[Status]]="On process",IF($H$2&gt;Table6[[#This Row],[Target Date]],"Overdue","On time"),"Closed")</f>
        <v>Closed</v>
      </c>
      <c r="M638" s="27" t="str" cm="1">
        <f t="array" ref="M638">_xlfn.IFS(Table6[[#This Row],[Finish Date]]=0,"",Table6[[#This Row],[Finish Date]]&gt;Table6[[#This Row],[Target Date]],"Delay",Table6[[#This Row],[Finish Date]]&lt;=Table6[[#This Row],[Target Date]],"On Time")</f>
        <v>On Time</v>
      </c>
      <c r="N638" s="101"/>
      <c r="O638" s="101"/>
      <c r="P638" s="78"/>
      <c r="Q638" s="78"/>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row>
    <row r="639" spans="1:41" ht="21" customHeight="1">
      <c r="A639" s="27">
        <f>WEEKNUM(Table6[[#This Row],[Start Date]])</f>
        <v>27</v>
      </c>
      <c r="B639" s="27" t="str">
        <f>TEXT(Table6[[#This Row],[Start Date]],"mmm")</f>
        <v>Jun</v>
      </c>
      <c r="C639" s="27" t="str">
        <f>_xlfn.IFNA(INDEX(Refer!$B$5:$B$103,MATCH(Table6[[#This Row],[TASK]],Refer!$C$5:$C$103,0)),"")</f>
        <v>DFA</v>
      </c>
      <c r="D639" s="93" t="s">
        <v>264</v>
      </c>
      <c r="E639" s="100" t="s">
        <v>681</v>
      </c>
      <c r="F639" s="82" t="s">
        <v>682</v>
      </c>
      <c r="G639" s="27" t="s">
        <v>479</v>
      </c>
      <c r="H639" s="41">
        <v>46202</v>
      </c>
      <c r="I639" s="41">
        <v>46204</v>
      </c>
      <c r="J639" s="41">
        <v>46203</v>
      </c>
      <c r="K639" s="27" t="str">
        <f>IF(Table6[[#This Row],[Finish Date]]=0,"On process","Close")</f>
        <v>Close</v>
      </c>
      <c r="L639" s="27" t="str">
        <f>IF(Table6[[#This Row],[Status]]="On process",IF($H$2&gt;Table6[[#This Row],[Target Date]],"Overdue","On time"),"Closed")</f>
        <v>Closed</v>
      </c>
      <c r="M639" s="27" t="str" cm="1">
        <f t="array" ref="M639">_xlfn.IFS(Table6[[#This Row],[Finish Date]]=0,"",Table6[[#This Row],[Finish Date]]&gt;Table6[[#This Row],[Target Date]],"Delay",Table6[[#This Row],[Finish Date]]&lt;=Table6[[#This Row],[Target Date]],"On Time")</f>
        <v>On Time</v>
      </c>
      <c r="N639" s="101"/>
      <c r="O639" s="101"/>
      <c r="P639" s="78"/>
      <c r="Q639" s="78"/>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row>
    <row r="640" spans="1:41" ht="21" customHeight="1">
      <c r="A640" s="27">
        <f>WEEKNUM(Table6[[#This Row],[Start Date]])</f>
        <v>27</v>
      </c>
      <c r="B640" s="27" t="str">
        <f>TEXT(Table6[[#This Row],[Start Date]],"mmm")</f>
        <v>Jul</v>
      </c>
      <c r="C640" s="27" t="str">
        <f>_xlfn.IFNA(INDEX(Refer!$B$5:$B$103,MATCH(Table6[[#This Row],[TASK]],Refer!$C$5:$C$103,0)),"")</f>
        <v>MEETING</v>
      </c>
      <c r="D640" s="93" t="s">
        <v>72</v>
      </c>
      <c r="E640" s="100" t="s">
        <v>671</v>
      </c>
      <c r="F640" s="82"/>
      <c r="G640" s="27" t="s">
        <v>479</v>
      </c>
      <c r="H640" s="41">
        <v>46204</v>
      </c>
      <c r="I640" s="41">
        <v>46204</v>
      </c>
      <c r="J640" s="41">
        <v>46204</v>
      </c>
      <c r="K640" s="27" t="str">
        <f>IF(Table6[[#This Row],[Finish Date]]=0,"On process","Close")</f>
        <v>Close</v>
      </c>
      <c r="L640" s="27" t="str">
        <f>IF(Table6[[#This Row],[Status]]="On process",IF($H$2&gt;Table6[[#This Row],[Target Date]],"Overdue","On time"),"Closed")</f>
        <v>Closed</v>
      </c>
      <c r="M640" s="27" t="str" cm="1">
        <f t="array" ref="M640">_xlfn.IFS(Table6[[#This Row],[Finish Date]]=0,"",Table6[[#This Row],[Finish Date]]&gt;Table6[[#This Row],[Target Date]],"Delay",Table6[[#This Row],[Finish Date]]&lt;=Table6[[#This Row],[Target Date]],"On Time")</f>
        <v>On Time</v>
      </c>
      <c r="N640" s="101"/>
      <c r="O640" s="101"/>
      <c r="P640" s="78"/>
      <c r="Q640" s="78"/>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row>
    <row r="641" spans="1:41" ht="21" customHeight="1">
      <c r="A641" s="27">
        <f>WEEKNUM(Table6[[#This Row],[Start Date]])</f>
        <v>27</v>
      </c>
      <c r="B641" s="27" t="str">
        <f>TEXT(Table6[[#This Row],[Start Date]],"mmm")</f>
        <v>Jul</v>
      </c>
      <c r="C641" s="27" t="str">
        <f>_xlfn.IFNA(INDEX(Refer!$B$5:$B$103,MATCH(Table6[[#This Row],[TASK]],Refer!$C$5:$C$103,0)),"")</f>
        <v>DFM Mold</v>
      </c>
      <c r="D641" s="93" t="s">
        <v>227</v>
      </c>
      <c r="E641" s="100" t="s">
        <v>683</v>
      </c>
      <c r="F641" s="82" t="s">
        <v>66</v>
      </c>
      <c r="G641" s="27" t="s">
        <v>479</v>
      </c>
      <c r="H641" s="41">
        <v>46204</v>
      </c>
      <c r="I641" s="41">
        <v>46205</v>
      </c>
      <c r="J641" s="41">
        <v>46205</v>
      </c>
      <c r="K641" s="27" t="str">
        <f>IF(Table6[[#This Row],[Finish Date]]=0,"On process","Close")</f>
        <v>Close</v>
      </c>
      <c r="L641" s="27" t="str">
        <f>IF(Table6[[#This Row],[Status]]="On process",IF($H$2&gt;Table6[[#This Row],[Target Date]],"Overdue","On time"),"Closed")</f>
        <v>Closed</v>
      </c>
      <c r="M641" s="27" t="str" cm="1">
        <f t="array" ref="M641">_xlfn.IFS(Table6[[#This Row],[Finish Date]]=0,"",Table6[[#This Row],[Finish Date]]&gt;Table6[[#This Row],[Target Date]],"Delay",Table6[[#This Row],[Finish Date]]&lt;=Table6[[#This Row],[Target Date]],"On Time")</f>
        <v>On Time</v>
      </c>
      <c r="N641" s="101"/>
      <c r="O641" s="101"/>
      <c r="P641" s="78"/>
      <c r="Q641" s="78"/>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row>
    <row r="642" spans="1:41" ht="21" customHeight="1">
      <c r="A642" s="27">
        <f>WEEKNUM(Table6[[#This Row],[Start Date]])</f>
        <v>27</v>
      </c>
      <c r="B642" s="27" t="str">
        <f>TEXT(Table6[[#This Row],[Start Date]],"mmm")</f>
        <v>Jun</v>
      </c>
      <c r="C642" s="27" t="str">
        <f>_xlfn.IFNA(INDEX(Refer!$B$5:$B$103,MATCH(Table6[[#This Row],[TASK]],Refer!$C$5:$C$103,0)),"")</f>
        <v>DFA</v>
      </c>
      <c r="D642" s="93" t="s">
        <v>264</v>
      </c>
      <c r="E642" s="100" t="s">
        <v>684</v>
      </c>
      <c r="F642" s="82"/>
      <c r="G642" s="27" t="s">
        <v>182</v>
      </c>
      <c r="H642" s="41">
        <v>46202</v>
      </c>
      <c r="I642" s="87">
        <v>46202</v>
      </c>
      <c r="J642" s="41">
        <v>46202</v>
      </c>
      <c r="K642" s="27" t="str">
        <f>IF(Table6[[#This Row],[Finish Date]]=0,"On process","Close")</f>
        <v>Close</v>
      </c>
      <c r="L642" s="27" t="str">
        <f>IF(Table6[[#This Row],[Status]]="On process",IF($H$2&gt;Table6[[#This Row],[Target Date]],"Overdue","On time"),"Closed")</f>
        <v>Closed</v>
      </c>
      <c r="M642" s="27" t="str" cm="1">
        <f t="array" ref="M642">_xlfn.IFS(Table6[[#This Row],[Finish Date]]=0,"",Table6[[#This Row],[Finish Date]]&gt;Table6[[#This Row],[Target Date]],"Delay",Table6[[#This Row],[Finish Date]]&lt;=Table6[[#This Row],[Target Date]],"On Time")</f>
        <v>On Time</v>
      </c>
      <c r="N642" s="101"/>
      <c r="O642" s="101"/>
      <c r="P642" s="78"/>
      <c r="Q642" s="78"/>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row>
    <row r="643" spans="1:41" ht="21" customHeight="1">
      <c r="A643" s="27">
        <f>WEEKNUM(Table6[[#This Row],[Start Date]])</f>
        <v>27</v>
      </c>
      <c r="B643" s="27" t="str">
        <f>TEXT(Table6[[#This Row],[Start Date]],"mmm")</f>
        <v>Jun</v>
      </c>
      <c r="C643" s="27" t="str">
        <f>_xlfn.IFNA(INDEX(Refer!$B$5:$B$103,MATCH(Table6[[#This Row],[TASK]],Refer!$C$5:$C$103,0)),"")</f>
        <v>PACKING</v>
      </c>
      <c r="D643" s="93" t="s">
        <v>112</v>
      </c>
      <c r="E643" s="100" t="s">
        <v>685</v>
      </c>
      <c r="F643" s="82"/>
      <c r="G643" s="27" t="s">
        <v>182</v>
      </c>
      <c r="H643" s="41">
        <v>46203</v>
      </c>
      <c r="I643" s="41">
        <v>46205</v>
      </c>
      <c r="J643" s="41">
        <v>46205</v>
      </c>
      <c r="K643" s="27" t="str">
        <f>IF(Table6[[#This Row],[Finish Date]]=0,"On process","Close")</f>
        <v>Close</v>
      </c>
      <c r="L643" s="27" t="str">
        <f>IF(Table6[[#This Row],[Status]]="On process",IF($H$2&gt;Table6[[#This Row],[Target Date]],"Overdue","On time"),"Closed")</f>
        <v>Closed</v>
      </c>
      <c r="M643" s="27" t="str" cm="1">
        <f t="array" ref="M643">_xlfn.IFS(Table6[[#This Row],[Finish Date]]=0,"",Table6[[#This Row],[Finish Date]]&gt;Table6[[#This Row],[Target Date]],"Delay",Table6[[#This Row],[Finish Date]]&lt;=Table6[[#This Row],[Target Date]],"On Time")</f>
        <v>On Time</v>
      </c>
      <c r="N643" s="101"/>
      <c r="O643" s="101"/>
      <c r="P643" s="78"/>
      <c r="Q643" s="78"/>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row>
    <row r="644" spans="1:41" ht="21" customHeight="1">
      <c r="A644" s="27">
        <f>WEEKNUM(Table6[[#This Row],[Start Date]])</f>
        <v>27</v>
      </c>
      <c r="B644" s="27" t="str">
        <f>TEXT(Table6[[#This Row],[Start Date]],"mmm")</f>
        <v>Jul</v>
      </c>
      <c r="C644" s="27" t="str">
        <f>_xlfn.IFNA(INDEX(Refer!$B$5:$B$103,MATCH(Table6[[#This Row],[TASK]],Refer!$C$5:$C$103,0)),"")</f>
        <v>NPI</v>
      </c>
      <c r="D644" s="93" t="s">
        <v>521</v>
      </c>
      <c r="E644" s="100" t="s">
        <v>672</v>
      </c>
      <c r="F644" s="82" t="s">
        <v>66</v>
      </c>
      <c r="G644" s="27" t="s">
        <v>182</v>
      </c>
      <c r="H644" s="41">
        <v>46204</v>
      </c>
      <c r="I644" s="41">
        <v>46204</v>
      </c>
      <c r="J644" s="41">
        <v>46204</v>
      </c>
      <c r="K644" s="27" t="str">
        <f>IF(Table6[[#This Row],[Finish Date]]=0,"On process","Close")</f>
        <v>Close</v>
      </c>
      <c r="L644" s="27" t="str">
        <f>IF(Table6[[#This Row],[Status]]="On process",IF($H$2&gt;Table6[[#This Row],[Target Date]],"Overdue","On time"),"Closed")</f>
        <v>Closed</v>
      </c>
      <c r="M644" s="27" t="str" cm="1">
        <f t="array" ref="M644">_xlfn.IFS(Table6[[#This Row],[Finish Date]]=0,"",Table6[[#This Row],[Finish Date]]&gt;Table6[[#This Row],[Target Date]],"Delay",Table6[[#This Row],[Finish Date]]&lt;=Table6[[#This Row],[Target Date]],"On Time")</f>
        <v>On Time</v>
      </c>
      <c r="N644" s="101"/>
      <c r="O644" s="101"/>
      <c r="P644" s="78"/>
      <c r="Q644" s="78"/>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row>
    <row r="645" spans="1:41" ht="21" customHeight="1">
      <c r="A645" s="27">
        <f>WEEKNUM(Table6[[#This Row],[Start Date]])</f>
        <v>27</v>
      </c>
      <c r="B645" s="27" t="str">
        <f>TEXT(Table6[[#This Row],[Start Date]],"mmm")</f>
        <v>Jul</v>
      </c>
      <c r="C645" s="27" t="str">
        <f>_xlfn.IFNA(INDEX(Refer!$B$5:$B$103,MATCH(Table6[[#This Row],[TASK]],Refer!$C$5:$C$103,0)),"")</f>
        <v>MEETING</v>
      </c>
      <c r="D645" s="93" t="s">
        <v>72</v>
      </c>
      <c r="E645" s="100" t="s">
        <v>671</v>
      </c>
      <c r="F645" s="82"/>
      <c r="G645" s="27" t="s">
        <v>182</v>
      </c>
      <c r="H645" s="41">
        <v>46204</v>
      </c>
      <c r="I645" s="41">
        <v>46204</v>
      </c>
      <c r="J645" s="41">
        <v>46204</v>
      </c>
      <c r="K645" s="27" t="str">
        <f>IF(Table6[[#This Row],[Finish Date]]=0,"On process","Close")</f>
        <v>Close</v>
      </c>
      <c r="L645" s="27" t="str">
        <f>IF(Table6[[#This Row],[Status]]="On process",IF($H$2&gt;Table6[[#This Row],[Target Date]],"Overdue","On time"),"Closed")</f>
        <v>Closed</v>
      </c>
      <c r="M645" s="27" t="str" cm="1">
        <f t="array" ref="M645">_xlfn.IFS(Table6[[#This Row],[Finish Date]]=0,"",Table6[[#This Row],[Finish Date]]&gt;Table6[[#This Row],[Target Date]],"Delay",Table6[[#This Row],[Finish Date]]&lt;=Table6[[#This Row],[Target Date]],"On Time")</f>
        <v>On Time</v>
      </c>
      <c r="N645" s="101"/>
      <c r="O645" s="101"/>
      <c r="P645" s="78"/>
      <c r="Q645" s="78"/>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row>
    <row r="646" spans="1:41" ht="21" customHeight="1">
      <c r="A646" s="27">
        <f>WEEKNUM(Table6[[#This Row],[Start Date]])</f>
        <v>27</v>
      </c>
      <c r="B646" s="27" t="str">
        <f>TEXT(Table6[[#This Row],[Start Date]],"mmm")</f>
        <v>Jul</v>
      </c>
      <c r="C646" s="27" t="str">
        <f>_xlfn.IFNA(INDEX(Refer!$B$5:$B$103,MATCH(Table6[[#This Row],[TASK]],Refer!$C$5:$C$103,0)),"")</f>
        <v>PROJECT</v>
      </c>
      <c r="D646" s="93" t="s">
        <v>504</v>
      </c>
      <c r="E646" s="100" t="s">
        <v>634</v>
      </c>
      <c r="F646" s="82"/>
      <c r="G646" s="27" t="s">
        <v>182</v>
      </c>
      <c r="H646" s="41">
        <v>46205</v>
      </c>
      <c r="I646" s="41">
        <v>46206</v>
      </c>
      <c r="J646" s="41">
        <v>46206</v>
      </c>
      <c r="K646" s="27" t="str">
        <f>IF(Table6[[#This Row],[Finish Date]]=0,"On process","Close")</f>
        <v>Close</v>
      </c>
      <c r="L646" s="27" t="str">
        <f>IF(Table6[[#This Row],[Status]]="On process",IF($H$2&gt;Table6[[#This Row],[Target Date]],"Overdue","On time"),"Closed")</f>
        <v>Closed</v>
      </c>
      <c r="M646" s="27" t="str" cm="1">
        <f t="array" ref="M646">_xlfn.IFS(Table6[[#This Row],[Finish Date]]=0,"",Table6[[#This Row],[Finish Date]]&gt;Table6[[#This Row],[Target Date]],"Delay",Table6[[#This Row],[Finish Date]]&lt;=Table6[[#This Row],[Target Date]],"On Time")</f>
        <v>On Time</v>
      </c>
      <c r="N646" s="101"/>
      <c r="O646" s="101"/>
      <c r="P646" s="78"/>
      <c r="Q646" s="78"/>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row>
    <row r="647" spans="1:41" ht="21" customHeight="1">
      <c r="A647" s="27">
        <f>WEEKNUM(Table6[[#This Row],[Start Date]])</f>
        <v>28</v>
      </c>
      <c r="B647" s="27" t="str">
        <f>TEXT(Table6[[#This Row],[Start Date]],"mmm")</f>
        <v>Jul</v>
      </c>
      <c r="C647" s="27" t="str">
        <f>_xlfn.IFNA(INDEX(Refer!$B$5:$B$103,MATCH(Table6[[#This Row],[TASK]],Refer!$C$5:$C$103,0)),"")</f>
        <v>PACKING</v>
      </c>
      <c r="D647" s="93" t="s">
        <v>147</v>
      </c>
      <c r="E647" s="100" t="s">
        <v>686</v>
      </c>
      <c r="F647" s="82" t="s">
        <v>66</v>
      </c>
      <c r="G647" s="27" t="s">
        <v>440</v>
      </c>
      <c r="H647" s="41">
        <v>46209</v>
      </c>
      <c r="I647" s="41">
        <v>46210</v>
      </c>
      <c r="J647" s="41">
        <v>46209</v>
      </c>
      <c r="K647" s="27" t="str">
        <f>IF(Table6[[#This Row],[Finish Date]]=0,"On process","Close")</f>
        <v>Close</v>
      </c>
      <c r="L647" s="27" t="str">
        <f>IF(Table6[[#This Row],[Status]]="On process",IF($H$2&gt;Table6[[#This Row],[Target Date]],"Overdue","On time"),"Closed")</f>
        <v>Closed</v>
      </c>
      <c r="M647" s="27" t="str" cm="1">
        <f t="array" ref="M647">_xlfn.IFS(Table6[[#This Row],[Finish Date]]=0,"",Table6[[#This Row],[Finish Date]]&gt;Table6[[#This Row],[Target Date]],"Delay",Table6[[#This Row],[Finish Date]]&lt;=Table6[[#This Row],[Target Date]],"On Time")</f>
        <v>On Time</v>
      </c>
      <c r="N647" s="101"/>
      <c r="O647" s="101"/>
      <c r="P647" s="78"/>
      <c r="Q647" s="78"/>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row>
    <row r="648" spans="1:41" ht="21" customHeight="1">
      <c r="A648" s="27">
        <f>WEEKNUM(Table6[[#This Row],[Start Date]])</f>
        <v>28</v>
      </c>
      <c r="B648" s="27" t="str">
        <f>TEXT(Table6[[#This Row],[Start Date]],"mmm")</f>
        <v>Jul</v>
      </c>
      <c r="C648" s="27" t="str">
        <f>_xlfn.IFNA(INDEX(Refer!$B$5:$B$103,MATCH(Table6[[#This Row],[TASK]],Refer!$C$5:$C$103,0)),"")</f>
        <v>PACKING</v>
      </c>
      <c r="D648" s="93" t="s">
        <v>112</v>
      </c>
      <c r="E648" s="100" t="s">
        <v>687</v>
      </c>
      <c r="F648" s="82"/>
      <c r="G648" s="27" t="s">
        <v>440</v>
      </c>
      <c r="H648" s="41">
        <v>46209</v>
      </c>
      <c r="I648" s="41">
        <v>46210</v>
      </c>
      <c r="J648" s="41">
        <v>46209</v>
      </c>
      <c r="K648" s="27" t="str">
        <f>IF(Table6[[#This Row],[Finish Date]]=0,"On process","Close")</f>
        <v>Close</v>
      </c>
      <c r="L648" s="27" t="str">
        <f>IF(Table6[[#This Row],[Status]]="On process",IF($H$2&gt;Table6[[#This Row],[Target Date]],"Overdue","On time"),"Closed")</f>
        <v>Closed</v>
      </c>
      <c r="M648" s="27" t="str" cm="1">
        <f t="array" ref="M648">_xlfn.IFS(Table6[[#This Row],[Finish Date]]=0,"",Table6[[#This Row],[Finish Date]]&gt;Table6[[#This Row],[Target Date]],"Delay",Table6[[#This Row],[Finish Date]]&lt;=Table6[[#This Row],[Target Date]],"On Time")</f>
        <v>On Time</v>
      </c>
      <c r="N648" s="101"/>
      <c r="O648" s="101"/>
      <c r="P648" s="78"/>
      <c r="Q648" s="78"/>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row>
    <row r="649" spans="1:41" ht="21" customHeight="1">
      <c r="A649" s="27">
        <f>WEEKNUM(Table6[[#This Row],[Start Date]])</f>
        <v>28</v>
      </c>
      <c r="B649" s="27" t="str">
        <f>TEXT(Table6[[#This Row],[Start Date]],"mmm")</f>
        <v>Jul</v>
      </c>
      <c r="C649" s="27" t="str">
        <f>_xlfn.IFNA(INDEX(Refer!$B$5:$B$103,MATCH(Table6[[#This Row],[TASK]],Refer!$C$5:$C$103,0)),"")</f>
        <v>PACKING</v>
      </c>
      <c r="D649" s="93" t="s">
        <v>112</v>
      </c>
      <c r="E649" s="100" t="s">
        <v>688</v>
      </c>
      <c r="F649" s="82"/>
      <c r="G649" s="27" t="s">
        <v>440</v>
      </c>
      <c r="H649" s="41">
        <v>46209</v>
      </c>
      <c r="I649" s="41">
        <v>46210</v>
      </c>
      <c r="J649" s="41">
        <v>46209</v>
      </c>
      <c r="K649" s="27" t="str">
        <f>IF(Table6[[#This Row],[Finish Date]]=0,"On process","Close")</f>
        <v>Close</v>
      </c>
      <c r="L649" s="27" t="str">
        <f>IF(Table6[[#This Row],[Status]]="On process",IF($H$2&gt;Table6[[#This Row],[Target Date]],"Overdue","On time"),"Closed")</f>
        <v>Closed</v>
      </c>
      <c r="M649" s="27" t="str" cm="1">
        <f t="array" ref="M649">_xlfn.IFS(Table6[[#This Row],[Finish Date]]=0,"",Table6[[#This Row],[Finish Date]]&gt;Table6[[#This Row],[Target Date]],"Delay",Table6[[#This Row],[Finish Date]]&lt;=Table6[[#This Row],[Target Date]],"On Time")</f>
        <v>On Time</v>
      </c>
      <c r="N649" s="101"/>
      <c r="O649" s="101"/>
      <c r="P649" s="78"/>
      <c r="Q649" s="78"/>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row>
    <row r="650" spans="1:41" ht="21" customHeight="1">
      <c r="A650" s="27">
        <f>WEEKNUM(Table6[[#This Row],[Start Date]])</f>
        <v>28</v>
      </c>
      <c r="B650" s="27" t="str">
        <f>TEXT(Table6[[#This Row],[Start Date]],"mmm")</f>
        <v>Jul</v>
      </c>
      <c r="C650" s="27" t="str">
        <f>_xlfn.IFNA(INDEX(Refer!$B$5:$B$103,MATCH(Table6[[#This Row],[TASK]],Refer!$C$5:$C$103,0)),"")</f>
        <v>PACKING</v>
      </c>
      <c r="D650" s="93" t="s">
        <v>147</v>
      </c>
      <c r="E650" s="100" t="s">
        <v>689</v>
      </c>
      <c r="F650" s="82"/>
      <c r="G650" s="27" t="s">
        <v>440</v>
      </c>
      <c r="H650" s="41">
        <v>46210</v>
      </c>
      <c r="I650" s="41">
        <v>46211</v>
      </c>
      <c r="J650" s="41">
        <v>46211</v>
      </c>
      <c r="K650" s="27" t="str">
        <f>IF(Table6[[#This Row],[Finish Date]]=0,"On process","Close")</f>
        <v>Close</v>
      </c>
      <c r="L650" s="27" t="str">
        <f>IF(Table6[[#This Row],[Status]]="On process",IF($H$2&gt;Table6[[#This Row],[Target Date]],"Overdue","On time"),"Closed")</f>
        <v>Closed</v>
      </c>
      <c r="M650" s="27" t="str" cm="1">
        <f t="array" ref="M650">_xlfn.IFS(Table6[[#This Row],[Finish Date]]=0,"",Table6[[#This Row],[Finish Date]]&gt;Table6[[#This Row],[Target Date]],"Delay",Table6[[#This Row],[Finish Date]]&lt;=Table6[[#This Row],[Target Date]],"On Time")</f>
        <v>On Time</v>
      </c>
      <c r="N650" s="101"/>
      <c r="O650" s="101"/>
      <c r="P650" s="78"/>
      <c r="Q650" s="78"/>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row>
    <row r="651" spans="1:41" ht="21" customHeight="1">
      <c r="A651" s="27">
        <f>WEEKNUM(Table6[[#This Row],[Start Date]])</f>
        <v>28</v>
      </c>
      <c r="B651" s="27" t="str">
        <f>TEXT(Table6[[#This Row],[Start Date]],"mmm")</f>
        <v>Jul</v>
      </c>
      <c r="C651" s="27" t="str">
        <f>_xlfn.IFNA(INDEX(Refer!$B$5:$B$103,MATCH(Table6[[#This Row],[TASK]],Refer!$C$5:$C$103,0)),"")</f>
        <v>PACKING</v>
      </c>
      <c r="D651" s="93" t="s">
        <v>147</v>
      </c>
      <c r="E651" s="100" t="s">
        <v>690</v>
      </c>
      <c r="F651" s="82" t="s">
        <v>66</v>
      </c>
      <c r="G651" s="27" t="s">
        <v>440</v>
      </c>
      <c r="H651" s="41">
        <v>46210</v>
      </c>
      <c r="I651" s="41">
        <v>46211</v>
      </c>
      <c r="J651" s="41">
        <v>46211</v>
      </c>
      <c r="K651" s="27" t="str">
        <f>IF(Table6[[#This Row],[Finish Date]]=0,"On process","Close")</f>
        <v>Close</v>
      </c>
      <c r="L651" s="27" t="str">
        <f>IF(Table6[[#This Row],[Status]]="On process",IF($H$2&gt;Table6[[#This Row],[Target Date]],"Overdue","On time"),"Closed")</f>
        <v>Closed</v>
      </c>
      <c r="M651" s="27" t="str" cm="1">
        <f t="array" ref="M651">_xlfn.IFS(Table6[[#This Row],[Finish Date]]=0,"",Table6[[#This Row],[Finish Date]]&gt;Table6[[#This Row],[Target Date]],"Delay",Table6[[#This Row],[Finish Date]]&lt;=Table6[[#This Row],[Target Date]],"On Time")</f>
        <v>On Time</v>
      </c>
      <c r="N651" s="101"/>
      <c r="O651" s="101"/>
      <c r="P651" s="78"/>
      <c r="Q651" s="78"/>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row>
    <row r="652" spans="1:41" ht="21" customHeight="1">
      <c r="A652" s="27">
        <f>WEEKNUM(Table6[[#This Row],[Start Date]])</f>
        <v>28</v>
      </c>
      <c r="B652" s="27" t="str">
        <f>TEXT(Table6[[#This Row],[Start Date]],"mmm")</f>
        <v>Jul</v>
      </c>
      <c r="C652" s="27" t="str">
        <f>_xlfn.IFNA(INDEX(Refer!$B$5:$B$103,MATCH(Table6[[#This Row],[TASK]],Refer!$C$5:$C$103,0)),"")</f>
        <v>PACKING</v>
      </c>
      <c r="D652" s="93" t="s">
        <v>147</v>
      </c>
      <c r="E652" s="100" t="s">
        <v>691</v>
      </c>
      <c r="F652" s="82" t="s">
        <v>254</v>
      </c>
      <c r="G652" s="27" t="s">
        <v>440</v>
      </c>
      <c r="H652" s="41">
        <v>46212</v>
      </c>
      <c r="I652" s="41">
        <v>46213</v>
      </c>
      <c r="J652" s="41">
        <v>46212</v>
      </c>
      <c r="K652" s="27" t="str">
        <f>IF(Table6[[#This Row],[Finish Date]]=0,"On process","Close")</f>
        <v>Close</v>
      </c>
      <c r="L652" s="27" t="str">
        <f>IF(Table6[[#This Row],[Status]]="On process",IF($H$2&gt;Table6[[#This Row],[Target Date]],"Overdue","On time"),"Closed")</f>
        <v>Closed</v>
      </c>
      <c r="M652" s="27" t="str" cm="1">
        <f t="array" ref="M652">_xlfn.IFS(Table6[[#This Row],[Finish Date]]=0,"",Table6[[#This Row],[Finish Date]]&gt;Table6[[#This Row],[Target Date]],"Delay",Table6[[#This Row],[Finish Date]]&lt;=Table6[[#This Row],[Target Date]],"On Time")</f>
        <v>On Time</v>
      </c>
      <c r="N652" s="101"/>
      <c r="O652" s="101"/>
      <c r="P652" s="78"/>
      <c r="Q652" s="78"/>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row>
    <row r="653" spans="1:41" ht="21" customHeight="1">
      <c r="A653" s="27">
        <f>WEEKNUM(Table6[[#This Row],[Start Date]])</f>
        <v>28</v>
      </c>
      <c r="B653" s="27" t="str">
        <f>TEXT(Table6[[#This Row],[Start Date]],"mmm")</f>
        <v>Jul</v>
      </c>
      <c r="C653" s="27" t="str">
        <f>_xlfn.IFNA(INDEX(Refer!$B$5:$B$103,MATCH(Table6[[#This Row],[TASK]],Refer!$C$5:$C$103,0)),"")</f>
        <v>PACKING</v>
      </c>
      <c r="D653" s="93" t="s">
        <v>112</v>
      </c>
      <c r="E653" s="100" t="s">
        <v>692</v>
      </c>
      <c r="F653" s="82"/>
      <c r="G653" s="27" t="s">
        <v>440</v>
      </c>
      <c r="H653" s="41">
        <v>46212</v>
      </c>
      <c r="I653" s="41">
        <v>46213</v>
      </c>
      <c r="J653" s="41">
        <v>46212</v>
      </c>
      <c r="K653" s="27" t="str">
        <f>IF(Table6[[#This Row],[Finish Date]]=0,"On process","Close")</f>
        <v>Close</v>
      </c>
      <c r="L653" s="27" t="str">
        <f>IF(Table6[[#This Row],[Status]]="On process",IF($H$2&gt;Table6[[#This Row],[Target Date]],"Overdue","On time"),"Closed")</f>
        <v>Closed</v>
      </c>
      <c r="M653" s="27" t="str" cm="1">
        <f t="array" ref="M653">_xlfn.IFS(Table6[[#This Row],[Finish Date]]=0,"",Table6[[#This Row],[Finish Date]]&gt;Table6[[#This Row],[Target Date]],"Delay",Table6[[#This Row],[Finish Date]]&lt;=Table6[[#This Row],[Target Date]],"On Time")</f>
        <v>On Time</v>
      </c>
      <c r="N653" s="101"/>
      <c r="O653" s="101"/>
      <c r="P653" s="78"/>
      <c r="Q653" s="78"/>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row>
    <row r="654" spans="1:41" ht="21" customHeight="1">
      <c r="A654" s="27">
        <f>WEEKNUM(Table6[[#This Row],[Start Date]])</f>
        <v>28</v>
      </c>
      <c r="B654" s="27" t="str">
        <f>TEXT(Table6[[#This Row],[Start Date]],"mmm")</f>
        <v>Jul</v>
      </c>
      <c r="C654" s="27" t="str">
        <f>_xlfn.IFNA(INDEX(Refer!$B$5:$B$103,MATCH(Table6[[#This Row],[TASK]],Refer!$C$5:$C$103,0)),"")</f>
        <v>RFQ</v>
      </c>
      <c r="D654" s="93" t="s">
        <v>123</v>
      </c>
      <c r="E654" s="100" t="s">
        <v>693</v>
      </c>
      <c r="F654" s="82" t="s">
        <v>177</v>
      </c>
      <c r="G654" s="27" t="s">
        <v>440</v>
      </c>
      <c r="H654" s="41">
        <v>46212</v>
      </c>
      <c r="I654" s="41">
        <v>46213</v>
      </c>
      <c r="J654" s="41"/>
      <c r="K654" s="27" t="str">
        <f>IF(Table6[[#This Row],[Finish Date]]=0,"On process","Close")</f>
        <v>On process</v>
      </c>
      <c r="L654" s="27" t="str">
        <f ca="1">IF(Table6[[#This Row],[Status]]="On process",IF($H$2&gt;Table6[[#This Row],[Target Date]],"Overdue","On time"),"Closed")</f>
        <v>On time</v>
      </c>
      <c r="M654" s="27" t="str" cm="1">
        <f t="array" ref="M654">_xlfn.IFS(Table6[[#This Row],[Finish Date]]=0,"",Table6[[#This Row],[Finish Date]]&gt;Table6[[#This Row],[Target Date]],"Delay",Table6[[#This Row],[Finish Date]]&lt;=Table6[[#This Row],[Target Date]],"On Time")</f>
        <v/>
      </c>
      <c r="N654" s="101"/>
      <c r="O654" s="101"/>
      <c r="P654" s="78"/>
      <c r="Q654" s="78"/>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row>
    <row r="655" spans="1:41" ht="21" customHeight="1">
      <c r="A655" s="27">
        <f>WEEKNUM(Table6[[#This Row],[Start Date]])</f>
        <v>28</v>
      </c>
      <c r="B655" s="27" t="str">
        <f>TEXT(Table6[[#This Row],[Start Date]],"mmm")</f>
        <v>Jul</v>
      </c>
      <c r="C655" s="27" t="str">
        <f>_xlfn.IFNA(INDEX(Refer!$B$5:$B$103,MATCH(Table6[[#This Row],[TASK]],Refer!$C$5:$C$103,0)),"")</f>
        <v>RFQ</v>
      </c>
      <c r="D655" s="93" t="s">
        <v>123</v>
      </c>
      <c r="E655" s="100" t="s">
        <v>694</v>
      </c>
      <c r="F655" s="82" t="s">
        <v>580</v>
      </c>
      <c r="G655" s="27" t="s">
        <v>440</v>
      </c>
      <c r="H655" s="41">
        <v>46212</v>
      </c>
      <c r="I655" s="41">
        <v>46213</v>
      </c>
      <c r="J655" s="41"/>
      <c r="K655" s="27" t="str">
        <f>IF(Table6[[#This Row],[Finish Date]]=0,"On process","Close")</f>
        <v>On process</v>
      </c>
      <c r="L655" s="27" t="str">
        <f ca="1">IF(Table6[[#This Row],[Status]]="On process",IF($H$2&gt;Table6[[#This Row],[Target Date]],"Overdue","On time"),"Closed")</f>
        <v>On time</v>
      </c>
      <c r="M655" s="27" t="str" cm="1">
        <f t="array" ref="M655">_xlfn.IFS(Table6[[#This Row],[Finish Date]]=0,"",Table6[[#This Row],[Finish Date]]&gt;Table6[[#This Row],[Target Date]],"Delay",Table6[[#This Row],[Finish Date]]&lt;=Table6[[#This Row],[Target Date]],"On Time")</f>
        <v/>
      </c>
      <c r="N655" s="101"/>
      <c r="O655" s="101"/>
      <c r="P655" s="78"/>
      <c r="Q655" s="78"/>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row>
    <row r="656" spans="1:41" ht="21" customHeight="1">
      <c r="A656" s="27">
        <f>WEEKNUM(Table6[[#This Row],[Start Date]])</f>
        <v>28</v>
      </c>
      <c r="B656" s="27" t="str">
        <f>TEXT(Table6[[#This Row],[Start Date]],"mmm")</f>
        <v>Jul</v>
      </c>
      <c r="C656" s="27" t="str">
        <f>_xlfn.IFNA(INDEX(Refer!$B$5:$B$103,MATCH(Table6[[#This Row],[TASK]],Refer!$C$5:$C$103,0)),"")</f>
        <v>RFQ</v>
      </c>
      <c r="D656" s="93" t="s">
        <v>123</v>
      </c>
      <c r="E656" s="100" t="s">
        <v>695</v>
      </c>
      <c r="F656" s="82" t="s">
        <v>696</v>
      </c>
      <c r="G656" s="27" t="s">
        <v>440</v>
      </c>
      <c r="H656" s="41">
        <v>46212</v>
      </c>
      <c r="I656" s="41">
        <v>46213</v>
      </c>
      <c r="J656" s="41">
        <v>46212</v>
      </c>
      <c r="K656" s="27" t="str">
        <f>IF(Table6[[#This Row],[Finish Date]]=0,"On process","Close")</f>
        <v>Close</v>
      </c>
      <c r="L656" s="27" t="str">
        <f>IF(Table6[[#This Row],[Status]]="On process",IF($H$2&gt;Table6[[#This Row],[Target Date]],"Overdue","On time"),"Closed")</f>
        <v>Closed</v>
      </c>
      <c r="M656" s="27" t="str" cm="1">
        <f t="array" ref="M656">_xlfn.IFS(Table6[[#This Row],[Finish Date]]=0,"",Table6[[#This Row],[Finish Date]]&gt;Table6[[#This Row],[Target Date]],"Delay",Table6[[#This Row],[Finish Date]]&lt;=Table6[[#This Row],[Target Date]],"On Time")</f>
        <v>On Time</v>
      </c>
      <c r="N656" s="101"/>
      <c r="O656" s="101"/>
      <c r="P656" s="78"/>
      <c r="Q656" s="78"/>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row>
    <row r="657" spans="1:41" ht="21" customHeight="1">
      <c r="A657" s="27">
        <f>WEEKNUM(Table6[[#This Row],[Start Date]])</f>
        <v>28</v>
      </c>
      <c r="B657" s="27" t="str">
        <f>TEXT(Table6[[#This Row],[Start Date]],"mmm")</f>
        <v>Jul</v>
      </c>
      <c r="C657" s="27" t="str">
        <f>_xlfn.IFNA(INDEX(Refer!$B$5:$B$103,MATCH(Table6[[#This Row],[TASK]],Refer!$C$5:$C$103,0)),"")</f>
        <v>PACKING</v>
      </c>
      <c r="D657" s="93" t="s">
        <v>147</v>
      </c>
      <c r="E657" s="100" t="s">
        <v>697</v>
      </c>
      <c r="F657" s="82" t="s">
        <v>63</v>
      </c>
      <c r="G657" s="27" t="s">
        <v>440</v>
      </c>
      <c r="H657" s="41">
        <v>46213</v>
      </c>
      <c r="I657" s="41">
        <v>46213</v>
      </c>
      <c r="J657" s="41"/>
      <c r="K657" s="27" t="str">
        <f>IF(Table6[[#This Row],[Finish Date]]=0,"On process","Close")</f>
        <v>On process</v>
      </c>
      <c r="L657" s="27" t="str">
        <f ca="1">IF(Table6[[#This Row],[Status]]="On process",IF($H$2&gt;Table6[[#This Row],[Target Date]],"Overdue","On time"),"Closed")</f>
        <v>On time</v>
      </c>
      <c r="M657" s="27" t="str" cm="1">
        <f t="array" ref="M657">_xlfn.IFS(Table6[[#This Row],[Finish Date]]=0,"",Table6[[#This Row],[Finish Date]]&gt;Table6[[#This Row],[Target Date]],"Delay",Table6[[#This Row],[Finish Date]]&lt;=Table6[[#This Row],[Target Date]],"On Time")</f>
        <v/>
      </c>
      <c r="N657" s="101"/>
      <c r="O657" s="101"/>
      <c r="P657" s="78"/>
      <c r="Q657" s="78"/>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row>
    <row r="658" spans="1:41" ht="21" customHeight="1">
      <c r="A658" s="27">
        <f>WEEKNUM(Table6[[#This Row],[Start Date]])</f>
        <v>28</v>
      </c>
      <c r="B658" s="27" t="str">
        <f>TEXT(Table6[[#This Row],[Start Date]],"mmm")</f>
        <v>Jul</v>
      </c>
      <c r="C658" s="27" t="str">
        <f>_xlfn.IFNA(INDEX(Refer!$B$5:$B$103,MATCH(Table6[[#This Row],[TASK]],Refer!$C$5:$C$103,0)),"")</f>
        <v>PACKING</v>
      </c>
      <c r="D658" s="93" t="s">
        <v>511</v>
      </c>
      <c r="E658" s="100" t="s">
        <v>698</v>
      </c>
      <c r="F658" s="82"/>
      <c r="G658" s="27" t="s">
        <v>479</v>
      </c>
      <c r="H658" s="41">
        <v>46209</v>
      </c>
      <c r="I658" s="41">
        <v>46209</v>
      </c>
      <c r="J658" s="41">
        <v>46209</v>
      </c>
      <c r="K658" s="27" t="str">
        <f>IF(Table6[[#This Row],[Finish Date]]=0,"On process","Close")</f>
        <v>Close</v>
      </c>
      <c r="L658" s="27" t="str">
        <f>IF(Table6[[#This Row],[Status]]="On process",IF($H$2&gt;Table6[[#This Row],[Target Date]],"Overdue","On time"),"Closed")</f>
        <v>Closed</v>
      </c>
      <c r="M658" s="27" t="str" cm="1">
        <f t="array" ref="M658">_xlfn.IFS(Table6[[#This Row],[Finish Date]]=0,"",Table6[[#This Row],[Finish Date]]&gt;Table6[[#This Row],[Target Date]],"Delay",Table6[[#This Row],[Finish Date]]&lt;=Table6[[#This Row],[Target Date]],"On Time")</f>
        <v>On Time</v>
      </c>
      <c r="N658" s="101"/>
      <c r="O658" s="101"/>
      <c r="P658" s="78"/>
      <c r="Q658" s="78"/>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row>
    <row r="659" spans="1:41" ht="21" customHeight="1">
      <c r="A659" s="27">
        <f>WEEKNUM(Table6[[#This Row],[Start Date]])</f>
        <v>28</v>
      </c>
      <c r="B659" s="27" t="str">
        <f>TEXT(Table6[[#This Row],[Start Date]],"mmm")</f>
        <v>Jul</v>
      </c>
      <c r="C659" s="27" t="str">
        <f>_xlfn.IFNA(INDEX(Refer!$B$5:$B$103,MATCH(Table6[[#This Row],[TASK]],Refer!$C$5:$C$103,0)),"")</f>
        <v>MEETING</v>
      </c>
      <c r="D659" s="93" t="s">
        <v>72</v>
      </c>
      <c r="E659" s="100" t="s">
        <v>619</v>
      </c>
      <c r="F659" s="82" t="s">
        <v>66</v>
      </c>
      <c r="G659" s="27" t="s">
        <v>479</v>
      </c>
      <c r="H659" s="41">
        <v>46209</v>
      </c>
      <c r="I659" s="41">
        <v>46209</v>
      </c>
      <c r="J659" s="41">
        <v>46209</v>
      </c>
      <c r="K659" s="27" t="str">
        <f>IF(Table6[[#This Row],[Finish Date]]=0,"On process","Close")</f>
        <v>Close</v>
      </c>
      <c r="L659" s="27" t="str">
        <f>IF(Table6[[#This Row],[Status]]="On process",IF($H$2&gt;Table6[[#This Row],[Target Date]],"Overdue","On time"),"Closed")</f>
        <v>Closed</v>
      </c>
      <c r="M659" s="27" t="str" cm="1">
        <f t="array" ref="M659">_xlfn.IFS(Table6[[#This Row],[Finish Date]]=0,"",Table6[[#This Row],[Finish Date]]&gt;Table6[[#This Row],[Target Date]],"Delay",Table6[[#This Row],[Finish Date]]&lt;=Table6[[#This Row],[Target Date]],"On Time")</f>
        <v>On Time</v>
      </c>
      <c r="N659" s="101"/>
      <c r="O659" s="101"/>
      <c r="P659" s="78"/>
      <c r="Q659" s="78"/>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row>
    <row r="660" spans="1:41" ht="21" customHeight="1">
      <c r="A660" s="27">
        <f>WEEKNUM(Table6[[#This Row],[Start Date]])</f>
        <v>28</v>
      </c>
      <c r="B660" s="27" t="str">
        <f>TEXT(Table6[[#This Row],[Start Date]],"mmm")</f>
        <v>Jul</v>
      </c>
      <c r="C660" s="27" t="str">
        <f>_xlfn.IFNA(INDEX(Refer!$B$5:$B$103,MATCH(Table6[[#This Row],[TASK]],Refer!$C$5:$C$103,0)),"")</f>
        <v>Part DFM</v>
      </c>
      <c r="D660" s="93" t="s">
        <v>447</v>
      </c>
      <c r="E660" s="100" t="s">
        <v>699</v>
      </c>
      <c r="F660" s="82" t="s">
        <v>134</v>
      </c>
      <c r="G660" s="27" t="s">
        <v>479</v>
      </c>
      <c r="H660" s="41">
        <v>46209</v>
      </c>
      <c r="I660" s="41">
        <v>46211</v>
      </c>
      <c r="J660" s="41">
        <v>46211</v>
      </c>
      <c r="K660" s="27" t="str">
        <f>IF(Table6[[#This Row],[Finish Date]]=0,"On process","Close")</f>
        <v>Close</v>
      </c>
      <c r="L660" s="27" t="str">
        <f>IF(Table6[[#This Row],[Status]]="On process",IF($H$2&gt;Table6[[#This Row],[Target Date]],"Overdue","On time"),"Closed")</f>
        <v>Closed</v>
      </c>
      <c r="M660" s="27" t="str" cm="1">
        <f t="array" ref="M660">_xlfn.IFS(Table6[[#This Row],[Finish Date]]=0,"",Table6[[#This Row],[Finish Date]]&gt;Table6[[#This Row],[Target Date]],"Delay",Table6[[#This Row],[Finish Date]]&lt;=Table6[[#This Row],[Target Date]],"On Time")</f>
        <v>On Time</v>
      </c>
      <c r="N660" s="101"/>
      <c r="O660" s="101"/>
      <c r="P660" s="78"/>
      <c r="Q660" s="78"/>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row>
    <row r="661" spans="1:41" ht="21" customHeight="1">
      <c r="A661" s="27">
        <f>WEEKNUM(Table6[[#This Row],[Start Date]])</f>
        <v>28</v>
      </c>
      <c r="B661" s="27" t="str">
        <f>TEXT(Table6[[#This Row],[Start Date]],"mmm")</f>
        <v>Jul</v>
      </c>
      <c r="C661" s="27" t="str">
        <f>_xlfn.IFNA(INDEX(Refer!$B$5:$B$103,MATCH(Table6[[#This Row],[TASK]],Refer!$C$5:$C$103,0)),"")</f>
        <v>DFA</v>
      </c>
      <c r="D661" s="93" t="s">
        <v>216</v>
      </c>
      <c r="E661" s="100" t="s">
        <v>700</v>
      </c>
      <c r="F661" s="82" t="s">
        <v>134</v>
      </c>
      <c r="G661" s="27" t="s">
        <v>479</v>
      </c>
      <c r="H661" s="41">
        <v>46209</v>
      </c>
      <c r="I661" s="41">
        <v>46211</v>
      </c>
      <c r="J661" s="41">
        <v>46211</v>
      </c>
      <c r="K661" s="27" t="str">
        <f>IF(Table6[[#This Row],[Finish Date]]=0,"On process","Close")</f>
        <v>Close</v>
      </c>
      <c r="L661" s="27" t="str">
        <f>IF(Table6[[#This Row],[Status]]="On process",IF($H$2&gt;Table6[[#This Row],[Target Date]],"Overdue","On time"),"Closed")</f>
        <v>Closed</v>
      </c>
      <c r="M661" s="27" t="str" cm="1">
        <f t="array" ref="M661">_xlfn.IFS(Table6[[#This Row],[Finish Date]]=0,"",Table6[[#This Row],[Finish Date]]&gt;Table6[[#This Row],[Target Date]],"Delay",Table6[[#This Row],[Finish Date]]&lt;=Table6[[#This Row],[Target Date]],"On Time")</f>
        <v>On Time</v>
      </c>
      <c r="N661" s="101"/>
      <c r="O661" s="101"/>
      <c r="P661" s="78"/>
      <c r="Q661" s="78"/>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row>
    <row r="662" spans="1:41" ht="21" customHeight="1">
      <c r="A662" s="27">
        <f>WEEKNUM(Table6[[#This Row],[Start Date]])</f>
        <v>28</v>
      </c>
      <c r="B662" s="27" t="str">
        <f>TEXT(Table6[[#This Row],[Start Date]],"mmm")</f>
        <v>Jul</v>
      </c>
      <c r="C662" s="27" t="str">
        <f>_xlfn.IFNA(INDEX(Refer!$B$5:$B$103,MATCH(Table6[[#This Row],[TASK]],Refer!$C$5:$C$103,0)),"")</f>
        <v>NPI</v>
      </c>
      <c r="D662" s="93" t="s">
        <v>61</v>
      </c>
      <c r="E662" s="102" t="s">
        <v>701</v>
      </c>
      <c r="F662" s="82" t="s">
        <v>95</v>
      </c>
      <c r="G662" s="27" t="s">
        <v>479</v>
      </c>
      <c r="H662" s="41">
        <v>46210</v>
      </c>
      <c r="I662" s="41">
        <v>46210</v>
      </c>
      <c r="J662" s="41">
        <v>46210</v>
      </c>
      <c r="K662" s="27" t="str">
        <f>IF(Table6[[#This Row],[Finish Date]]=0,"On process","Close")</f>
        <v>Close</v>
      </c>
      <c r="L662" s="27" t="str">
        <f>IF(Table6[[#This Row],[Status]]="On process",IF($H$2&gt;Table6[[#This Row],[Target Date]],"Overdue","On time"),"Closed")</f>
        <v>Closed</v>
      </c>
      <c r="M662" s="27" t="str" cm="1">
        <f t="array" ref="M662">_xlfn.IFS(Table6[[#This Row],[Finish Date]]=0,"",Table6[[#This Row],[Finish Date]]&gt;Table6[[#This Row],[Target Date]],"Delay",Table6[[#This Row],[Finish Date]]&lt;=Table6[[#This Row],[Target Date]],"On Time")</f>
        <v>On Time</v>
      </c>
      <c r="N662" s="101"/>
      <c r="O662" s="101"/>
      <c r="P662" s="78"/>
      <c r="Q662" s="78"/>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row>
    <row r="663" spans="1:41" ht="21" customHeight="1">
      <c r="A663" s="27">
        <f>WEEKNUM(Table6[[#This Row],[Start Date]])</f>
        <v>28</v>
      </c>
      <c r="B663" s="27" t="str">
        <f>TEXT(Table6[[#This Row],[Start Date]],"mmm")</f>
        <v>Jul</v>
      </c>
      <c r="C663" s="27" t="str">
        <f>_xlfn.IFNA(INDEX(Refer!$B$5:$B$103,MATCH(Table6[[#This Row],[TASK]],Refer!$C$5:$C$103,0)),"")</f>
        <v>PACKING</v>
      </c>
      <c r="D663" s="93" t="s">
        <v>511</v>
      </c>
      <c r="E663" s="100" t="s">
        <v>702</v>
      </c>
      <c r="F663" s="82" t="s">
        <v>580</v>
      </c>
      <c r="G663" s="27" t="s">
        <v>479</v>
      </c>
      <c r="H663" s="41">
        <v>46210</v>
      </c>
      <c r="I663" s="41">
        <v>46211</v>
      </c>
      <c r="J663" s="41">
        <v>46211</v>
      </c>
      <c r="K663" s="27" t="str">
        <f>IF(Table6[[#This Row],[Finish Date]]=0,"On process","Close")</f>
        <v>Close</v>
      </c>
      <c r="L663" s="27" t="str">
        <f>IF(Table6[[#This Row],[Status]]="On process",IF($H$2&gt;Table6[[#This Row],[Target Date]],"Overdue","On time"),"Closed")</f>
        <v>Closed</v>
      </c>
      <c r="M663" s="27" t="str" cm="1">
        <f t="array" ref="M663">_xlfn.IFS(Table6[[#This Row],[Finish Date]]=0,"",Table6[[#This Row],[Finish Date]]&gt;Table6[[#This Row],[Target Date]],"Delay",Table6[[#This Row],[Finish Date]]&lt;=Table6[[#This Row],[Target Date]],"On Time")</f>
        <v>On Time</v>
      </c>
      <c r="N663" s="101"/>
      <c r="O663" s="101"/>
      <c r="P663" s="78"/>
      <c r="Q663" s="78"/>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row>
    <row r="664" spans="1:41" ht="21" customHeight="1">
      <c r="A664" s="27">
        <f>WEEKNUM(Table6[[#This Row],[Start Date]])</f>
        <v>28</v>
      </c>
      <c r="B664" s="27" t="str">
        <f>TEXT(Table6[[#This Row],[Start Date]],"mmm")</f>
        <v>Jul</v>
      </c>
      <c r="C664" s="27" t="str">
        <f>_xlfn.IFNA(INDEX(Refer!$B$5:$B$103,MATCH(Table6[[#This Row],[TASK]],Refer!$C$5:$C$103,0)),"")</f>
        <v>NPI</v>
      </c>
      <c r="D664" s="93" t="s">
        <v>675</v>
      </c>
      <c r="E664" s="100" t="s">
        <v>703</v>
      </c>
      <c r="F664" s="82" t="s">
        <v>66</v>
      </c>
      <c r="G664" s="27" t="s">
        <v>479</v>
      </c>
      <c r="H664" s="41">
        <v>46211</v>
      </c>
      <c r="I664" s="41">
        <v>46212</v>
      </c>
      <c r="J664" s="41">
        <v>46212</v>
      </c>
      <c r="K664" s="27" t="str">
        <f>IF(Table6[[#This Row],[Finish Date]]=0,"On process","Close")</f>
        <v>Close</v>
      </c>
      <c r="L664" s="27" t="str">
        <f>IF(Table6[[#This Row],[Status]]="On process",IF($H$2&gt;Table6[[#This Row],[Target Date]],"Overdue","On time"),"Closed")</f>
        <v>Closed</v>
      </c>
      <c r="M664" s="27" t="str" cm="1">
        <f t="array" ref="M664">_xlfn.IFS(Table6[[#This Row],[Finish Date]]=0,"",Table6[[#This Row],[Finish Date]]&gt;Table6[[#This Row],[Target Date]],"Delay",Table6[[#This Row],[Finish Date]]&lt;=Table6[[#This Row],[Target Date]],"On Time")</f>
        <v>On Time</v>
      </c>
      <c r="N664" s="101"/>
      <c r="O664" s="101"/>
      <c r="P664" s="78"/>
      <c r="Q664" s="78"/>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row>
    <row r="665" spans="1:41" ht="21" customHeight="1">
      <c r="A665" s="27">
        <f>WEEKNUM(Table6[[#This Row],[Start Date]])</f>
        <v>28</v>
      </c>
      <c r="B665" s="27" t="str">
        <f>TEXT(Table6[[#This Row],[Start Date]],"mmm")</f>
        <v>Jul</v>
      </c>
      <c r="C665" s="27" t="str">
        <f>_xlfn.IFNA(INDEX(Refer!$B$5:$B$103,MATCH(Table6[[#This Row],[TASK]],Refer!$C$5:$C$103,0)),"")</f>
        <v>DFA</v>
      </c>
      <c r="D665" s="93" t="s">
        <v>264</v>
      </c>
      <c r="E665" s="100" t="s">
        <v>704</v>
      </c>
      <c r="F665" s="82" t="s">
        <v>95</v>
      </c>
      <c r="G665" s="27" t="s">
        <v>479</v>
      </c>
      <c r="H665" s="41">
        <v>46211</v>
      </c>
      <c r="I665" s="41">
        <v>46212</v>
      </c>
      <c r="J665" s="41">
        <v>46211</v>
      </c>
      <c r="K665" s="27" t="str">
        <f>IF(Table6[[#This Row],[Finish Date]]=0,"On process","Close")</f>
        <v>Close</v>
      </c>
      <c r="L665" s="27" t="str">
        <f>IF(Table6[[#This Row],[Status]]="On process",IF($H$2&gt;Table6[[#This Row],[Target Date]],"Overdue","On time"),"Closed")</f>
        <v>Closed</v>
      </c>
      <c r="M665" s="27" t="str" cm="1">
        <f t="array" ref="M665">_xlfn.IFS(Table6[[#This Row],[Finish Date]]=0,"",Table6[[#This Row],[Finish Date]]&gt;Table6[[#This Row],[Target Date]],"Delay",Table6[[#This Row],[Finish Date]]&lt;=Table6[[#This Row],[Target Date]],"On Time")</f>
        <v>On Time</v>
      </c>
      <c r="N665" s="101"/>
      <c r="O665" s="101"/>
      <c r="P665" s="78"/>
      <c r="Q665" s="78"/>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row>
    <row r="666" spans="1:41" ht="21" customHeight="1">
      <c r="A666" s="27">
        <f>WEEKNUM(Table6[[#This Row],[Start Date]])</f>
        <v>28</v>
      </c>
      <c r="B666" s="27" t="str">
        <f>TEXT(Table6[[#This Row],[Start Date]],"mmm")</f>
        <v>Jul</v>
      </c>
      <c r="C666" s="27" t="str">
        <f>_xlfn.IFNA(INDEX(Refer!$B$5:$B$103,MATCH(Table6[[#This Row],[TASK]],Refer!$C$5:$C$103,0)),"")</f>
        <v>PROJECT</v>
      </c>
      <c r="D666" s="93" t="s">
        <v>504</v>
      </c>
      <c r="E666" s="100" t="s">
        <v>705</v>
      </c>
      <c r="F666" s="82" t="s">
        <v>134</v>
      </c>
      <c r="G666" s="27" t="s">
        <v>479</v>
      </c>
      <c r="H666" s="41">
        <v>46213</v>
      </c>
      <c r="I666" s="41">
        <v>46213</v>
      </c>
      <c r="J666" s="41"/>
      <c r="K666" s="27" t="str">
        <f>IF(Table6[[#This Row],[Finish Date]]=0,"On process","Close")</f>
        <v>On process</v>
      </c>
      <c r="L666" s="27" t="str">
        <f ca="1">IF(Table6[[#This Row],[Status]]="On process",IF($H$2&gt;Table6[[#This Row],[Target Date]],"Overdue","On time"),"Closed")</f>
        <v>On time</v>
      </c>
      <c r="M666" s="27" t="str" cm="1">
        <f t="array" ref="M666">_xlfn.IFS(Table6[[#This Row],[Finish Date]]=0,"",Table6[[#This Row],[Finish Date]]&gt;Table6[[#This Row],[Target Date]],"Delay",Table6[[#This Row],[Finish Date]]&lt;=Table6[[#This Row],[Target Date]],"On Time")</f>
        <v/>
      </c>
      <c r="N666" s="101"/>
      <c r="O666" s="101"/>
      <c r="P666" s="78"/>
      <c r="Q666" s="78"/>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row>
    <row r="667" spans="1:41" ht="21" customHeight="1">
      <c r="A667" s="27">
        <f>WEEKNUM(Table6[[#This Row],[Start Date]])</f>
        <v>28</v>
      </c>
      <c r="B667" s="27" t="str">
        <f>TEXT(Table6[[#This Row],[Start Date]],"mmm")</f>
        <v>Jul</v>
      </c>
      <c r="C667" s="27" t="str">
        <f>_xlfn.IFNA(INDEX(Refer!$B$5:$B$103,MATCH(Table6[[#This Row],[TASK]],Refer!$C$5:$C$103,0)),"")</f>
        <v>MEETING</v>
      </c>
      <c r="D667" s="93" t="s">
        <v>72</v>
      </c>
      <c r="E667" s="100" t="s">
        <v>619</v>
      </c>
      <c r="F667" s="82" t="s">
        <v>66</v>
      </c>
      <c r="G667" s="27" t="s">
        <v>64</v>
      </c>
      <c r="H667" s="41">
        <v>46209</v>
      </c>
      <c r="I667" s="41">
        <v>46209</v>
      </c>
      <c r="J667" s="41">
        <v>46209</v>
      </c>
      <c r="K667" s="27" t="str">
        <f>IF(Table6[[#This Row],[Finish Date]]=0,"On process","Close")</f>
        <v>Close</v>
      </c>
      <c r="L667" s="27" t="str">
        <f>IF(Table6[[#This Row],[Status]]="On process",IF($H$2&gt;Table6[[#This Row],[Target Date]],"Overdue","On time"),"Closed")</f>
        <v>Closed</v>
      </c>
      <c r="M667" s="27" t="str" cm="1">
        <f t="array" ref="M667">_xlfn.IFS(Table6[[#This Row],[Finish Date]]=0,"",Table6[[#This Row],[Finish Date]]&gt;Table6[[#This Row],[Target Date]],"Delay",Table6[[#This Row],[Finish Date]]&lt;=Table6[[#This Row],[Target Date]],"On Time")</f>
        <v>On Time</v>
      </c>
      <c r="N667" s="101"/>
      <c r="O667" s="101"/>
      <c r="P667" s="78"/>
      <c r="Q667" s="78"/>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row>
    <row r="668" spans="1:41" ht="21" customHeight="1">
      <c r="A668" s="27">
        <f>WEEKNUM(Table6[[#This Row],[Start Date]])</f>
        <v>28</v>
      </c>
      <c r="B668" s="27" t="str">
        <f>TEXT(Table6[[#This Row],[Start Date]],"mmm")</f>
        <v>Jul</v>
      </c>
      <c r="C668" s="27" t="str">
        <f>_xlfn.IFNA(INDEX(Refer!$B$5:$B$103,MATCH(Table6[[#This Row],[TASK]],Refer!$C$5:$C$103,0)),"")</f>
        <v>MEETING</v>
      </c>
      <c r="D668" s="93" t="s">
        <v>72</v>
      </c>
      <c r="E668" s="100" t="s">
        <v>706</v>
      </c>
      <c r="F668" s="82" t="s">
        <v>66</v>
      </c>
      <c r="G668" s="27" t="s">
        <v>64</v>
      </c>
      <c r="H668" s="41">
        <v>46209</v>
      </c>
      <c r="I668" s="41">
        <v>46209</v>
      </c>
      <c r="J668" s="41">
        <v>46209</v>
      </c>
      <c r="K668" s="27" t="str">
        <f>IF(Table6[[#This Row],[Finish Date]]=0,"On process","Close")</f>
        <v>Close</v>
      </c>
      <c r="L668" s="27" t="str">
        <f>IF(Table6[[#This Row],[Status]]="On process",IF($H$2&gt;Table6[[#This Row],[Target Date]],"Overdue","On time"),"Closed")</f>
        <v>Closed</v>
      </c>
      <c r="M668" s="27" t="str" cm="1">
        <f t="array" ref="M668">_xlfn.IFS(Table6[[#This Row],[Finish Date]]=0,"",Table6[[#This Row],[Finish Date]]&gt;Table6[[#This Row],[Target Date]],"Delay",Table6[[#This Row],[Finish Date]]&lt;=Table6[[#This Row],[Target Date]],"On Time")</f>
        <v>On Time</v>
      </c>
      <c r="N668" s="101"/>
      <c r="O668" s="101"/>
      <c r="P668" s="78"/>
      <c r="Q668" s="78"/>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row>
    <row r="669" spans="1:41" ht="21" customHeight="1">
      <c r="A669" s="27">
        <f>WEEKNUM(Table6[[#This Row],[Start Date]])</f>
        <v>28</v>
      </c>
      <c r="B669" s="27" t="str">
        <f>TEXT(Table6[[#This Row],[Start Date]],"mmm")</f>
        <v>Jul</v>
      </c>
      <c r="C669" s="27" t="str">
        <f>_xlfn.IFNA(INDEX(Refer!$B$5:$B$103,MATCH(Table6[[#This Row],[TASK]],Refer!$C$5:$C$103,0)),"")</f>
        <v>NPI</v>
      </c>
      <c r="D669" s="93" t="s">
        <v>61</v>
      </c>
      <c r="E669" s="102" t="s">
        <v>701</v>
      </c>
      <c r="F669" s="82" t="s">
        <v>95</v>
      </c>
      <c r="G669" s="27" t="s">
        <v>64</v>
      </c>
      <c r="H669" s="41">
        <v>46210</v>
      </c>
      <c r="I669" s="41">
        <v>46210</v>
      </c>
      <c r="J669" s="41">
        <v>46210</v>
      </c>
      <c r="K669" s="27" t="str">
        <f>IF(Table6[[#This Row],[Finish Date]]=0,"On process","Close")</f>
        <v>Close</v>
      </c>
      <c r="L669" s="27" t="str">
        <f>IF(Table6[[#This Row],[Status]]="On process",IF($H$2&gt;Table6[[#This Row],[Target Date]],"Overdue","On time"),"Closed")</f>
        <v>Closed</v>
      </c>
      <c r="M669" s="27" t="str" cm="1">
        <f t="array" ref="M669">_xlfn.IFS(Table6[[#This Row],[Finish Date]]=0,"",Table6[[#This Row],[Finish Date]]&gt;Table6[[#This Row],[Target Date]],"Delay",Table6[[#This Row],[Finish Date]]&lt;=Table6[[#This Row],[Target Date]],"On Time")</f>
        <v>On Time</v>
      </c>
      <c r="N669" s="101"/>
      <c r="O669" s="101"/>
      <c r="P669" s="78"/>
      <c r="Q669" s="78"/>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row>
    <row r="670" spans="1:41" ht="21" customHeight="1">
      <c r="A670" s="27">
        <f>WEEKNUM(Table6[[#This Row],[Start Date]])</f>
        <v>28</v>
      </c>
      <c r="B670" s="27" t="str">
        <f>TEXT(Table6[[#This Row],[Start Date]],"mmm")</f>
        <v>Jul</v>
      </c>
      <c r="C670" s="27" t="str">
        <f>_xlfn.IFNA(INDEX(Refer!$B$5:$B$103,MATCH(Table6[[#This Row],[TASK]],Refer!$C$5:$C$103,0)),"")</f>
        <v>NPI</v>
      </c>
      <c r="D670" s="93" t="s">
        <v>61</v>
      </c>
      <c r="E670" s="102" t="s">
        <v>701</v>
      </c>
      <c r="F670" s="82" t="s">
        <v>95</v>
      </c>
      <c r="G670" s="27" t="s">
        <v>64</v>
      </c>
      <c r="H670" s="41">
        <v>46210</v>
      </c>
      <c r="I670" s="41">
        <v>46210</v>
      </c>
      <c r="J670" s="41">
        <v>46210</v>
      </c>
      <c r="K670" s="27" t="str">
        <f>IF(Table6[[#This Row],[Finish Date]]=0,"On process","Close")</f>
        <v>Close</v>
      </c>
      <c r="L670" s="27" t="str">
        <f>IF(Table6[[#This Row],[Status]]="On process",IF($H$2&gt;Table6[[#This Row],[Target Date]],"Overdue","On time"),"Closed")</f>
        <v>Closed</v>
      </c>
      <c r="M670" s="27" t="str" cm="1">
        <f t="array" ref="M670">_xlfn.IFS(Table6[[#This Row],[Finish Date]]=0,"",Table6[[#This Row],[Finish Date]]&gt;Table6[[#This Row],[Target Date]],"Delay",Table6[[#This Row],[Finish Date]]&lt;=Table6[[#This Row],[Target Date]],"On Time")</f>
        <v>On Time</v>
      </c>
      <c r="N670" s="101"/>
      <c r="O670" s="101"/>
      <c r="P670" s="78"/>
      <c r="Q670" s="78"/>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row>
    <row r="671" spans="1:41" ht="21" customHeight="1">
      <c r="A671" s="27">
        <f>WEEKNUM(Table6[[#This Row],[Start Date]])</f>
        <v>28</v>
      </c>
      <c r="B671" s="27" t="str">
        <f>TEXT(Table6[[#This Row],[Start Date]],"mmm")</f>
        <v>Jul</v>
      </c>
      <c r="C671" s="27" t="str">
        <f>_xlfn.IFNA(INDEX(Refer!$B$5:$B$103,MATCH(Table6[[#This Row],[TASK]],Refer!$C$5:$C$103,0)),"")</f>
        <v>DFM Mold</v>
      </c>
      <c r="D671" s="93" t="s">
        <v>99</v>
      </c>
      <c r="E671" s="100" t="s">
        <v>707</v>
      </c>
      <c r="F671" s="82" t="s">
        <v>138</v>
      </c>
      <c r="G671" s="27" t="s">
        <v>64</v>
      </c>
      <c r="H671" s="41">
        <v>46211</v>
      </c>
      <c r="I671" s="41">
        <v>46212</v>
      </c>
      <c r="J671" s="41">
        <v>46212</v>
      </c>
      <c r="K671" s="27" t="str">
        <f>IF(Table6[[#This Row],[Finish Date]]=0,"On process","Close")</f>
        <v>Close</v>
      </c>
      <c r="L671" s="27" t="str">
        <f>IF(Table6[[#This Row],[Status]]="On process",IF($H$2&gt;Table6[[#This Row],[Target Date]],"Overdue","On time"),"Closed")</f>
        <v>Closed</v>
      </c>
      <c r="M671" s="27" t="str" cm="1">
        <f t="array" ref="M671">_xlfn.IFS(Table6[[#This Row],[Finish Date]]=0,"",Table6[[#This Row],[Finish Date]]&gt;Table6[[#This Row],[Target Date]],"Delay",Table6[[#This Row],[Finish Date]]&lt;=Table6[[#This Row],[Target Date]],"On Time")</f>
        <v>On Time</v>
      </c>
      <c r="N671" s="101"/>
      <c r="O671" s="101"/>
      <c r="P671" s="78"/>
      <c r="Q671" s="78"/>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row>
    <row r="672" spans="1:41" ht="21" customHeight="1">
      <c r="A672" s="27">
        <f>WEEKNUM(Table6[[#This Row],[Start Date]])</f>
        <v>28</v>
      </c>
      <c r="B672" s="27" t="str">
        <f>TEXT(Table6[[#This Row],[Start Date]],"mmm")</f>
        <v>Jul</v>
      </c>
      <c r="C672" s="27" t="str">
        <f>_xlfn.IFNA(INDEX(Refer!$B$5:$B$103,MATCH(Table6[[#This Row],[TASK]],Refer!$C$5:$C$103,0)),"")</f>
        <v>MEETING</v>
      </c>
      <c r="D672" s="93" t="s">
        <v>72</v>
      </c>
      <c r="E672" s="100" t="s">
        <v>98</v>
      </c>
      <c r="F672" s="82" t="s">
        <v>63</v>
      </c>
      <c r="G672" s="27" t="s">
        <v>64</v>
      </c>
      <c r="H672" s="41">
        <v>46212</v>
      </c>
      <c r="I672" s="41">
        <v>46212</v>
      </c>
      <c r="J672" s="41">
        <v>46212</v>
      </c>
      <c r="K672" s="27" t="str">
        <f>IF(Table6[[#This Row],[Finish Date]]=0,"On process","Close")</f>
        <v>Close</v>
      </c>
      <c r="L672" s="27" t="str">
        <f>IF(Table6[[#This Row],[Status]]="On process",IF($H$2&gt;Table6[[#This Row],[Target Date]],"Overdue","On time"),"Closed")</f>
        <v>Closed</v>
      </c>
      <c r="M672" s="27" t="str" cm="1">
        <f t="array" ref="M672">_xlfn.IFS(Table6[[#This Row],[Finish Date]]=0,"",Table6[[#This Row],[Finish Date]]&gt;Table6[[#This Row],[Target Date]],"Delay",Table6[[#This Row],[Finish Date]]&lt;=Table6[[#This Row],[Target Date]],"On Time")</f>
        <v>On Time</v>
      </c>
      <c r="N672" s="101"/>
      <c r="O672" s="101"/>
      <c r="P672" s="78"/>
      <c r="Q672" s="78"/>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row>
    <row r="673" spans="1:41" ht="21" customHeight="1">
      <c r="A673" s="27">
        <f>WEEKNUM(Table6[[#This Row],[Start Date]])</f>
        <v>28</v>
      </c>
      <c r="B673" s="27" t="str">
        <f>TEXT(Table6[[#This Row],[Start Date]],"mmm")</f>
        <v>Jul</v>
      </c>
      <c r="C673" s="27" t="str">
        <f>_xlfn.IFNA(INDEX(Refer!$B$5:$B$103,MATCH(Table6[[#This Row],[TASK]],Refer!$C$5:$C$103,0)),"")</f>
        <v>NPI</v>
      </c>
      <c r="D673" s="93" t="s">
        <v>61</v>
      </c>
      <c r="E673" s="100" t="s">
        <v>708</v>
      </c>
      <c r="F673" s="82" t="s">
        <v>66</v>
      </c>
      <c r="G673" s="27" t="s">
        <v>64</v>
      </c>
      <c r="H673" s="41">
        <v>46212</v>
      </c>
      <c r="I673" s="41">
        <v>46212</v>
      </c>
      <c r="J673" s="41">
        <v>46212</v>
      </c>
      <c r="K673" s="27" t="str">
        <f>IF(Table6[[#This Row],[Finish Date]]=0,"On process","Close")</f>
        <v>Close</v>
      </c>
      <c r="L673" s="27" t="str">
        <f>IF(Table6[[#This Row],[Status]]="On process",IF($H$2&gt;Table6[[#This Row],[Target Date]],"Overdue","On time"),"Closed")</f>
        <v>Closed</v>
      </c>
      <c r="M673" s="27" t="str" cm="1">
        <f t="array" ref="M673">_xlfn.IFS(Table6[[#This Row],[Finish Date]]=0,"",Table6[[#This Row],[Finish Date]]&gt;Table6[[#This Row],[Target Date]],"Delay",Table6[[#This Row],[Finish Date]]&lt;=Table6[[#This Row],[Target Date]],"On Time")</f>
        <v>On Time</v>
      </c>
      <c r="N673" s="101"/>
      <c r="O673" s="101"/>
      <c r="P673" s="78"/>
      <c r="Q673" s="78"/>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row>
    <row r="674" spans="1:41" ht="21" customHeight="1">
      <c r="A674" s="27">
        <f>WEEKNUM(Table6[[#This Row],[Start Date]])</f>
        <v>28</v>
      </c>
      <c r="B674" s="27" t="str">
        <f>TEXT(Table6[[#This Row],[Start Date]],"mmm")</f>
        <v>Jul</v>
      </c>
      <c r="C674" s="27" t="str">
        <f>_xlfn.IFNA(INDEX(Refer!$B$5:$B$103,MATCH(Table6[[#This Row],[TASK]],Refer!$C$5:$C$103,0)),"")</f>
        <v>NPI</v>
      </c>
      <c r="D674" s="93" t="s">
        <v>61</v>
      </c>
      <c r="E674" s="100" t="s">
        <v>709</v>
      </c>
      <c r="F674" s="82" t="s">
        <v>66</v>
      </c>
      <c r="G674" s="27" t="s">
        <v>64</v>
      </c>
      <c r="H674" s="41">
        <v>46212</v>
      </c>
      <c r="I674" s="41">
        <v>46217</v>
      </c>
      <c r="J674" s="41"/>
      <c r="K674" s="27" t="str">
        <f>IF(Table6[[#This Row],[Finish Date]]=0,"On process","Close")</f>
        <v>On process</v>
      </c>
      <c r="L674" s="27" t="str">
        <f ca="1">IF(Table6[[#This Row],[Status]]="On process",IF($H$2&gt;Table6[[#This Row],[Target Date]],"Overdue","On time"),"Closed")</f>
        <v>On time</v>
      </c>
      <c r="M674" s="27" t="str" cm="1">
        <f t="array" ref="M674">_xlfn.IFS(Table6[[#This Row],[Finish Date]]=0,"",Table6[[#This Row],[Finish Date]]&gt;Table6[[#This Row],[Target Date]],"Delay",Table6[[#This Row],[Finish Date]]&lt;=Table6[[#This Row],[Target Date]],"On Time")</f>
        <v/>
      </c>
      <c r="N674" s="101"/>
      <c r="O674" s="101"/>
      <c r="P674" s="78"/>
      <c r="Q674" s="78"/>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row>
    <row r="675" spans="1:41" ht="21" customHeight="1">
      <c r="A675" s="27">
        <f>WEEKNUM(Table6[[#This Row],[Start Date]])</f>
        <v>28</v>
      </c>
      <c r="B675" s="27" t="str">
        <f>TEXT(Table6[[#This Row],[Start Date]],"mmm")</f>
        <v>Jul</v>
      </c>
      <c r="C675" s="27" t="str">
        <f>_xlfn.IFNA(INDEX(Refer!$B$5:$B$103,MATCH(Table6[[#This Row],[TASK]],Refer!$C$5:$C$103,0)),"")</f>
        <v>RFQ</v>
      </c>
      <c r="D675" s="93" t="s">
        <v>21</v>
      </c>
      <c r="E675" s="100" t="s">
        <v>710</v>
      </c>
      <c r="F675" s="82" t="s">
        <v>177</v>
      </c>
      <c r="G675" s="27" t="s">
        <v>182</v>
      </c>
      <c r="H675" s="41">
        <v>46210</v>
      </c>
      <c r="I675" s="41">
        <v>46211</v>
      </c>
      <c r="J675" s="41">
        <v>46210</v>
      </c>
      <c r="K675" s="27" t="str">
        <f>IF(Table6[[#This Row],[Finish Date]]=0,"On process","Close")</f>
        <v>Close</v>
      </c>
      <c r="L675" s="27" t="str">
        <f>IF(Table6[[#This Row],[Status]]="On process",IF($H$2&gt;Table6[[#This Row],[Target Date]],"Overdue","On time"),"Closed")</f>
        <v>Closed</v>
      </c>
      <c r="M675" s="27" t="str" cm="1">
        <f t="array" ref="M675">_xlfn.IFS(Table6[[#This Row],[Finish Date]]=0,"",Table6[[#This Row],[Finish Date]]&gt;Table6[[#This Row],[Target Date]],"Delay",Table6[[#This Row],[Finish Date]]&lt;=Table6[[#This Row],[Target Date]],"On Time")</f>
        <v>On Time</v>
      </c>
      <c r="N675" s="101"/>
      <c r="O675" s="101"/>
      <c r="P675" s="78"/>
      <c r="Q675" s="78"/>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row>
    <row r="676" spans="1:41" ht="21" customHeight="1">
      <c r="A676" s="27">
        <f>WEEKNUM(Table6[[#This Row],[Start Date]])</f>
        <v>28</v>
      </c>
      <c r="B676" s="27" t="str">
        <f>TEXT(Table6[[#This Row],[Start Date]],"mmm")</f>
        <v>Jul</v>
      </c>
      <c r="C676" s="27" t="str">
        <f>_xlfn.IFNA(INDEX(Refer!$B$5:$B$103,MATCH(Table6[[#This Row],[TASK]],Refer!$C$5:$C$103,0)),"")</f>
        <v>Part DFM</v>
      </c>
      <c r="D676" s="93" t="s">
        <v>81</v>
      </c>
      <c r="E676" s="100" t="s">
        <v>711</v>
      </c>
      <c r="F676" s="82" t="s">
        <v>134</v>
      </c>
      <c r="G676" s="27" t="s">
        <v>182</v>
      </c>
      <c r="H676" s="41">
        <v>46210</v>
      </c>
      <c r="I676" s="41">
        <v>46211</v>
      </c>
      <c r="J676" s="41">
        <v>46210</v>
      </c>
      <c r="K676" s="27" t="str">
        <f>IF(Table6[[#This Row],[Finish Date]]=0,"On process","Close")</f>
        <v>Close</v>
      </c>
      <c r="L676" s="27" t="str">
        <f>IF(Table6[[#This Row],[Status]]="On process",IF($H$2&gt;Table6[[#This Row],[Target Date]],"Overdue","On time"),"Closed")</f>
        <v>Closed</v>
      </c>
      <c r="M676" s="27" t="str" cm="1">
        <f t="array" ref="M676">_xlfn.IFS(Table6[[#This Row],[Finish Date]]=0,"",Table6[[#This Row],[Finish Date]]&gt;Table6[[#This Row],[Target Date]],"Delay",Table6[[#This Row],[Finish Date]]&lt;=Table6[[#This Row],[Target Date]],"On Time")</f>
        <v>On Time</v>
      </c>
      <c r="N676" s="101"/>
      <c r="O676" s="101"/>
      <c r="P676" s="78"/>
      <c r="Q676" s="78"/>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row>
    <row r="677" spans="1:41" ht="21" customHeight="1">
      <c r="A677" s="27">
        <f>WEEKNUM(Table6[[#This Row],[Start Date]])</f>
        <v>28</v>
      </c>
      <c r="B677" s="27" t="str">
        <f>TEXT(Table6[[#This Row],[Start Date]],"mmm")</f>
        <v>Jul</v>
      </c>
      <c r="C677" s="27" t="str">
        <f>_xlfn.IFNA(INDEX(Refer!$B$5:$B$103,MATCH(Table6[[#This Row],[TASK]],Refer!$C$5:$C$103,0)),"")</f>
        <v>PROJECT</v>
      </c>
      <c r="D677" s="93" t="s">
        <v>504</v>
      </c>
      <c r="E677" s="100" t="s">
        <v>712</v>
      </c>
      <c r="F677" s="82"/>
      <c r="G677" s="27" t="s">
        <v>182</v>
      </c>
      <c r="H677" s="41">
        <v>46210</v>
      </c>
      <c r="I677" s="41">
        <v>46212</v>
      </c>
      <c r="J677" s="41">
        <v>46212</v>
      </c>
      <c r="K677" s="27" t="str">
        <f>IF(Table6[[#This Row],[Finish Date]]=0,"On process","Close")</f>
        <v>Close</v>
      </c>
      <c r="L677" s="27" t="str">
        <f>IF(Table6[[#This Row],[Status]]="On process",IF($H$2&gt;Table6[[#This Row],[Target Date]],"Overdue","On time"),"Closed")</f>
        <v>Closed</v>
      </c>
      <c r="M677" s="27" t="str" cm="1">
        <f t="array" ref="M677">_xlfn.IFS(Table6[[#This Row],[Finish Date]]=0,"",Table6[[#This Row],[Finish Date]]&gt;Table6[[#This Row],[Target Date]],"Delay",Table6[[#This Row],[Finish Date]]&lt;=Table6[[#This Row],[Target Date]],"On Time")</f>
        <v>On Time</v>
      </c>
      <c r="N677" s="101"/>
      <c r="O677" s="101"/>
      <c r="P677" s="78"/>
      <c r="Q677" s="78"/>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row>
    <row r="678" spans="1:41" ht="26.25" customHeight="1">
      <c r="A678" s="27">
        <f>WEEKNUM(Table6[[#This Row],[Start Date]])</f>
        <v>28</v>
      </c>
      <c r="B678" s="27" t="str">
        <f>TEXT(Table6[[#This Row],[Start Date]],"mmm")</f>
        <v>Jul</v>
      </c>
      <c r="C678" s="27" t="str">
        <f>_xlfn.IFNA(INDEX(Refer!$B$5:$B$103,MATCH(Table6[[#This Row],[TASK]],Refer!$C$5:$C$103,0)),"")</f>
        <v>PACKING</v>
      </c>
      <c r="D678" s="93" t="s">
        <v>112</v>
      </c>
      <c r="E678" s="100" t="s">
        <v>713</v>
      </c>
      <c r="F678" s="82" t="s">
        <v>63</v>
      </c>
      <c r="G678" s="27" t="s">
        <v>182</v>
      </c>
      <c r="H678" s="41">
        <v>46211</v>
      </c>
      <c r="I678" s="41">
        <v>46213</v>
      </c>
      <c r="J678" s="41"/>
      <c r="K678" s="27" t="str">
        <f>IF(Table6[[#This Row],[Finish Date]]=0,"On process","Close")</f>
        <v>On process</v>
      </c>
      <c r="L678" s="27" t="str">
        <f ca="1">IF(Table6[[#This Row],[Status]]="On process",IF($H$2&gt;Table6[[#This Row],[Target Date]],"Overdue","On time"),"Closed")</f>
        <v>On time</v>
      </c>
      <c r="M678" s="27" t="str" cm="1">
        <f t="array" ref="M678">_xlfn.IFS(Table6[[#This Row],[Finish Date]]=0,"",Table6[[#This Row],[Finish Date]]&gt;Table6[[#This Row],[Target Date]],"Delay",Table6[[#This Row],[Finish Date]]&lt;=Table6[[#This Row],[Target Date]],"On Time")</f>
        <v/>
      </c>
      <c r="N678" s="101"/>
      <c r="O678" s="101"/>
      <c r="P678" s="78"/>
      <c r="Q678" s="78"/>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row>
  </sheetData>
  <mergeCells count="16">
    <mergeCell ref="N9:T9"/>
    <mergeCell ref="U9:AA9"/>
    <mergeCell ref="AB9:AH9"/>
    <mergeCell ref="AI9:AO9"/>
    <mergeCell ref="AB8:AH8"/>
    <mergeCell ref="AI8:AO8"/>
    <mergeCell ref="A2:E2"/>
    <mergeCell ref="O2:Q2"/>
    <mergeCell ref="O3:Q3"/>
    <mergeCell ref="N8:T8"/>
    <mergeCell ref="U8:AA8"/>
    <mergeCell ref="H2:J2"/>
    <mergeCell ref="O6:V6"/>
    <mergeCell ref="K2:L2"/>
    <mergeCell ref="U4:V5"/>
    <mergeCell ref="O4:T5"/>
  </mergeCells>
  <phoneticPr fontId="4" type="noConversion"/>
  <conditionalFormatting sqref="F4:F11">
    <cfRule type="cellIs" dxfId="234" priority="3465" operator="equal">
      <formula>"Close"</formula>
    </cfRule>
  </conditionalFormatting>
  <conditionalFormatting sqref="F4:F11">
    <cfRule type="cellIs" dxfId="233" priority="3464" operator="equal">
      <formula>"Open"</formula>
    </cfRule>
  </conditionalFormatting>
  <conditionalFormatting sqref="F3">
    <cfRule type="cellIs" dxfId="232" priority="3461" operator="equal">
      <formula>"Close"</formula>
    </cfRule>
  </conditionalFormatting>
  <conditionalFormatting sqref="F3">
    <cfRule type="cellIs" dxfId="231" priority="3460" operator="equal">
      <formula>"Open"</formula>
    </cfRule>
  </conditionalFormatting>
  <conditionalFormatting sqref="A11:D11 G11:XFD11">
    <cfRule type="containsText" dxfId="230" priority="3409" operator="containsText" text="S">
      <formula>NOT(ISERROR(SEARCH("S",A11)))</formula>
    </cfRule>
  </conditionalFormatting>
  <conditionalFormatting sqref="A13:A26 A35:A38 A28:A33 A118:A139 A161:A165 A141:A155 A158 A40:A49 A51:A115">
    <cfRule type="expression" dxfId="229" priority="3121">
      <formula>$H13=0</formula>
    </cfRule>
  </conditionalFormatting>
  <conditionalFormatting sqref="G282 G13:G280 G286:G678">
    <cfRule type="cellIs" dxfId="228" priority="3119" operator="equal">
      <formula>0</formula>
    </cfRule>
  </conditionalFormatting>
  <conditionalFormatting sqref="G282 G13:G280 G286:G678">
    <cfRule type="containsText" dxfId="227" priority="2742" operator="containsText" text="Chutiporn">
      <formula>NOT(ISERROR(SEARCH("Chutiporn",G13)))</formula>
    </cfRule>
    <cfRule type="containsText" dxfId="226" priority="2743" operator="containsText" text="All">
      <formula>NOT(ISERROR(SEARCH("All",G13)))</formula>
    </cfRule>
    <cfRule type="containsText" dxfId="225" priority="2745" operator="containsText" text="Thiti">
      <formula>NOT(ISERROR(SEARCH("Thiti",G13)))</formula>
    </cfRule>
    <cfRule type="containsText" dxfId="224" priority="2746" operator="containsText" text="Tae">
      <formula>NOT(ISERROR(SEARCH("Tae",G13)))</formula>
    </cfRule>
    <cfRule type="containsText" dxfId="223" priority="2747" operator="containsText" text="Cable PIC">
      <formula>NOT(ISERROR(SEARCH("Cable PIC",G13)))</formula>
    </cfRule>
    <cfRule type="containsText" dxfId="222" priority="2748" operator="containsText" text="Bunnarak">
      <formula>NOT(ISERROR(SEARCH("Bunnarak",G13)))</formula>
    </cfRule>
  </conditionalFormatting>
  <conditionalFormatting sqref="J13:AO31 K32:AO32 J33:AO49 B13:F49 N50:AO50 F50 B50:D50 J51:AO155 J158:AO158 B158:F158 J161:AO165 N159:AO160 B159:D160 F159:F160 B161:F167 B51:F156 F157 B157:D157 N156:AO157 F168:F175 B168:D175 B176:F179 F180:F206 B180:D206 F208 D211 N166:AO678">
    <cfRule type="expression" dxfId="221" priority="14">
      <formula>AND(B$10&gt;=$H13,B$10&lt;=$I13,$G13="Chutiporn",$K13="On process")</formula>
    </cfRule>
    <cfRule type="expression" dxfId="220" priority="16">
      <formula>AND(B$10&gt;=$H13,B$10&lt;=$I13,$G13="Bunnarak",$K13="Close")</formula>
    </cfRule>
    <cfRule type="expression" dxfId="219" priority="1746">
      <formula>AND(B$10&gt;=$H13,B$10&lt;=$I13,$G13="All",$K13="On process")</formula>
    </cfRule>
    <cfRule type="expression" dxfId="218" priority="1747">
      <formula>AND(B$10&gt;=$H13,B$10&lt;=$I13,$G13="All",$K13="Close")</formula>
    </cfRule>
    <cfRule type="expression" dxfId="217" priority="1748">
      <formula>AND(B$10&gt;=$H13,B$10&lt;=$I13,$G13="Bunnarak",$K13="Close")</formula>
    </cfRule>
    <cfRule type="expression" dxfId="216" priority="1749">
      <formula>AND(B$10&gt;=$H13,B$10&lt;=$I13,$G13="Bunnarak",$K13="On process")</formula>
    </cfRule>
    <cfRule type="expression" dxfId="215" priority="1750">
      <formula>AND(B$10&gt;=$H13,B$10&lt;=$I13,$G13="Cable PIC",$K13="Close")</formula>
    </cfRule>
    <cfRule type="expression" dxfId="214" priority="1751">
      <formula>AND(B$10&gt;=$H13,B$10&lt;=$I13,$G13="Cable PIC",$K13="On process")</formula>
    </cfRule>
    <cfRule type="expression" dxfId="213" priority="1752">
      <formula>AND(B$10&gt;=$H13,B$10&lt;=$I13,$G13="Thiti",$K13="Close")</formula>
    </cfRule>
    <cfRule type="expression" dxfId="212" priority="1753">
      <formula>AND(B$10&gt;=$H13,B$10&lt;=$I13,$G13="Thiti",$K13="On process")</formula>
    </cfRule>
    <cfRule type="expression" dxfId="211" priority="1754">
      <formula>AND(B$10&gt;=$H13,B$10&lt;=$I13,$G13="Tae",$K13="Close")</formula>
    </cfRule>
    <cfRule type="expression" dxfId="210" priority="1755">
      <formula>AND(B$10&gt;=$H13,B$10&lt;=$I13,$G13="Tae",$K13="On process")</formula>
    </cfRule>
  </conditionalFormatting>
  <conditionalFormatting sqref="L13:L1601">
    <cfRule type="cellIs" dxfId="209" priority="206" operator="equal">
      <formula>"On time"</formula>
    </cfRule>
  </conditionalFormatting>
  <conditionalFormatting sqref="L13:L1601">
    <cfRule type="cellIs" dxfId="208" priority="205" operator="equal">
      <formula xml:space="preserve"> "Closed"</formula>
    </cfRule>
  </conditionalFormatting>
  <conditionalFormatting sqref="L13:L1601">
    <cfRule type="cellIs" dxfId="207" priority="204" operator="equal">
      <formula>"Overdue"</formula>
    </cfRule>
  </conditionalFormatting>
  <conditionalFormatting sqref="M13:M1601">
    <cfRule type="cellIs" dxfId="206" priority="203" operator="equal">
      <formula>"On Time"</formula>
    </cfRule>
  </conditionalFormatting>
  <conditionalFormatting sqref="M13:M1601">
    <cfRule type="cellIs" dxfId="205" priority="201" operator="equal">
      <formula>"Delay"</formula>
    </cfRule>
  </conditionalFormatting>
  <conditionalFormatting sqref="A39">
    <cfRule type="expression" dxfId="204" priority="3467">
      <formula>$H120=0</formula>
    </cfRule>
  </conditionalFormatting>
  <conditionalFormatting sqref="A91">
    <cfRule type="expression" dxfId="203" priority="3542">
      <formula>$H114=0</formula>
    </cfRule>
  </conditionalFormatting>
  <conditionalFormatting sqref="A89:A92">
    <cfRule type="expression" dxfId="202" priority="3618">
      <formula>$H129=0</formula>
    </cfRule>
  </conditionalFormatting>
  <conditionalFormatting sqref="A151:A153">
    <cfRule type="expression" dxfId="201" priority="3693">
      <formula>$H141=0</formula>
    </cfRule>
  </conditionalFormatting>
  <conditionalFormatting sqref="A152:A153 A147:A150 A158:A160">
    <cfRule type="expression" dxfId="200" priority="3767">
      <formula>$H132=0</formula>
    </cfRule>
  </conditionalFormatting>
  <conditionalFormatting sqref="A34">
    <cfRule type="expression" dxfId="199" priority="3768">
      <formula>$H123=0</formula>
    </cfRule>
  </conditionalFormatting>
  <conditionalFormatting sqref="A35:A36">
    <cfRule type="expression" dxfId="198" priority="3844">
      <formula>$H128=0</formula>
    </cfRule>
  </conditionalFormatting>
  <conditionalFormatting sqref="A36">
    <cfRule type="expression" dxfId="197" priority="3921">
      <formula>$H121=0</formula>
    </cfRule>
  </conditionalFormatting>
  <conditionalFormatting sqref="A91:A92">
    <cfRule type="expression" dxfId="196" priority="3996">
      <formula>$H132=0</formula>
    </cfRule>
  </conditionalFormatting>
  <conditionalFormatting sqref="A155:A157">
    <cfRule type="expression" dxfId="195" priority="3997">
      <formula>$H142=0</formula>
    </cfRule>
  </conditionalFormatting>
  <conditionalFormatting sqref="A47">
    <cfRule type="expression" dxfId="194" priority="4074">
      <formula>$H120=0</formula>
    </cfRule>
  </conditionalFormatting>
  <conditionalFormatting sqref="A47">
    <cfRule type="expression" dxfId="193" priority="4076">
      <formula>$H132=0</formula>
    </cfRule>
  </conditionalFormatting>
  <conditionalFormatting sqref="A47">
    <cfRule type="expression" dxfId="192" priority="4152">
      <formula>$H131=0</formula>
    </cfRule>
  </conditionalFormatting>
  <conditionalFormatting sqref="A44">
    <cfRule type="expression" dxfId="191" priority="4305">
      <formula>$H141=0</formula>
    </cfRule>
  </conditionalFormatting>
  <conditionalFormatting sqref="A44">
    <cfRule type="expression" dxfId="190" priority="4307">
      <formula>$H133=0</formula>
    </cfRule>
  </conditionalFormatting>
  <conditionalFormatting sqref="A45">
    <cfRule type="expression" dxfId="189" priority="4383">
      <formula>$H134=0</formula>
    </cfRule>
  </conditionalFormatting>
  <conditionalFormatting sqref="A45">
    <cfRule type="expression" dxfId="188" priority="4385">
      <formula>$H142=0</formula>
    </cfRule>
  </conditionalFormatting>
  <conditionalFormatting sqref="A85">
    <cfRule type="expression" dxfId="187" priority="4486">
      <formula>$H141=0</formula>
    </cfRule>
  </conditionalFormatting>
  <conditionalFormatting sqref="A85">
    <cfRule type="expression" dxfId="186" priority="4490">
      <formula>$H133=0</formula>
    </cfRule>
  </conditionalFormatting>
  <conditionalFormatting sqref="A153">
    <cfRule type="expression" dxfId="185" priority="4491">
      <formula>$H147=0</formula>
    </cfRule>
  </conditionalFormatting>
  <conditionalFormatting sqref="A119">
    <cfRule type="expression" dxfId="184" priority="4568">
      <formula>$H130=0</formula>
    </cfRule>
  </conditionalFormatting>
  <conditionalFormatting sqref="A135">
    <cfRule type="expression" dxfId="183" priority="4570">
      <formula>$H134=0</formula>
    </cfRule>
  </conditionalFormatting>
  <conditionalFormatting sqref="A151:A153">
    <cfRule type="expression" dxfId="182" priority="4578">
      <formula>$H133=0</formula>
    </cfRule>
  </conditionalFormatting>
  <conditionalFormatting sqref="A149:A150">
    <cfRule type="expression" dxfId="181" priority="4654">
      <formula>$H143=0</formula>
    </cfRule>
  </conditionalFormatting>
  <conditionalFormatting sqref="A148:A150">
    <cfRule type="expression" dxfId="180" priority="4656">
      <formula>$H134=0</formula>
    </cfRule>
  </conditionalFormatting>
  <conditionalFormatting sqref="A136">
    <cfRule type="expression" dxfId="179" priority="4758">
      <formula>$H144=0</formula>
    </cfRule>
  </conditionalFormatting>
  <conditionalFormatting sqref="A137">
    <cfRule type="expression" dxfId="178" priority="4765">
      <formula>$H135=0</formula>
    </cfRule>
  </conditionalFormatting>
  <conditionalFormatting sqref="A154">
    <cfRule type="expression" dxfId="177" priority="4869">
      <formula>$H145=0</formula>
    </cfRule>
  </conditionalFormatting>
  <conditionalFormatting sqref="A148">
    <cfRule type="expression" dxfId="176" priority="4870">
      <formula>$H142=0</formula>
    </cfRule>
  </conditionalFormatting>
  <conditionalFormatting sqref="A49:A50">
    <cfRule type="expression" dxfId="175" priority="4946">
      <formula>$H138=0</formula>
    </cfRule>
  </conditionalFormatting>
  <conditionalFormatting sqref="A49:A50">
    <cfRule type="expression" dxfId="174" priority="4948">
      <formula>$H145=0</formula>
    </cfRule>
  </conditionalFormatting>
  <conditionalFormatting sqref="A152">
    <cfRule type="expression" dxfId="173" priority="4973">
      <formula>$H145=0</formula>
    </cfRule>
  </conditionalFormatting>
  <conditionalFormatting sqref="A137">
    <cfRule type="expression" dxfId="172" priority="4974">
      <formula>$H143=0</formula>
    </cfRule>
  </conditionalFormatting>
  <conditionalFormatting sqref="A49:A50">
    <cfRule type="expression" dxfId="171" priority="5051">
      <formula>$H118=0</formula>
    </cfRule>
  </conditionalFormatting>
  <conditionalFormatting sqref="A49:A50">
    <cfRule type="expression" dxfId="170" priority="5126">
      <formula>$H132=0</formula>
    </cfRule>
  </conditionalFormatting>
  <conditionalFormatting sqref="A140:A141">
    <cfRule type="expression" dxfId="169" priority="5130">
      <formula>$H121=0</formula>
    </cfRule>
  </conditionalFormatting>
  <conditionalFormatting sqref="A150 A119">
    <cfRule type="expression" dxfId="168" priority="5219">
      <formula>$H114=0</formula>
    </cfRule>
  </conditionalFormatting>
  <conditionalFormatting sqref="A140:A141">
    <cfRule type="expression" dxfId="167" priority="5221">
      <formula>$H128=0</formula>
    </cfRule>
  </conditionalFormatting>
  <conditionalFormatting sqref="A114">
    <cfRule type="expression" dxfId="166" priority="5299">
      <formula>$H135=0</formula>
    </cfRule>
  </conditionalFormatting>
  <conditionalFormatting sqref="A91:A92">
    <cfRule type="expression" dxfId="165" priority="5301">
      <formula>$H134=0</formula>
    </cfRule>
  </conditionalFormatting>
  <conditionalFormatting sqref="A154">
    <cfRule type="expression" dxfId="164" priority="5303">
      <formula>$H138=0</formula>
    </cfRule>
  </conditionalFormatting>
  <conditionalFormatting sqref="A114:A117">
    <cfRule type="expression" dxfId="163" priority="5379">
      <formula>$H143=0</formula>
    </cfRule>
  </conditionalFormatting>
  <conditionalFormatting sqref="A149:A150">
    <cfRule type="expression" dxfId="162" priority="5405">
      <formula>$H133=0</formula>
    </cfRule>
  </conditionalFormatting>
  <conditionalFormatting sqref="A150">
    <cfRule type="expression" dxfId="161" priority="5409">
      <formula>$H138=0</formula>
    </cfRule>
  </conditionalFormatting>
  <conditionalFormatting sqref="A91:A92">
    <cfRule type="expression" dxfId="160" priority="5510">
      <formula>$H142=0</formula>
    </cfRule>
  </conditionalFormatting>
  <conditionalFormatting sqref="A82:A83">
    <cfRule type="expression" dxfId="159" priority="5511">
      <formula>$H129=0</formula>
    </cfRule>
  </conditionalFormatting>
  <conditionalFormatting sqref="A85">
    <cfRule type="expression" dxfId="158" priority="5587">
      <formula>$H131=0</formula>
    </cfRule>
  </conditionalFormatting>
  <conditionalFormatting sqref="A119">
    <cfRule type="expression" dxfId="157" priority="5663">
      <formula>$H132=0</formula>
    </cfRule>
  </conditionalFormatting>
  <conditionalFormatting sqref="A149:A150 A153">
    <cfRule type="expression" dxfId="156" priority="5668">
      <formula>$H141=0</formula>
    </cfRule>
  </conditionalFormatting>
  <conditionalFormatting sqref="A119">
    <cfRule type="expression" dxfId="155" priority="5745">
      <formula>$H144=0</formula>
    </cfRule>
  </conditionalFormatting>
  <conditionalFormatting sqref="A119 A136">
    <cfRule type="expression" dxfId="154" priority="5899">
      <formula>$H123=0</formula>
    </cfRule>
  </conditionalFormatting>
  <conditionalFormatting sqref="A154">
    <cfRule type="expression" dxfId="153" priority="5901">
      <formula>$H143=0</formula>
    </cfRule>
  </conditionalFormatting>
  <conditionalFormatting sqref="A147:A150">
    <cfRule type="expression" dxfId="152" priority="5910">
      <formula>$H140=0</formula>
    </cfRule>
  </conditionalFormatting>
  <conditionalFormatting sqref="A155:A157">
    <cfRule type="expression" dxfId="151" priority="5913">
      <formula>$H134=0</formula>
    </cfRule>
  </conditionalFormatting>
  <conditionalFormatting sqref="A136">
    <cfRule type="expression" dxfId="150" priority="5990">
      <formula>$H148=0</formula>
    </cfRule>
  </conditionalFormatting>
  <conditionalFormatting sqref="A124:A126">
    <cfRule type="expression" dxfId="149" priority="6073">
      <formula>$H145=0</formula>
    </cfRule>
  </conditionalFormatting>
  <conditionalFormatting sqref="A124:A126">
    <cfRule type="expression" dxfId="148" priority="6153">
      <formula>$H137=0</formula>
    </cfRule>
  </conditionalFormatting>
  <conditionalFormatting sqref="A115:A117">
    <cfRule type="expression" dxfId="147" priority="6179">
      <formula>$H143=0</formula>
    </cfRule>
  </conditionalFormatting>
  <conditionalFormatting sqref="A92">
    <cfRule type="expression" dxfId="146" priority="6259">
      <formula>$H144=0</formula>
    </cfRule>
  </conditionalFormatting>
  <conditionalFormatting sqref="A115:A117">
    <cfRule type="expression" dxfId="145" priority="6335">
      <formula>$H135=0</formula>
    </cfRule>
  </conditionalFormatting>
  <conditionalFormatting sqref="A117">
    <cfRule type="expression" dxfId="144" priority="6412">
      <formula>$H113=0</formula>
    </cfRule>
  </conditionalFormatting>
  <conditionalFormatting sqref="A117">
    <cfRule type="expression" dxfId="143" priority="6414">
      <formula>$H131=0</formula>
    </cfRule>
  </conditionalFormatting>
  <conditionalFormatting sqref="A116:A117">
    <cfRule type="expression" dxfId="142" priority="6440">
      <formula>$H128=0</formula>
    </cfRule>
  </conditionalFormatting>
  <conditionalFormatting sqref="A153">
    <cfRule type="expression" dxfId="141" priority="6443">
      <formula>$H139=0</formula>
    </cfRule>
  </conditionalFormatting>
  <conditionalFormatting sqref="A154">
    <cfRule type="expression" dxfId="140" priority="6447">
      <formula>$H135=0</formula>
    </cfRule>
  </conditionalFormatting>
  <conditionalFormatting sqref="A136 A119 A92 A115:A116">
    <cfRule type="expression" dxfId="139" priority="6523">
      <formula>#REF!=0</formula>
    </cfRule>
  </conditionalFormatting>
  <conditionalFormatting sqref="A135">
    <cfRule type="expression" dxfId="138" priority="6524">
      <formula>$H142=0</formula>
    </cfRule>
  </conditionalFormatting>
  <conditionalFormatting sqref="A117">
    <cfRule type="expression" dxfId="137" priority="6535">
      <formula>$H136=0</formula>
    </cfRule>
  </conditionalFormatting>
  <conditionalFormatting sqref="A126">
    <cfRule type="expression" dxfId="136" priority="6612">
      <formula>$H143=0</formula>
    </cfRule>
  </conditionalFormatting>
  <conditionalFormatting sqref="A126">
    <cfRule type="expression" dxfId="135" priority="6614">
      <formula>$H135=0</formula>
    </cfRule>
  </conditionalFormatting>
  <conditionalFormatting sqref="A161:A166">
    <cfRule type="expression" dxfId="134" priority="6642">
      <formula>$H136=0</formula>
    </cfRule>
  </conditionalFormatting>
  <conditionalFormatting sqref="A161:A166">
    <cfRule type="expression" dxfId="133" priority="6643">
      <formula>$H144=0</formula>
    </cfRule>
  </conditionalFormatting>
  <conditionalFormatting sqref="A158:A160">
    <cfRule type="expression" dxfId="132" priority="6647">
      <formula>$H135=0</formula>
    </cfRule>
  </conditionalFormatting>
  <conditionalFormatting sqref="G281">
    <cfRule type="cellIs" dxfId="131" priority="68" operator="equal">
      <formula>0</formula>
    </cfRule>
  </conditionalFormatting>
  <conditionalFormatting sqref="G281">
    <cfRule type="containsText" dxfId="130" priority="62" operator="containsText" text="Chutiporn">
      <formula>NOT(ISERROR(SEARCH("Chutiporn",G281)))</formula>
    </cfRule>
    <cfRule type="containsText" dxfId="129" priority="63" operator="containsText" text="All">
      <formula>NOT(ISERROR(SEARCH("All",G281)))</formula>
    </cfRule>
    <cfRule type="containsText" dxfId="128" priority="64" operator="containsText" text="Thiti">
      <formula>NOT(ISERROR(SEARCH("Thiti",G281)))</formula>
    </cfRule>
    <cfRule type="containsText" dxfId="127" priority="65" operator="containsText" text="Tae">
      <formula>NOT(ISERROR(SEARCH("Tae",G281)))</formula>
    </cfRule>
    <cfRule type="containsText" dxfId="126" priority="66" operator="containsText" text="Cable PIC">
      <formula>NOT(ISERROR(SEARCH("Cable PIC",G281)))</formula>
    </cfRule>
    <cfRule type="containsText" dxfId="125" priority="67" operator="containsText" text="Bunnarak">
      <formula>NOT(ISERROR(SEARCH("Bunnarak",G281)))</formula>
    </cfRule>
  </conditionalFormatting>
  <conditionalFormatting sqref="G283">
    <cfRule type="cellIs" dxfId="124" priority="61" operator="equal">
      <formula>0</formula>
    </cfRule>
  </conditionalFormatting>
  <conditionalFormatting sqref="G283">
    <cfRule type="containsText" dxfId="123" priority="55" operator="containsText" text="Chutiporn">
      <formula>NOT(ISERROR(SEARCH("Chutiporn",G283)))</formula>
    </cfRule>
    <cfRule type="containsText" dxfId="122" priority="56" operator="containsText" text="All">
      <formula>NOT(ISERROR(SEARCH("All",G283)))</formula>
    </cfRule>
    <cfRule type="containsText" dxfId="121" priority="57" operator="containsText" text="Thiti">
      <formula>NOT(ISERROR(SEARCH("Thiti",G283)))</formula>
    </cfRule>
    <cfRule type="containsText" dxfId="120" priority="58" operator="containsText" text="Tae">
      <formula>NOT(ISERROR(SEARCH("Tae",G283)))</formula>
    </cfRule>
    <cfRule type="containsText" dxfId="119" priority="59" operator="containsText" text="Cable PIC">
      <formula>NOT(ISERROR(SEARCH("Cable PIC",G283)))</formula>
    </cfRule>
    <cfRule type="containsText" dxfId="118" priority="60" operator="containsText" text="Bunnarak">
      <formula>NOT(ISERROR(SEARCH("Bunnarak",G283)))</formula>
    </cfRule>
  </conditionalFormatting>
  <conditionalFormatting sqref="G284">
    <cfRule type="cellIs" dxfId="117" priority="54" operator="equal">
      <formula>0</formula>
    </cfRule>
  </conditionalFormatting>
  <conditionalFormatting sqref="G284">
    <cfRule type="containsText" dxfId="116" priority="48" operator="containsText" text="Chutiporn">
      <formula>NOT(ISERROR(SEARCH("Chutiporn",G284)))</formula>
    </cfRule>
    <cfRule type="containsText" dxfId="115" priority="49" operator="containsText" text="All">
      <formula>NOT(ISERROR(SEARCH("All",G284)))</formula>
    </cfRule>
    <cfRule type="containsText" dxfId="114" priority="50" operator="containsText" text="Thiti">
      <formula>NOT(ISERROR(SEARCH("Thiti",G284)))</formula>
    </cfRule>
    <cfRule type="containsText" dxfId="113" priority="51" operator="containsText" text="Tae">
      <formula>NOT(ISERROR(SEARCH("Tae",G284)))</formula>
    </cfRule>
    <cfRule type="containsText" dxfId="112" priority="52" operator="containsText" text="Cable PIC">
      <formula>NOT(ISERROR(SEARCH("Cable PIC",G284)))</formula>
    </cfRule>
    <cfRule type="containsText" dxfId="111" priority="53" operator="containsText" text="Bunnarak">
      <formula>NOT(ISERROR(SEARCH("Bunnarak",G284)))</formula>
    </cfRule>
  </conditionalFormatting>
  <conditionalFormatting sqref="G285">
    <cfRule type="cellIs" dxfId="110" priority="47" operator="equal">
      <formula>0</formula>
    </cfRule>
  </conditionalFormatting>
  <conditionalFormatting sqref="G285">
    <cfRule type="containsText" dxfId="109" priority="41" operator="containsText" text="Chutiporn">
      <formula>NOT(ISERROR(SEARCH("Chutiporn",G285)))</formula>
    </cfRule>
    <cfRule type="containsText" dxfId="108" priority="42" operator="containsText" text="All">
      <formula>NOT(ISERROR(SEARCH("All",G285)))</formula>
    </cfRule>
    <cfRule type="containsText" dxfId="107" priority="43" operator="containsText" text="Thiti">
      <formula>NOT(ISERROR(SEARCH("Thiti",G285)))</formula>
    </cfRule>
    <cfRule type="containsText" dxfId="106" priority="44" operator="containsText" text="Tae">
      <formula>NOT(ISERROR(SEARCH("Tae",G285)))</formula>
    </cfRule>
    <cfRule type="containsText" dxfId="105" priority="45" operator="containsText" text="Cable PIC">
      <formula>NOT(ISERROR(SEARCH("Cable PIC",G285)))</formula>
    </cfRule>
    <cfRule type="containsText" dxfId="104" priority="46" operator="containsText" text="Bunnarak">
      <formula>NOT(ISERROR(SEARCH("Bunnarak",G285)))</formula>
    </cfRule>
  </conditionalFormatting>
  <conditionalFormatting sqref="J13:AO31 K32:AO32 J33:AO49 B13:F49 N50:AO50 F50 B50:D50 J51:AO155 J158:AO158 B158:F158 J161:AO165 N159:AO160 B159:D160 F159:F160 B161:F167 B51:F156 F157 B157:D157 N156:AO157 F168:F175 B168:D175 B176:F179 F180:F206 B180:D206 F208 D211 N166:AO678">
    <cfRule type="expression" dxfId="103" priority="15">
      <formula>AND(B$10&gt;=$H13,B$10&lt;=$I13,$G13="Chutiporn",$K13="Close")</formula>
    </cfRule>
  </conditionalFormatting>
  <dataValidations count="4">
    <dataValidation allowBlank="1" showInputMessage="1" showErrorMessage="1" sqref="A1:B1 A8:B11 C12:C23 C73:C74 C47:C50 C76:C94 C25:C45 C114:C127 C132:C166" xr:uid="{D91D2AAA-269E-4265-9BF9-85FC5CD6C664}"/>
    <dataValidation showInputMessage="1" showErrorMessage="1" sqref="H1:H10 I1:L1 I3:L11 H12:M23 H24:L25 H73:M74 H46:L76 H124:L133 H76:M94 H25:M45 H114:M127 H132:M166 H47:M50 H93:L113 H679:L1048576 H166:L678" xr:uid="{0DCB86BA-B24E-41C4-9D83-DFD05EF8E43F}"/>
    <dataValidation type="list" allowBlank="1" showInputMessage="1" showErrorMessage="1" sqref="G13:G678" xr:uid="{03EFD169-E106-49AB-8D6D-0CE9197CD650}">
      <formula1>Name</formula1>
    </dataValidation>
    <dataValidation type="list" allowBlank="1" showErrorMessage="1" errorTitle="DO NOT MANUAL INPUT" error="Please add new task name in &quot;Refer&quot;" sqref="D13:D678" xr:uid="{86E84E63-AEA6-48C4-8FBD-F76DD694191F}">
      <formula1>task_name</formula1>
    </dataValidation>
  </dataValidations>
  <pageMargins left="0.7" right="0.7" top="0.75" bottom="0.75" header="0.3" footer="0.3"/>
  <pageSetup paperSize="9" orientation="portrait" verticalDpi="0"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F751F-C053-4C85-A98B-9F2E303A5A3C}">
  <sheetPr codeName="Sheet4"/>
  <dimension ref="A2:S47"/>
  <sheetViews>
    <sheetView showGridLines="0" topLeftCell="A11" zoomScale="145" zoomScaleNormal="145" workbookViewId="0">
      <selection activeCell="G21" sqref="G21"/>
    </sheetView>
  </sheetViews>
  <sheetFormatPr defaultRowHeight="10.5"/>
  <cols>
    <col min="1" max="1" width="7" bestFit="1" customWidth="1"/>
    <col min="2" max="2" width="15.33203125" customWidth="1"/>
    <col min="3" max="3" width="52.6640625" bestFit="1" customWidth="1"/>
    <col min="4" max="4" width="11.5" customWidth="1"/>
    <col min="5" max="5" width="14.5" customWidth="1"/>
    <col min="7" max="7" width="12.6640625" bestFit="1" customWidth="1"/>
    <col min="9" max="9" width="7" bestFit="1" customWidth="1"/>
    <col min="10" max="10" width="12.6640625" bestFit="1" customWidth="1"/>
    <col min="19" max="19" width="13.83203125" bestFit="1" customWidth="1"/>
  </cols>
  <sheetData>
    <row r="2" spans="1:19" ht="15" customHeight="1"/>
    <row r="3" spans="1:19">
      <c r="B3" s="67" t="s">
        <v>714</v>
      </c>
      <c r="C3" s="68" t="s">
        <v>33</v>
      </c>
    </row>
    <row r="4" spans="1:19">
      <c r="A4" t="s">
        <v>715</v>
      </c>
      <c r="B4" s="66" t="s">
        <v>714</v>
      </c>
      <c r="C4" t="s">
        <v>716</v>
      </c>
      <c r="E4" t="s">
        <v>717</v>
      </c>
      <c r="G4" t="s">
        <v>714</v>
      </c>
      <c r="I4" t="s">
        <v>715</v>
      </c>
      <c r="J4" t="s">
        <v>714</v>
      </c>
    </row>
    <row r="5" spans="1:19">
      <c r="A5">
        <f>INDEX(Table11[Sort],MATCH(Table9[[#This Row],[Category]],Table11[Category],0))</f>
        <v>1</v>
      </c>
      <c r="B5" s="66" t="s">
        <v>17</v>
      </c>
      <c r="C5" t="s">
        <v>86</v>
      </c>
      <c r="E5" t="s">
        <v>182</v>
      </c>
      <c r="G5" t="s">
        <v>21</v>
      </c>
      <c r="I5">
        <v>1</v>
      </c>
      <c r="J5" t="s">
        <v>17</v>
      </c>
      <c r="M5" s="72" t="s">
        <v>718</v>
      </c>
    </row>
    <row r="6" spans="1:19">
      <c r="A6">
        <f>INDEX(Table11[Sort],MATCH(Table9[[#This Row],[Category]],Table11[Category],0))</f>
        <v>1</v>
      </c>
      <c r="B6" s="66" t="s">
        <v>17</v>
      </c>
      <c r="C6" t="s">
        <v>118</v>
      </c>
      <c r="E6" t="s">
        <v>479</v>
      </c>
      <c r="G6" t="s">
        <v>17</v>
      </c>
      <c r="I6">
        <v>2</v>
      </c>
      <c r="J6" t="s">
        <v>14</v>
      </c>
      <c r="M6" s="73" t="s">
        <v>719</v>
      </c>
      <c r="S6" t="s">
        <v>720</v>
      </c>
    </row>
    <row r="7" spans="1:19">
      <c r="A7">
        <f>INDEX(Table11[Sort],MATCH(Table9[[#This Row],[Category]],Table11[Category],0))</f>
        <v>1</v>
      </c>
      <c r="B7" s="66" t="s">
        <v>17</v>
      </c>
      <c r="C7" t="s">
        <v>274</v>
      </c>
      <c r="E7" t="s">
        <v>64</v>
      </c>
      <c r="G7" t="s">
        <v>721</v>
      </c>
      <c r="I7">
        <v>3</v>
      </c>
      <c r="J7" t="s">
        <v>19</v>
      </c>
      <c r="M7" s="72" t="s">
        <v>722</v>
      </c>
    </row>
    <row r="8" spans="1:19">
      <c r="A8">
        <f>INDEX(Table11[Sort],MATCH(Table9[[#This Row],[Category]],Table11[Category],0))</f>
        <v>1</v>
      </c>
      <c r="B8" s="66" t="s">
        <v>17</v>
      </c>
      <c r="C8" t="s">
        <v>521</v>
      </c>
      <c r="E8" t="s">
        <v>436</v>
      </c>
      <c r="G8" t="s">
        <v>16</v>
      </c>
      <c r="I8">
        <v>4</v>
      </c>
      <c r="J8" t="s">
        <v>21</v>
      </c>
      <c r="M8" s="73" t="s">
        <v>723</v>
      </c>
    </row>
    <row r="9" spans="1:19">
      <c r="A9">
        <f>INDEX(Table11[Sort],MATCH(Table9[[#This Row],[Category]],Table11[Category],0))</f>
        <v>1</v>
      </c>
      <c r="B9" s="66" t="s">
        <v>17</v>
      </c>
      <c r="C9" t="s">
        <v>183</v>
      </c>
      <c r="E9" t="s">
        <v>440</v>
      </c>
      <c r="G9" t="s">
        <v>724</v>
      </c>
      <c r="I9">
        <v>5</v>
      </c>
      <c r="J9" t="s">
        <v>22</v>
      </c>
      <c r="M9" s="72" t="s">
        <v>191</v>
      </c>
    </row>
    <row r="10" spans="1:19">
      <c r="A10">
        <f>INDEX(Table11[Sort],MATCH(Table9[[#This Row],[Category]],Table11[Category],0))</f>
        <v>1</v>
      </c>
      <c r="B10" s="66" t="s">
        <v>17</v>
      </c>
      <c r="C10" t="s">
        <v>61</v>
      </c>
      <c r="E10" t="s">
        <v>191</v>
      </c>
      <c r="G10" t="s">
        <v>22</v>
      </c>
      <c r="I10">
        <v>6</v>
      </c>
      <c r="J10" t="s">
        <v>20</v>
      </c>
    </row>
    <row r="11" spans="1:19">
      <c r="A11">
        <f>INDEX(Table11[Sort],MATCH(Table9[[#This Row],[Category]],Table11[Category],0))</f>
        <v>1</v>
      </c>
      <c r="B11" s="66" t="s">
        <v>17</v>
      </c>
      <c r="C11" t="s">
        <v>199</v>
      </c>
      <c r="G11" t="s">
        <v>20</v>
      </c>
      <c r="I11">
        <v>7</v>
      </c>
      <c r="J11" t="s">
        <v>16</v>
      </c>
    </row>
    <row r="12" spans="1:19">
      <c r="A12">
        <f>INDEX(Table11[Sort],MATCH(Table9[[#This Row],[Category]],Table11[Category],0))</f>
        <v>1</v>
      </c>
      <c r="B12" s="66" t="s">
        <v>17</v>
      </c>
      <c r="C12" t="s">
        <v>70</v>
      </c>
      <c r="G12" t="s">
        <v>725</v>
      </c>
      <c r="I12">
        <v>8</v>
      </c>
      <c r="J12" t="s">
        <v>725</v>
      </c>
    </row>
    <row r="13" spans="1:19">
      <c r="A13">
        <f>INDEX(Table11[Sort],MATCH(Table9[[#This Row],[Category]],Table11[Category],0))</f>
        <v>1</v>
      </c>
      <c r="B13" s="66" t="s">
        <v>17</v>
      </c>
      <c r="C13" t="s">
        <v>172</v>
      </c>
      <c r="I13">
        <v>9</v>
      </c>
      <c r="J13" s="66" t="s">
        <v>726</v>
      </c>
    </row>
    <row r="14" spans="1:19">
      <c r="A14">
        <f>INDEX(Table11[Sort],MATCH(Table9[[#This Row],[Category]],Table11[Category],0))</f>
        <v>9</v>
      </c>
      <c r="B14" s="66" t="s">
        <v>726</v>
      </c>
      <c r="C14" t="s">
        <v>112</v>
      </c>
      <c r="J14" s="66"/>
    </row>
    <row r="15" spans="1:19">
      <c r="A15">
        <f>INDEX(Table11[Sort],MATCH(Table9[[#This Row],[Category]],Table11[Category],0))</f>
        <v>9</v>
      </c>
      <c r="B15" s="66" t="s">
        <v>726</v>
      </c>
      <c r="C15" t="s">
        <v>120</v>
      </c>
    </row>
    <row r="16" spans="1:19">
      <c r="A16">
        <f>INDEX(Table11[Sort],MATCH(Table9[[#This Row],[Category]],Table11[Category],0))</f>
        <v>2</v>
      </c>
      <c r="B16" s="66" t="s">
        <v>14</v>
      </c>
      <c r="C16" t="s">
        <v>91</v>
      </c>
    </row>
    <row r="17" spans="1:6">
      <c r="A17">
        <f>INDEX(Table11[Sort],MATCH(Table9[[#This Row],[Category]],Table11[Category],0))</f>
        <v>2</v>
      </c>
      <c r="B17" s="66" t="s">
        <v>14</v>
      </c>
      <c r="C17" t="s">
        <v>99</v>
      </c>
    </row>
    <row r="18" spans="1:6">
      <c r="A18">
        <f>INDEX(Table11[Sort],MATCH(Table9[[#This Row],[Category]],Table11[Category],0))</f>
        <v>2</v>
      </c>
      <c r="B18" s="66" t="s">
        <v>14</v>
      </c>
      <c r="C18" t="s">
        <v>227</v>
      </c>
      <c r="F18" t="s">
        <v>727</v>
      </c>
    </row>
    <row r="19" spans="1:6">
      <c r="A19">
        <f>INDEX(Table11[Sort],MATCH(Table9[[#This Row],[Category]],Table11[Category],0))</f>
        <v>2</v>
      </c>
      <c r="B19" s="66" t="s">
        <v>14</v>
      </c>
      <c r="C19" t="s">
        <v>224</v>
      </c>
    </row>
    <row r="20" spans="1:6">
      <c r="A20">
        <f>INDEX(Table11[Sort],MATCH(Table9[[#This Row],[Category]],Table11[Category],0))</f>
        <v>3</v>
      </c>
      <c r="B20" t="s">
        <v>19</v>
      </c>
      <c r="C20" s="66" t="s">
        <v>447</v>
      </c>
    </row>
    <row r="21" spans="1:6">
      <c r="A21">
        <f>INDEX(Table11[Sort],MATCH(Table9[[#This Row],[Category]],Table11[Category],0))</f>
        <v>3</v>
      </c>
      <c r="B21" t="s">
        <v>19</v>
      </c>
      <c r="C21" s="66" t="s">
        <v>81</v>
      </c>
    </row>
    <row r="22" spans="1:6">
      <c r="A22">
        <f>INDEX(Table11[Sort],MATCH(Table9[[#This Row],[Category]],Table11[Category],0))</f>
        <v>3</v>
      </c>
      <c r="B22" s="66" t="s">
        <v>19</v>
      </c>
      <c r="C22" t="s">
        <v>728</v>
      </c>
    </row>
    <row r="23" spans="1:6">
      <c r="A23">
        <f>INDEX(Table11[Sort],MATCH(Table9[[#This Row],[Category]],Table11[Category],0))</f>
        <v>3</v>
      </c>
      <c r="B23" s="66" t="s">
        <v>19</v>
      </c>
      <c r="C23" t="s">
        <v>729</v>
      </c>
    </row>
    <row r="24" spans="1:6">
      <c r="A24">
        <f>INDEX(Table11[Sort],MATCH(Table9[[#This Row],[Category]],Table11[Category],0))</f>
        <v>3</v>
      </c>
      <c r="B24" s="66" t="s">
        <v>19</v>
      </c>
      <c r="C24" t="s">
        <v>730</v>
      </c>
    </row>
    <row r="25" spans="1:6">
      <c r="A25">
        <f>INDEX(Table11[Sort],MATCH(Table9[[#This Row],[Category]],Table11[Category],0))</f>
        <v>4</v>
      </c>
      <c r="B25" s="66" t="s">
        <v>21</v>
      </c>
      <c r="C25" t="s">
        <v>21</v>
      </c>
    </row>
    <row r="26" spans="1:6">
      <c r="A26">
        <f>INDEX(Table11[Sort],MATCH(Table9[[#This Row],[Category]],Table11[Category],0))</f>
        <v>4</v>
      </c>
      <c r="B26" s="66" t="s">
        <v>21</v>
      </c>
      <c r="C26" t="s">
        <v>123</v>
      </c>
    </row>
    <row r="27" spans="1:6">
      <c r="A27">
        <f>INDEX(Table11[Sort],MATCH(Table9[[#This Row],[Category]],Table11[Category],0))</f>
        <v>5</v>
      </c>
      <c r="B27" s="66" t="s">
        <v>22</v>
      </c>
      <c r="C27" t="s">
        <v>504</v>
      </c>
    </row>
    <row r="28" spans="1:6">
      <c r="A28">
        <f>INDEX(Table11[Sort],MATCH(Table9[[#This Row],[Category]],Table11[Category],0))</f>
        <v>9</v>
      </c>
      <c r="B28" s="66" t="s">
        <v>726</v>
      </c>
      <c r="C28" t="s">
        <v>511</v>
      </c>
    </row>
    <row r="29" spans="1:6">
      <c r="A29">
        <v>9</v>
      </c>
      <c r="B29" s="66" t="s">
        <v>726</v>
      </c>
      <c r="C29" t="s">
        <v>147</v>
      </c>
    </row>
    <row r="30" spans="1:6">
      <c r="A30">
        <f>INDEX(Table11[Sort],MATCH(Table9[[#This Row],[Category]],Table11[Category],0))</f>
        <v>5</v>
      </c>
      <c r="B30" s="66" t="s">
        <v>22</v>
      </c>
      <c r="C30" t="s">
        <v>731</v>
      </c>
    </row>
    <row r="31" spans="1:6">
      <c r="A31">
        <f>INDEX(Table11[Sort],MATCH(Table9[[#This Row],[Category]],Table11[Category],0))</f>
        <v>1</v>
      </c>
      <c r="B31" s="66" t="s">
        <v>17</v>
      </c>
      <c r="C31" t="s">
        <v>732</v>
      </c>
    </row>
    <row r="32" spans="1:6">
      <c r="A32">
        <f>INDEX(Table11[Sort],MATCH(Table9[[#This Row],[Category]],Table11[Category],0))</f>
        <v>1</v>
      </c>
      <c r="B32" s="66" t="s">
        <v>17</v>
      </c>
      <c r="C32" t="s">
        <v>675</v>
      </c>
    </row>
    <row r="33" spans="1:3">
      <c r="A33">
        <f>INDEX(Table11[Sort],MATCH(Table9[[#This Row],[Category]],Table11[Category],0))</f>
        <v>6</v>
      </c>
      <c r="B33" t="s">
        <v>20</v>
      </c>
      <c r="C33" t="s">
        <v>72</v>
      </c>
    </row>
    <row r="34" spans="1:3">
      <c r="A34">
        <f>INDEX(Table11[Sort],MATCH(Table9[[#This Row],[Category]],Table11[Category],0))</f>
        <v>7</v>
      </c>
      <c r="B34" s="66" t="s">
        <v>16</v>
      </c>
      <c r="C34" t="s">
        <v>108</v>
      </c>
    </row>
    <row r="35" spans="1:3">
      <c r="A35">
        <f>INDEX(Table11[Sort],MATCH(Table9[[#This Row],[Category]],Table11[Category],0))</f>
        <v>7</v>
      </c>
      <c r="B35" s="66" t="s">
        <v>16</v>
      </c>
      <c r="C35" t="s">
        <v>201</v>
      </c>
    </row>
    <row r="36" spans="1:3">
      <c r="A36">
        <f>INDEX(Table11[Sort],MATCH(Table9[[#This Row],[Category]],Table11[Category],0))</f>
        <v>7</v>
      </c>
      <c r="B36" t="s">
        <v>16</v>
      </c>
      <c r="C36" t="s">
        <v>733</v>
      </c>
    </row>
    <row r="37" spans="1:3">
      <c r="A37">
        <f>INDEX(Table11[Sort],MATCH(Table9[[#This Row],[Category]],Table11[Category],0))</f>
        <v>7</v>
      </c>
      <c r="B37" t="s">
        <v>16</v>
      </c>
      <c r="C37" t="s">
        <v>104</v>
      </c>
    </row>
    <row r="38" spans="1:3">
      <c r="A38">
        <f>INDEX(Table11[Sort],MATCH(Table9[[#This Row],[Category]],Table11[Category],0))</f>
        <v>7</v>
      </c>
      <c r="B38" t="s">
        <v>16</v>
      </c>
      <c r="C38" t="s">
        <v>734</v>
      </c>
    </row>
    <row r="39" spans="1:3">
      <c r="A39">
        <f>INDEX(Table11[Sort],MATCH(Table9[[#This Row],[Category]],Table11[Category],0))</f>
        <v>7</v>
      </c>
      <c r="B39" t="s">
        <v>16</v>
      </c>
      <c r="C39" t="s">
        <v>298</v>
      </c>
    </row>
    <row r="40" spans="1:3">
      <c r="A40">
        <f>INDEX(Table11[Sort],MATCH(Table9[[#This Row],[Category]],Table11[Category],0))</f>
        <v>7</v>
      </c>
      <c r="B40" t="s">
        <v>16</v>
      </c>
      <c r="C40" t="s">
        <v>262</v>
      </c>
    </row>
    <row r="41" spans="1:3">
      <c r="A41">
        <f>INDEX(Table11[Sort],MATCH(Table9[[#This Row],[Category]],Table11[Category],0))</f>
        <v>7</v>
      </c>
      <c r="B41" t="s">
        <v>16</v>
      </c>
      <c r="C41" t="s">
        <v>325</v>
      </c>
    </row>
    <row r="42" spans="1:3">
      <c r="A42">
        <f>INDEX(Table11[Sort],MATCH(Table9[[#This Row],[Category]],Table11[Category],0))</f>
        <v>8</v>
      </c>
      <c r="B42" s="66" t="s">
        <v>725</v>
      </c>
      <c r="C42" t="s">
        <v>264</v>
      </c>
    </row>
    <row r="43" spans="1:3">
      <c r="A43">
        <f>INDEX(Table11[Sort],MATCH(Table9[[#This Row],[Category]],Table11[Category],0))</f>
        <v>8</v>
      </c>
      <c r="B43" s="66" t="s">
        <v>725</v>
      </c>
      <c r="C43" t="s">
        <v>735</v>
      </c>
    </row>
    <row r="44" spans="1:3">
      <c r="A44">
        <f>INDEX(Table11[Sort],MATCH(Table9[[#This Row],[Category]],Table11[Category],0))</f>
        <v>8</v>
      </c>
      <c r="B44" s="66" t="s">
        <v>725</v>
      </c>
      <c r="C44" t="s">
        <v>216</v>
      </c>
    </row>
    <row r="45" spans="1:3">
      <c r="A45">
        <f>INDEX(Table11[Sort],MATCH(Table9[[#This Row],[Category]],Table11[Category],0))</f>
        <v>8</v>
      </c>
      <c r="B45" s="66" t="s">
        <v>725</v>
      </c>
      <c r="C45" t="s">
        <v>178</v>
      </c>
    </row>
    <row r="46" spans="1:3">
      <c r="A46">
        <f>INDEX(Table11[Sort],MATCH(Table9[[#This Row],[Category]],Table11[Category],0))</f>
        <v>8</v>
      </c>
      <c r="B46" s="66" t="s">
        <v>725</v>
      </c>
      <c r="C46" t="s">
        <v>736</v>
      </c>
    </row>
    <row r="47" spans="1:3">
      <c r="A47">
        <f>INDEX(Table11[Sort],MATCH(Table9[[#This Row],[Category]],Table11[Category],0))</f>
        <v>7</v>
      </c>
      <c r="B47" t="s">
        <v>16</v>
      </c>
      <c r="C47" t="s">
        <v>737</v>
      </c>
    </row>
  </sheetData>
  <phoneticPr fontId="4" type="noConversion"/>
  <pageMargins left="0.7" right="0.7" top="0.75" bottom="0.75" header="0.3" footer="0.3"/>
  <pageSetup paperSize="9" orientation="portrait" verticalDpi="0" r:id="rId1"/>
  <tableParts count="4">
    <tablePart r:id="rId2"/>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F87FB-DE19-4156-B505-A75ED856341F}">
  <sheetPr codeName="Sheet7"/>
  <dimension ref="A1:BC37"/>
  <sheetViews>
    <sheetView showGridLines="0" workbookViewId="0">
      <selection activeCell="AG38" sqref="AG38"/>
    </sheetView>
  </sheetViews>
  <sheetFormatPr defaultRowHeight="10.5"/>
  <cols>
    <col min="1" max="2" width="2.1640625" customWidth="1"/>
    <col min="3" max="3" width="13" bestFit="1" customWidth="1"/>
    <col min="4" max="4" width="12.1640625" bestFit="1" customWidth="1"/>
    <col min="5" max="5" width="2.6640625" customWidth="1"/>
    <col min="6" max="6" width="2" customWidth="1"/>
    <col min="7" max="7" width="2.5" customWidth="1"/>
    <col min="8" max="8" width="13" bestFit="1" customWidth="1"/>
    <col min="9" max="9" width="15.6640625" bestFit="1" customWidth="1"/>
    <col min="10" max="10" width="9.6640625" bestFit="1" customWidth="1"/>
    <col min="11" max="11" width="8.5" bestFit="1" customWidth="1"/>
    <col min="12" max="12" width="6.5" bestFit="1" customWidth="1"/>
    <col min="13" max="13" width="4.5" bestFit="1" customWidth="1"/>
    <col min="14" max="14" width="8" bestFit="1" customWidth="1"/>
    <col min="15" max="15" width="4.5" bestFit="1" customWidth="1"/>
    <col min="16" max="17" width="8.33203125" bestFit="1" customWidth="1"/>
    <col min="18" max="18" width="8.5" bestFit="1" customWidth="1"/>
    <col min="19" max="19" width="9.33203125" bestFit="1" customWidth="1"/>
    <col min="20" max="20" width="2.6640625" customWidth="1"/>
    <col min="21" max="21" width="2.83203125" customWidth="1"/>
    <col min="22" max="22" width="13" bestFit="1" customWidth="1"/>
    <col min="23" max="23" width="7.5" bestFit="1" customWidth="1"/>
    <col min="24" max="24" width="15.6640625" bestFit="1" customWidth="1"/>
    <col min="25" max="25" width="9.6640625" bestFit="1" customWidth="1"/>
    <col min="26" max="26" width="5.33203125" bestFit="1" customWidth="1"/>
    <col min="27" max="27" width="3.5" customWidth="1"/>
    <col min="28" max="28" width="3" customWidth="1"/>
    <col min="29" max="29" width="20.5" bestFit="1" customWidth="1"/>
    <col min="30" max="30" width="7.5" bestFit="1" customWidth="1"/>
    <col min="31" max="31" width="15.6640625" bestFit="1" customWidth="1"/>
    <col min="32" max="32" width="6.33203125" bestFit="1" customWidth="1"/>
    <col min="33" max="33" width="7.5" bestFit="1" customWidth="1"/>
    <col min="34" max="34" width="5.33203125" bestFit="1" customWidth="1"/>
    <col min="35" max="35" width="7.5" customWidth="1"/>
    <col min="36" max="36" width="2.5" customWidth="1"/>
    <col min="37" max="37" width="13" bestFit="1" customWidth="1"/>
    <col min="38" max="38" width="14.33203125" bestFit="1" customWidth="1"/>
    <col min="39" max="39" width="8" bestFit="1" customWidth="1"/>
    <col min="40" max="41" width="13.1640625" bestFit="1" customWidth="1"/>
    <col min="42" max="44" width="4.5" customWidth="1"/>
    <col min="45" max="45" width="22.1640625" bestFit="1" customWidth="1"/>
    <col min="46" max="46" width="8.1640625" bestFit="1" customWidth="1"/>
    <col min="47" max="47" width="15.6640625" bestFit="1" customWidth="1"/>
    <col min="48" max="48" width="12.6640625" bestFit="1" customWidth="1"/>
    <col min="49" max="49" width="11.1640625" bestFit="1" customWidth="1"/>
    <col min="50" max="50" width="10" bestFit="1" customWidth="1"/>
    <col min="51" max="51" width="5.6640625" customWidth="1"/>
    <col min="55" max="55" width="4.6640625" customWidth="1"/>
  </cols>
  <sheetData>
    <row r="1" spans="1:55">
      <c r="B1" t="s">
        <v>738</v>
      </c>
      <c r="G1" t="s">
        <v>739</v>
      </c>
      <c r="U1" t="s">
        <v>740</v>
      </c>
      <c r="AB1" t="s">
        <v>741</v>
      </c>
      <c r="AJ1" s="47"/>
      <c r="AK1" s="48"/>
      <c r="AL1" s="48"/>
      <c r="AM1" s="48"/>
      <c r="AN1" s="48"/>
      <c r="AO1" s="49"/>
      <c r="AS1" s="125" t="s">
        <v>30</v>
      </c>
      <c r="AT1" s="44" t="s">
        <v>742</v>
      </c>
      <c r="BC1" s="44"/>
    </row>
    <row r="2" spans="1:55">
      <c r="B2" s="47"/>
      <c r="C2" s="48"/>
      <c r="D2" s="48"/>
      <c r="E2" s="49"/>
      <c r="F2" s="45"/>
      <c r="G2" s="47"/>
      <c r="H2" s="48"/>
      <c r="I2" s="48"/>
      <c r="J2" s="48"/>
      <c r="K2" s="48"/>
      <c r="L2" s="48"/>
      <c r="M2" s="48"/>
      <c r="N2" s="48"/>
      <c r="O2" s="48"/>
      <c r="P2" s="48"/>
      <c r="Q2" s="48"/>
      <c r="R2" s="48"/>
      <c r="S2" s="49"/>
      <c r="T2" s="44"/>
      <c r="U2" s="47"/>
      <c r="V2" s="48"/>
      <c r="W2" s="48"/>
      <c r="X2" s="48"/>
      <c r="Y2" s="48"/>
      <c r="Z2" s="49"/>
      <c r="AA2" s="52"/>
      <c r="AB2" s="47"/>
      <c r="AC2" s="48"/>
      <c r="AD2" s="48"/>
      <c r="AE2" s="48"/>
      <c r="AF2" s="48"/>
      <c r="AG2" s="48"/>
      <c r="AH2" s="48"/>
      <c r="AJ2" s="45"/>
      <c r="AK2" s="54" t="s">
        <v>31</v>
      </c>
      <c r="AL2" s="49" t="s">
        <v>743</v>
      </c>
      <c r="AO2" s="44"/>
      <c r="BC2" s="44"/>
    </row>
    <row r="3" spans="1:55">
      <c r="B3" s="45"/>
      <c r="C3" s="22" t="s">
        <v>744</v>
      </c>
      <c r="D3" s="3" t="s">
        <v>745</v>
      </c>
      <c r="E3" s="44"/>
      <c r="F3" s="45"/>
      <c r="G3" s="45"/>
      <c r="H3" s="22" t="s">
        <v>746</v>
      </c>
      <c r="I3" s="22" t="s">
        <v>747</v>
      </c>
      <c r="J3" s="3"/>
      <c r="P3" t="s">
        <v>748</v>
      </c>
      <c r="S3" s="44"/>
      <c r="T3" s="44"/>
      <c r="V3" s="43" t="s">
        <v>746</v>
      </c>
      <c r="X3" s="43" t="s">
        <v>747</v>
      </c>
      <c r="AA3" s="52"/>
      <c r="AB3" s="45"/>
      <c r="AC3" s="125" t="s">
        <v>749</v>
      </c>
      <c r="AD3" s="44"/>
      <c r="AE3" s="51" t="s">
        <v>747</v>
      </c>
      <c r="AF3" s="124"/>
      <c r="AG3" s="124"/>
      <c r="AH3" s="44"/>
      <c r="AJ3" s="45"/>
      <c r="AO3" s="44"/>
      <c r="AS3" s="125" t="s">
        <v>750</v>
      </c>
      <c r="AT3" s="44"/>
      <c r="AU3" s="51" t="s">
        <v>747</v>
      </c>
      <c r="AV3" s="44"/>
      <c r="AZ3" s="61" t="s">
        <v>751</v>
      </c>
      <c r="BA3" s="8">
        <f>GETPIVOTDATA("Performace",$AS$3)</f>
        <v>659</v>
      </c>
      <c r="BC3" s="44"/>
    </row>
    <row r="4" spans="1:55">
      <c r="B4" s="45"/>
      <c r="C4" s="55" t="s">
        <v>17</v>
      </c>
      <c r="D4" s="128">
        <v>187</v>
      </c>
      <c r="E4" s="44"/>
      <c r="F4" s="45"/>
      <c r="G4" s="45"/>
      <c r="H4" s="22" t="s">
        <v>744</v>
      </c>
      <c r="I4" s="98" t="s">
        <v>742</v>
      </c>
      <c r="J4" s="96" t="s">
        <v>752</v>
      </c>
      <c r="L4" s="74" t="s">
        <v>5</v>
      </c>
      <c r="M4" s="74" t="s">
        <v>742</v>
      </c>
      <c r="N4" s="74" t="s">
        <v>752</v>
      </c>
      <c r="P4" s="74" t="s">
        <v>5</v>
      </c>
      <c r="Q4" s="74" t="s">
        <v>742</v>
      </c>
      <c r="R4" s="74" t="s">
        <v>753</v>
      </c>
      <c r="S4" s="44"/>
      <c r="T4" s="44"/>
      <c r="V4" s="43" t="s">
        <v>744</v>
      </c>
      <c r="W4" s="43" t="s">
        <v>4</v>
      </c>
      <c r="X4" t="s">
        <v>742</v>
      </c>
      <c r="Y4" t="s">
        <v>752</v>
      </c>
      <c r="Z4" t="s">
        <v>754</v>
      </c>
      <c r="AA4" s="52"/>
      <c r="AB4" s="45"/>
      <c r="AC4" s="51" t="s">
        <v>744</v>
      </c>
      <c r="AD4" s="51" t="s">
        <v>4</v>
      </c>
      <c r="AE4" s="124" t="s">
        <v>741</v>
      </c>
      <c r="AF4" s="124" t="s">
        <v>755</v>
      </c>
      <c r="AG4" s="124" t="s">
        <v>756</v>
      </c>
      <c r="AH4" s="44" t="s">
        <v>754</v>
      </c>
      <c r="AJ4" s="45"/>
      <c r="AK4" s="54" t="s">
        <v>744</v>
      </c>
      <c r="AL4" s="103" t="s">
        <v>5</v>
      </c>
      <c r="AM4" s="103" t="s">
        <v>2</v>
      </c>
      <c r="AN4" s="104" t="s">
        <v>7</v>
      </c>
      <c r="AS4" s="51" t="s">
        <v>744</v>
      </c>
      <c r="AT4" s="51" t="s">
        <v>4</v>
      </c>
      <c r="AU4" s="44" t="s">
        <v>757</v>
      </c>
      <c r="AV4" s="44" t="s">
        <v>758</v>
      </c>
      <c r="AZ4" s="61" t="s">
        <v>759</v>
      </c>
      <c r="BA4" s="8">
        <f>GETPIVOTDATA("Performace",$AS$3,"Performace","On Time")</f>
        <v>659</v>
      </c>
      <c r="BB4" s="64">
        <f>BA4/BA3</f>
        <v>1</v>
      </c>
      <c r="BC4" s="44"/>
    </row>
    <row r="5" spans="1:55">
      <c r="B5" s="45"/>
      <c r="C5" s="52" t="s">
        <v>20</v>
      </c>
      <c r="D5" s="129">
        <v>75</v>
      </c>
      <c r="E5" s="44"/>
      <c r="F5" s="45"/>
      <c r="G5" s="45"/>
      <c r="H5" s="57" t="s">
        <v>20</v>
      </c>
      <c r="I5" s="135">
        <v>75</v>
      </c>
      <c r="J5" s="134"/>
      <c r="L5" t="s">
        <v>21</v>
      </c>
      <c r="M5">
        <f>IFERROR(VLOOKUP(L5,$H$5:$J$13,2,FALSE),0)</f>
        <v>65</v>
      </c>
      <c r="N5">
        <f t="shared" ref="N5:N13" si="0">IFERROR(VLOOKUP(L5,$H$5:$J$13,3,FALSE),0)</f>
        <v>2</v>
      </c>
      <c r="P5" t="str" cm="1">
        <f t="array" ref="P5:R12">_xlfn._xlws.SORT(L5:N12,3,-1)</f>
        <v>RFQ</v>
      </c>
      <c r="Q5">
        <v>65</v>
      </c>
      <c r="R5">
        <v>2</v>
      </c>
      <c r="S5" s="44"/>
      <c r="T5" s="44"/>
      <c r="V5" s="53" t="s">
        <v>760</v>
      </c>
      <c r="W5" s="53">
        <v>19</v>
      </c>
      <c r="X5" s="123">
        <v>14</v>
      </c>
      <c r="Y5" s="123"/>
      <c r="Z5" s="123"/>
      <c r="AA5" s="52"/>
      <c r="AB5" s="45"/>
      <c r="AC5" s="124" t="s">
        <v>760</v>
      </c>
      <c r="AD5" s="44"/>
      <c r="AE5" s="131"/>
      <c r="AF5" s="131">
        <v>109</v>
      </c>
      <c r="AG5" s="131"/>
      <c r="AH5" s="126"/>
      <c r="AJ5" s="45"/>
      <c r="AS5" s="124" t="s">
        <v>760</v>
      </c>
      <c r="AT5" s="124"/>
      <c r="AU5" s="131">
        <v>109</v>
      </c>
      <c r="AV5" s="126">
        <v>109</v>
      </c>
      <c r="AZ5" s="61" t="s">
        <v>761</v>
      </c>
      <c r="BA5" s="8">
        <f>IFERROR(GETPIVOTDATA("Performace",$AS$3,"Performace","Delay"),0)</f>
        <v>0</v>
      </c>
      <c r="BB5" s="64">
        <f>BA5/BA3</f>
        <v>0</v>
      </c>
      <c r="BC5" s="44"/>
    </row>
    <row r="6" spans="1:55">
      <c r="B6" s="45"/>
      <c r="C6" s="52" t="s">
        <v>16</v>
      </c>
      <c r="D6" s="129">
        <v>31</v>
      </c>
      <c r="E6" s="44"/>
      <c r="F6" s="45"/>
      <c r="G6" s="45"/>
      <c r="H6" s="59" t="s">
        <v>17</v>
      </c>
      <c r="I6" s="133">
        <v>186</v>
      </c>
      <c r="J6" s="126">
        <v>1</v>
      </c>
      <c r="L6" t="s">
        <v>17</v>
      </c>
      <c r="M6">
        <f>IFERROR(VLOOKUP(L6,$H$5:$J$13,2,FALSE),0)</f>
        <v>186</v>
      </c>
      <c r="N6">
        <f t="shared" si="0"/>
        <v>1</v>
      </c>
      <c r="P6" t="str">
        <v>NPI</v>
      </c>
      <c r="Q6">
        <v>186</v>
      </c>
      <c r="R6">
        <v>1</v>
      </c>
      <c r="S6" s="44"/>
      <c r="T6" s="44"/>
      <c r="V6" s="53" t="s">
        <v>760</v>
      </c>
      <c r="W6" s="53">
        <v>20</v>
      </c>
      <c r="X6" s="123">
        <v>28</v>
      </c>
      <c r="Y6" s="123"/>
      <c r="Z6" s="123"/>
      <c r="AA6" s="52"/>
      <c r="AB6" s="45"/>
      <c r="AC6" s="124" t="s">
        <v>762</v>
      </c>
      <c r="AD6" s="44"/>
      <c r="AE6" s="131"/>
      <c r="AF6" s="131">
        <v>133</v>
      </c>
      <c r="AG6" s="131"/>
      <c r="AH6" s="126"/>
      <c r="AJ6" s="45"/>
      <c r="AS6" s="124" t="s">
        <v>762</v>
      </c>
      <c r="AT6" s="124"/>
      <c r="AU6" s="131">
        <v>132</v>
      </c>
      <c r="AV6" s="126">
        <v>132</v>
      </c>
      <c r="BC6" s="44"/>
    </row>
    <row r="7" spans="1:55">
      <c r="B7" s="45"/>
      <c r="C7" s="52" t="s">
        <v>725</v>
      </c>
      <c r="D7" s="129">
        <v>20</v>
      </c>
      <c r="E7" s="44"/>
      <c r="F7" s="45"/>
      <c r="G7" s="45"/>
      <c r="H7" s="58" t="s">
        <v>16</v>
      </c>
      <c r="I7" s="133">
        <v>31</v>
      </c>
      <c r="J7" s="126"/>
      <c r="L7" t="s">
        <v>721</v>
      </c>
      <c r="M7">
        <f>IFERROR(VLOOKUP(L7,$H$5:$J$13,2,FALSE),0)</f>
        <v>0</v>
      </c>
      <c r="N7">
        <f t="shared" si="0"/>
        <v>0</v>
      </c>
      <c r="P7" t="str">
        <v>PROJECT</v>
      </c>
      <c r="Q7">
        <v>6</v>
      </c>
      <c r="R7">
        <v>1</v>
      </c>
      <c r="S7" s="44"/>
      <c r="T7" s="44"/>
      <c r="V7" s="53" t="s">
        <v>760</v>
      </c>
      <c r="W7" s="53">
        <v>21</v>
      </c>
      <c r="X7" s="123">
        <v>39</v>
      </c>
      <c r="Y7" s="123"/>
      <c r="Z7" s="123"/>
      <c r="AA7" s="52"/>
      <c r="AB7" s="45"/>
      <c r="AC7" s="44" t="s">
        <v>763</v>
      </c>
      <c r="AD7" s="124">
        <v>27</v>
      </c>
      <c r="AE7" s="131"/>
      <c r="AF7" s="131">
        <v>15</v>
      </c>
      <c r="AG7" s="131"/>
      <c r="AH7" s="126"/>
      <c r="AJ7" s="45"/>
      <c r="AS7" s="124" t="s">
        <v>763</v>
      </c>
      <c r="AT7" s="124">
        <v>27</v>
      </c>
      <c r="AU7" s="131">
        <v>15</v>
      </c>
      <c r="AV7" s="126">
        <v>15</v>
      </c>
      <c r="BC7" s="44"/>
    </row>
    <row r="8" spans="1:55">
      <c r="B8" s="45"/>
      <c r="C8" s="52" t="s">
        <v>22</v>
      </c>
      <c r="D8" s="129">
        <v>7</v>
      </c>
      <c r="E8" s="44"/>
      <c r="F8" s="45"/>
      <c r="G8" s="45"/>
      <c r="H8" s="58" t="s">
        <v>725</v>
      </c>
      <c r="I8" s="133">
        <v>20</v>
      </c>
      <c r="J8" s="126"/>
      <c r="L8" t="s">
        <v>16</v>
      </c>
      <c r="M8">
        <f>IFERROR(VLOOKUP(L8,$H$5:$J$13,2,FALSE),0)</f>
        <v>31</v>
      </c>
      <c r="N8">
        <f t="shared" si="0"/>
        <v>0</v>
      </c>
      <c r="P8" t="str">
        <v>DFM</v>
      </c>
      <c r="Q8">
        <v>0</v>
      </c>
      <c r="R8">
        <v>0</v>
      </c>
      <c r="S8" s="44"/>
      <c r="T8" s="44"/>
      <c r="V8" s="53" t="s">
        <v>760</v>
      </c>
      <c r="W8" s="53">
        <v>22</v>
      </c>
      <c r="X8" s="123">
        <v>28</v>
      </c>
      <c r="Y8" s="123"/>
      <c r="Z8" s="123"/>
      <c r="AA8" s="52"/>
      <c r="AB8" s="45"/>
      <c r="AC8" s="44" t="s">
        <v>763</v>
      </c>
      <c r="AD8" s="124">
        <v>28</v>
      </c>
      <c r="AE8" s="131"/>
      <c r="AF8" s="131">
        <v>26</v>
      </c>
      <c r="AG8" s="131">
        <v>6</v>
      </c>
      <c r="AH8" s="126"/>
      <c r="AJ8" s="45"/>
      <c r="AS8" s="124" t="s">
        <v>763</v>
      </c>
      <c r="AT8" s="124">
        <v>28</v>
      </c>
      <c r="AU8" s="131">
        <v>26</v>
      </c>
      <c r="AV8" s="126">
        <v>26</v>
      </c>
      <c r="BC8" s="44"/>
    </row>
    <row r="9" spans="1:55">
      <c r="B9" s="45"/>
      <c r="C9" s="52" t="s">
        <v>21</v>
      </c>
      <c r="D9" s="129">
        <v>67</v>
      </c>
      <c r="E9" s="44"/>
      <c r="F9" s="45"/>
      <c r="G9" s="45"/>
      <c r="H9" s="59" t="s">
        <v>22</v>
      </c>
      <c r="I9" s="133">
        <v>6</v>
      </c>
      <c r="J9" s="126">
        <v>1</v>
      </c>
      <c r="L9" t="s">
        <v>724</v>
      </c>
      <c r="M9">
        <f t="shared" ref="M9" si="1">IFERROR(VLOOKUP(L9,$H$5:$J$11,2,FALSE),0)</f>
        <v>0</v>
      </c>
      <c r="N9">
        <f t="shared" si="0"/>
        <v>0</v>
      </c>
      <c r="P9" t="str">
        <v>OTHER</v>
      </c>
      <c r="Q9">
        <v>31</v>
      </c>
      <c r="R9">
        <v>0</v>
      </c>
      <c r="S9" s="44"/>
      <c r="T9" s="44"/>
      <c r="V9" s="53" t="s">
        <v>762</v>
      </c>
      <c r="W9" s="53">
        <v>24</v>
      </c>
      <c r="X9" s="123">
        <v>35</v>
      </c>
      <c r="Y9" s="123"/>
      <c r="Z9" s="123"/>
      <c r="AA9" s="52"/>
      <c r="AB9" s="45"/>
      <c r="AC9" s="44" t="s">
        <v>764</v>
      </c>
      <c r="AD9" s="124">
        <v>2</v>
      </c>
      <c r="AE9" s="131"/>
      <c r="AF9" s="131">
        <v>20</v>
      </c>
      <c r="AG9" s="131"/>
      <c r="AH9" s="126"/>
      <c r="AJ9" s="45"/>
      <c r="AS9" s="124" t="s">
        <v>764</v>
      </c>
      <c r="AT9" s="124">
        <v>2</v>
      </c>
      <c r="AU9" s="131">
        <v>20</v>
      </c>
      <c r="AV9" s="126">
        <v>20</v>
      </c>
      <c r="BC9" s="44"/>
    </row>
    <row r="10" spans="1:55">
      <c r="B10" s="45"/>
      <c r="C10" s="52"/>
      <c r="D10" s="129"/>
      <c r="E10" s="44"/>
      <c r="F10" s="45"/>
      <c r="G10" s="45"/>
      <c r="H10" s="58" t="s">
        <v>21</v>
      </c>
      <c r="I10" s="133">
        <v>65</v>
      </c>
      <c r="J10" s="126">
        <v>2</v>
      </c>
      <c r="L10" t="s">
        <v>22</v>
      </c>
      <c r="M10">
        <f>IFERROR(VLOOKUP(L10,$H$5:$J$13,2,FALSE),0)</f>
        <v>6</v>
      </c>
      <c r="N10">
        <f t="shared" si="0"/>
        <v>1</v>
      </c>
      <c r="P10" t="str">
        <v>Internal DFM</v>
      </c>
      <c r="Q10">
        <v>0</v>
      </c>
      <c r="R10">
        <v>0</v>
      </c>
      <c r="S10" s="44"/>
      <c r="T10" s="44"/>
      <c r="V10" s="53" t="s">
        <v>762</v>
      </c>
      <c r="W10" s="53">
        <v>25</v>
      </c>
      <c r="X10" s="123">
        <v>30</v>
      </c>
      <c r="Y10" s="123"/>
      <c r="Z10" s="123"/>
      <c r="AA10" s="52"/>
      <c r="AB10" s="45"/>
      <c r="AC10" s="44" t="s">
        <v>764</v>
      </c>
      <c r="AD10" s="124">
        <v>3</v>
      </c>
      <c r="AE10" s="131"/>
      <c r="AF10" s="131">
        <v>22</v>
      </c>
      <c r="AG10" s="131"/>
      <c r="AH10" s="126"/>
      <c r="AJ10" s="45"/>
      <c r="AS10" s="124" t="s">
        <v>764</v>
      </c>
      <c r="AT10" s="124">
        <v>3</v>
      </c>
      <c r="AU10" s="131">
        <v>22</v>
      </c>
      <c r="AV10" s="126">
        <v>22</v>
      </c>
      <c r="BC10" s="44"/>
    </row>
    <row r="11" spans="1:55">
      <c r="B11" s="45"/>
      <c r="C11" s="52" t="s">
        <v>726</v>
      </c>
      <c r="D11" s="129">
        <v>199</v>
      </c>
      <c r="E11" s="44"/>
      <c r="F11" s="45"/>
      <c r="G11" s="45"/>
      <c r="H11" s="58"/>
      <c r="I11" s="133">
        <v>1</v>
      </c>
      <c r="J11" s="126"/>
      <c r="L11" t="s">
        <v>20</v>
      </c>
      <c r="M11">
        <f>IFERROR(VLOOKUP(L11,$H$5:$J$13,2,FALSE),0)</f>
        <v>75</v>
      </c>
      <c r="N11">
        <f t="shared" si="0"/>
        <v>0</v>
      </c>
      <c r="P11" t="str">
        <v>MEETING</v>
      </c>
      <c r="Q11">
        <v>75</v>
      </c>
      <c r="R11">
        <v>0</v>
      </c>
      <c r="S11" s="44"/>
      <c r="T11" s="44"/>
      <c r="V11" s="53" t="s">
        <v>762</v>
      </c>
      <c r="W11" s="53">
        <v>26</v>
      </c>
      <c r="X11" s="123">
        <v>24</v>
      </c>
      <c r="Y11" s="123"/>
      <c r="Z11" s="123"/>
      <c r="AA11" s="52"/>
      <c r="AB11" s="45"/>
      <c r="AC11" s="44" t="s">
        <v>764</v>
      </c>
      <c r="AD11" s="124">
        <v>4</v>
      </c>
      <c r="AE11" s="131"/>
      <c r="AF11" s="131">
        <v>26</v>
      </c>
      <c r="AG11" s="131"/>
      <c r="AH11" s="126"/>
      <c r="AJ11" s="45"/>
      <c r="AS11" s="124" t="s">
        <v>764</v>
      </c>
      <c r="AT11" s="124">
        <v>4</v>
      </c>
      <c r="AU11" s="131">
        <v>26</v>
      </c>
      <c r="AV11" s="126">
        <v>26</v>
      </c>
      <c r="BC11" s="44"/>
    </row>
    <row r="12" spans="1:55">
      <c r="B12" s="46"/>
      <c r="C12" s="52" t="s">
        <v>19</v>
      </c>
      <c r="D12" s="129">
        <v>15</v>
      </c>
      <c r="E12" s="50"/>
      <c r="F12" s="45"/>
      <c r="G12" s="46"/>
      <c r="H12" s="58" t="s">
        <v>726</v>
      </c>
      <c r="I12" s="133">
        <v>197</v>
      </c>
      <c r="J12" s="126">
        <v>2</v>
      </c>
      <c r="L12" s="7" t="s">
        <v>725</v>
      </c>
      <c r="M12" s="7">
        <f>IFERROR(VLOOKUP(L12,$H$5:$J$11,2,FALSE),0)</f>
        <v>20</v>
      </c>
      <c r="N12" s="7">
        <f t="shared" si="0"/>
        <v>0</v>
      </c>
      <c r="O12" s="7"/>
      <c r="P12" s="7" t="str">
        <v>DFA</v>
      </c>
      <c r="Q12" s="7">
        <v>20</v>
      </c>
      <c r="R12" s="7">
        <v>0</v>
      </c>
      <c r="S12" s="50"/>
      <c r="T12" s="44"/>
      <c r="V12" s="53" t="s">
        <v>762</v>
      </c>
      <c r="W12" s="53">
        <v>27</v>
      </c>
      <c r="X12" s="123">
        <v>21</v>
      </c>
      <c r="Y12" s="123"/>
      <c r="Z12" s="123"/>
      <c r="AA12" s="52"/>
      <c r="AB12" s="45"/>
      <c r="AC12" s="44" t="s">
        <v>764</v>
      </c>
      <c r="AD12" s="124">
        <v>5</v>
      </c>
      <c r="AE12" s="131"/>
      <c r="AF12" s="131">
        <v>27</v>
      </c>
      <c r="AG12" s="131"/>
      <c r="AH12" s="126"/>
      <c r="AJ12" s="45"/>
      <c r="AS12" s="124" t="s">
        <v>764</v>
      </c>
      <c r="AT12" s="124">
        <v>5</v>
      </c>
      <c r="AU12" s="131">
        <v>27</v>
      </c>
      <c r="AV12" s="126">
        <v>27</v>
      </c>
      <c r="BC12" s="44"/>
    </row>
    <row r="13" spans="1:55">
      <c r="B13" s="8" t="s">
        <v>765</v>
      </c>
      <c r="C13" s="56" t="s">
        <v>14</v>
      </c>
      <c r="D13" s="130">
        <v>64</v>
      </c>
      <c r="E13" s="8"/>
      <c r="G13" t="s">
        <v>766</v>
      </c>
      <c r="H13" s="58" t="s">
        <v>19</v>
      </c>
      <c r="I13" s="133">
        <v>15</v>
      </c>
      <c r="J13" s="126"/>
      <c r="L13" s="59" t="s">
        <v>726</v>
      </c>
      <c r="M13">
        <f>IFERROR(VLOOKUP(L13,$H$5:$J$13,2,FALSE),0)</f>
        <v>197</v>
      </c>
      <c r="N13">
        <f t="shared" si="0"/>
        <v>2</v>
      </c>
      <c r="P13" t="str" cm="1">
        <f t="array" ref="P13:R13">_xlfn._xlws.SORT(L13:N13,3,-1)</f>
        <v>PACKING</v>
      </c>
      <c r="Q13" s="7">
        <v>197</v>
      </c>
      <c r="R13">
        <v>2</v>
      </c>
      <c r="T13" s="44"/>
      <c r="V13" s="53" t="s">
        <v>762</v>
      </c>
      <c r="W13" s="53">
        <v>23</v>
      </c>
      <c r="X13" s="123">
        <v>23</v>
      </c>
      <c r="Y13" s="123"/>
      <c r="Z13" s="123"/>
      <c r="AA13" s="52"/>
      <c r="AB13" s="45"/>
      <c r="AC13" s="44" t="s">
        <v>767</v>
      </c>
      <c r="AD13" s="124">
        <v>7</v>
      </c>
      <c r="AE13" s="131"/>
      <c r="AF13" s="131">
        <v>25</v>
      </c>
      <c r="AG13" s="131"/>
      <c r="AH13" s="126"/>
      <c r="AJ13" s="45"/>
      <c r="AS13" s="124" t="s">
        <v>767</v>
      </c>
      <c r="AT13" s="124">
        <v>7</v>
      </c>
      <c r="AU13" s="131">
        <v>25</v>
      </c>
      <c r="AV13" s="126">
        <v>25</v>
      </c>
      <c r="BC13" s="44"/>
    </row>
    <row r="14" spans="1:55">
      <c r="A14" s="44"/>
      <c r="E14" s="49"/>
      <c r="F14" s="45"/>
      <c r="G14" s="47"/>
      <c r="H14" s="59" t="s">
        <v>14</v>
      </c>
      <c r="I14" s="136">
        <v>64</v>
      </c>
      <c r="J14" s="127"/>
      <c r="L14" s="48"/>
      <c r="M14" s="48"/>
      <c r="N14" s="48"/>
      <c r="O14" s="48"/>
      <c r="P14" s="48"/>
      <c r="Q14" s="49"/>
      <c r="T14" s="44"/>
      <c r="V14" s="53" t="s">
        <v>763</v>
      </c>
      <c r="W14" s="53">
        <v>27</v>
      </c>
      <c r="X14" s="123">
        <v>15</v>
      </c>
      <c r="Y14" s="123"/>
      <c r="Z14" s="123"/>
      <c r="AA14" s="52"/>
      <c r="AB14" s="45"/>
      <c r="AC14" s="44" t="s">
        <v>767</v>
      </c>
      <c r="AD14" s="124">
        <v>8</v>
      </c>
      <c r="AE14" s="131"/>
      <c r="AF14" s="131">
        <v>26</v>
      </c>
      <c r="AG14" s="131"/>
      <c r="AH14" s="126"/>
      <c r="AJ14" s="45"/>
      <c r="AS14" s="124" t="s">
        <v>767</v>
      </c>
      <c r="AT14" s="124">
        <v>8</v>
      </c>
      <c r="AU14" s="131">
        <v>26</v>
      </c>
      <c r="AV14" s="126">
        <v>26</v>
      </c>
      <c r="BC14" s="44"/>
    </row>
    <row r="15" spans="1:55">
      <c r="A15" s="44"/>
      <c r="C15" s="43" t="s">
        <v>5</v>
      </c>
      <c r="D15" t="s">
        <v>21</v>
      </c>
      <c r="E15" s="44"/>
      <c r="F15" s="45"/>
      <c r="G15" s="45"/>
      <c r="H15" s="60" t="s">
        <v>745</v>
      </c>
      <c r="I15" s="44"/>
      <c r="J15" s="65" t="s">
        <v>747</v>
      </c>
      <c r="K15" s="45"/>
      <c r="L15" s="124"/>
      <c r="M15" s="124"/>
      <c r="N15" s="124"/>
      <c r="O15" s="124"/>
      <c r="P15" s="124"/>
      <c r="Q15" s="124"/>
      <c r="R15" s="124"/>
      <c r="S15" s="44"/>
      <c r="T15" s="44"/>
      <c r="V15" s="53" t="s">
        <v>763</v>
      </c>
      <c r="W15" s="53">
        <v>28</v>
      </c>
      <c r="X15" s="123">
        <v>26</v>
      </c>
      <c r="Y15" s="123">
        <v>6</v>
      </c>
      <c r="Z15" s="123"/>
      <c r="AA15" s="52"/>
      <c r="AB15" s="45"/>
      <c r="AC15" s="44" t="s">
        <v>767</v>
      </c>
      <c r="AD15" s="124">
        <v>6</v>
      </c>
      <c r="AE15" s="131"/>
      <c r="AF15" s="131">
        <v>17</v>
      </c>
      <c r="AG15" s="131"/>
      <c r="AH15" s="126"/>
      <c r="AJ15" s="45"/>
      <c r="AS15" s="124" t="s">
        <v>767</v>
      </c>
      <c r="AT15" s="124">
        <v>6</v>
      </c>
      <c r="AU15" s="131">
        <v>17</v>
      </c>
      <c r="AV15" s="126">
        <v>17</v>
      </c>
      <c r="BC15" s="44"/>
    </row>
    <row r="16" spans="1:55">
      <c r="A16" s="44"/>
      <c r="E16" s="44"/>
      <c r="F16" s="45"/>
      <c r="G16" s="45"/>
      <c r="H16" s="65" t="s">
        <v>744</v>
      </c>
      <c r="I16" s="65" t="s">
        <v>4</v>
      </c>
      <c r="J16" s="45" t="s">
        <v>17</v>
      </c>
      <c r="K16" s="124" t="s">
        <v>20</v>
      </c>
      <c r="L16" s="45" t="s">
        <v>16</v>
      </c>
      <c r="M16" s="124" t="s">
        <v>725</v>
      </c>
      <c r="N16" s="124" t="s">
        <v>22</v>
      </c>
      <c r="O16" s="124" t="s">
        <v>21</v>
      </c>
      <c r="P16" s="124"/>
      <c r="Q16" s="124" t="s">
        <v>726</v>
      </c>
      <c r="R16" s="124" t="s">
        <v>19</v>
      </c>
      <c r="S16" s="44" t="s">
        <v>14</v>
      </c>
      <c r="T16" s="44"/>
      <c r="V16" s="53" t="s">
        <v>764</v>
      </c>
      <c r="W16" s="53">
        <v>2</v>
      </c>
      <c r="X16" s="123">
        <v>20</v>
      </c>
      <c r="Y16" s="123"/>
      <c r="Z16" s="123"/>
      <c r="AA16" s="52"/>
      <c r="AB16" s="45"/>
      <c r="AC16" s="44" t="s">
        <v>767</v>
      </c>
      <c r="AD16" s="124">
        <v>9</v>
      </c>
      <c r="AE16" s="131"/>
      <c r="AF16" s="131">
        <v>29</v>
      </c>
      <c r="AG16" s="131"/>
      <c r="AH16" s="126"/>
      <c r="AJ16" s="45"/>
      <c r="AS16" s="124" t="s">
        <v>767</v>
      </c>
      <c r="AT16" s="124">
        <v>9</v>
      </c>
      <c r="AU16" s="131">
        <v>29</v>
      </c>
      <c r="AV16" s="126">
        <v>29</v>
      </c>
      <c r="BC16" s="44"/>
    </row>
    <row r="17" spans="1:55">
      <c r="A17" s="44"/>
      <c r="C17" s="43" t="s">
        <v>744</v>
      </c>
      <c r="D17" t="s">
        <v>745</v>
      </c>
      <c r="E17" s="44"/>
      <c r="F17" s="45"/>
      <c r="G17" s="45"/>
      <c r="H17" s="97" t="s">
        <v>760</v>
      </c>
      <c r="I17" s="44"/>
      <c r="J17" s="133">
        <v>4</v>
      </c>
      <c r="K17" s="131">
        <v>6</v>
      </c>
      <c r="L17" s="131">
        <v>1</v>
      </c>
      <c r="M17" s="131"/>
      <c r="N17" s="131">
        <v>1</v>
      </c>
      <c r="O17" s="131">
        <v>9</v>
      </c>
      <c r="P17" s="131"/>
      <c r="Q17" s="131">
        <v>46</v>
      </c>
      <c r="R17" s="131">
        <v>3</v>
      </c>
      <c r="S17" s="126">
        <v>39</v>
      </c>
      <c r="T17" s="44"/>
      <c r="V17" s="53" t="s">
        <v>764</v>
      </c>
      <c r="W17" s="53">
        <v>3</v>
      </c>
      <c r="X17" s="123">
        <v>22</v>
      </c>
      <c r="Y17" s="123"/>
      <c r="Z17" s="123"/>
      <c r="AA17" s="52"/>
      <c r="AB17" s="45"/>
      <c r="AC17" s="44" t="s">
        <v>768</v>
      </c>
      <c r="AD17" s="124">
        <v>10</v>
      </c>
      <c r="AE17" s="131"/>
      <c r="AF17" s="131">
        <v>21</v>
      </c>
      <c r="AG17" s="131"/>
      <c r="AH17" s="126"/>
      <c r="AJ17" s="45"/>
      <c r="AS17" s="124" t="s">
        <v>768</v>
      </c>
      <c r="AT17" s="124">
        <v>10</v>
      </c>
      <c r="AU17" s="131">
        <v>21</v>
      </c>
      <c r="AV17" s="126">
        <v>21</v>
      </c>
      <c r="BC17" s="44"/>
    </row>
    <row r="18" spans="1:55">
      <c r="A18" s="44"/>
      <c r="C18" s="53" t="s">
        <v>21</v>
      </c>
      <c r="D18" s="123">
        <v>10</v>
      </c>
      <c r="E18" s="44"/>
      <c r="F18" s="45"/>
      <c r="G18" s="45"/>
      <c r="H18" s="97" t="s">
        <v>762</v>
      </c>
      <c r="I18" s="44"/>
      <c r="J18" s="133">
        <v>20</v>
      </c>
      <c r="K18" s="131">
        <v>19</v>
      </c>
      <c r="L18" s="131">
        <v>5</v>
      </c>
      <c r="M18" s="131">
        <v>8</v>
      </c>
      <c r="N18" s="131">
        <v>3</v>
      </c>
      <c r="O18" s="131">
        <v>12</v>
      </c>
      <c r="P18" s="131"/>
      <c r="Q18" s="131">
        <v>52</v>
      </c>
      <c r="R18" s="131">
        <v>4</v>
      </c>
      <c r="S18" s="126">
        <v>9</v>
      </c>
      <c r="T18" s="44"/>
      <c r="V18" s="53" t="s">
        <v>764</v>
      </c>
      <c r="W18" s="53">
        <v>4</v>
      </c>
      <c r="X18" s="123">
        <v>26</v>
      </c>
      <c r="Y18" s="123"/>
      <c r="Z18" s="123"/>
      <c r="AA18" s="52"/>
      <c r="AB18" s="45"/>
      <c r="AC18" s="44" t="s">
        <v>768</v>
      </c>
      <c r="AD18" s="124">
        <v>13</v>
      </c>
      <c r="AE18" s="131"/>
      <c r="AF18" s="131">
        <v>25</v>
      </c>
      <c r="AG18" s="131"/>
      <c r="AH18" s="126"/>
      <c r="AJ18" s="45"/>
      <c r="AS18" s="124" t="s">
        <v>768</v>
      </c>
      <c r="AT18" s="124">
        <v>13</v>
      </c>
      <c r="AU18" s="131">
        <v>25</v>
      </c>
      <c r="AV18" s="126">
        <v>25</v>
      </c>
      <c r="BC18" s="44"/>
    </row>
    <row r="19" spans="1:55">
      <c r="A19" s="44"/>
      <c r="C19" s="53" t="s">
        <v>123</v>
      </c>
      <c r="D19" s="123">
        <v>57</v>
      </c>
      <c r="E19" s="44"/>
      <c r="F19" s="45"/>
      <c r="G19" s="45"/>
      <c r="H19" s="58" t="s">
        <v>763</v>
      </c>
      <c r="I19" s="132">
        <v>27</v>
      </c>
      <c r="J19" s="133">
        <v>7</v>
      </c>
      <c r="K19" s="131">
        <v>3</v>
      </c>
      <c r="L19" s="131"/>
      <c r="M19" s="131"/>
      <c r="N19" s="131">
        <v>1</v>
      </c>
      <c r="O19" s="131">
        <v>1</v>
      </c>
      <c r="P19" s="131"/>
      <c r="Q19" s="131">
        <v>2</v>
      </c>
      <c r="R19" s="131"/>
      <c r="S19" s="126">
        <v>1</v>
      </c>
      <c r="T19" s="44"/>
      <c r="V19" s="53" t="s">
        <v>764</v>
      </c>
      <c r="W19" s="53">
        <v>5</v>
      </c>
      <c r="X19" s="123">
        <v>27</v>
      </c>
      <c r="Y19" s="123"/>
      <c r="Z19" s="123"/>
      <c r="AA19" s="52"/>
      <c r="AB19" s="45"/>
      <c r="AC19" s="44" t="s">
        <v>768</v>
      </c>
      <c r="AD19" s="124">
        <v>11</v>
      </c>
      <c r="AE19" s="131"/>
      <c r="AF19" s="131">
        <v>36</v>
      </c>
      <c r="AG19" s="131"/>
      <c r="AH19" s="126"/>
      <c r="AJ19" s="45"/>
      <c r="AS19" s="124" t="s">
        <v>768</v>
      </c>
      <c r="AT19" s="124">
        <v>11</v>
      </c>
      <c r="AU19" s="131">
        <v>36</v>
      </c>
      <c r="AV19" s="126">
        <v>36</v>
      </c>
      <c r="BC19" s="44"/>
    </row>
    <row r="20" spans="1:55">
      <c r="A20" s="44"/>
      <c r="E20" s="44"/>
      <c r="F20" s="45"/>
      <c r="G20" s="45"/>
      <c r="H20" s="58" t="s">
        <v>763</v>
      </c>
      <c r="I20" s="132">
        <v>28</v>
      </c>
      <c r="J20" s="133">
        <v>6</v>
      </c>
      <c r="K20" s="131">
        <v>4</v>
      </c>
      <c r="L20" s="131"/>
      <c r="M20" s="131">
        <v>2</v>
      </c>
      <c r="N20" s="131">
        <v>2</v>
      </c>
      <c r="O20" s="131">
        <v>4</v>
      </c>
      <c r="P20" s="131"/>
      <c r="Q20" s="131">
        <v>11</v>
      </c>
      <c r="R20" s="131">
        <v>2</v>
      </c>
      <c r="S20" s="126">
        <v>1</v>
      </c>
      <c r="T20" s="44"/>
      <c r="V20" s="53" t="s">
        <v>767</v>
      </c>
      <c r="W20" s="53">
        <v>7</v>
      </c>
      <c r="X20" s="123">
        <v>25</v>
      </c>
      <c r="Y20" s="123"/>
      <c r="Z20" s="123"/>
      <c r="AA20" s="52"/>
      <c r="AB20" s="45"/>
      <c r="AC20" s="44" t="s">
        <v>768</v>
      </c>
      <c r="AD20" s="124">
        <v>12</v>
      </c>
      <c r="AE20" s="131"/>
      <c r="AF20" s="131">
        <v>34</v>
      </c>
      <c r="AG20" s="131"/>
      <c r="AH20" s="126"/>
      <c r="AJ20" s="45"/>
      <c r="AS20" s="124" t="s">
        <v>768</v>
      </c>
      <c r="AT20" s="124">
        <v>12</v>
      </c>
      <c r="AU20" s="131">
        <v>34</v>
      </c>
      <c r="AV20" s="126">
        <v>34</v>
      </c>
      <c r="BC20" s="44"/>
    </row>
    <row r="21" spans="1:55">
      <c r="A21" s="44"/>
      <c r="E21" s="44"/>
      <c r="F21" s="45"/>
      <c r="G21" s="45"/>
      <c r="H21" s="58" t="s">
        <v>764</v>
      </c>
      <c r="I21" s="132">
        <v>2</v>
      </c>
      <c r="J21" s="133">
        <v>10</v>
      </c>
      <c r="K21" s="131">
        <v>3</v>
      </c>
      <c r="L21" s="131">
        <v>1</v>
      </c>
      <c r="M21" s="131"/>
      <c r="N21" s="131"/>
      <c r="O21" s="131">
        <v>1</v>
      </c>
      <c r="P21" s="131"/>
      <c r="Q21" s="131">
        <v>5</v>
      </c>
      <c r="R21" s="131"/>
      <c r="S21" s="126"/>
      <c r="T21" s="44"/>
      <c r="V21" s="53" t="s">
        <v>767</v>
      </c>
      <c r="W21" s="53">
        <v>8</v>
      </c>
      <c r="X21" s="123">
        <v>26</v>
      </c>
      <c r="Y21" s="123"/>
      <c r="Z21" s="123"/>
      <c r="AA21" s="52"/>
      <c r="AB21" s="45"/>
      <c r="AC21" s="44" t="s">
        <v>768</v>
      </c>
      <c r="AD21" s="124">
        <v>14</v>
      </c>
      <c r="AE21" s="131"/>
      <c r="AF21" s="131">
        <v>10</v>
      </c>
      <c r="AG21" s="131"/>
      <c r="AH21" s="126"/>
      <c r="AJ21" s="45"/>
      <c r="AS21" s="124" t="s">
        <v>768</v>
      </c>
      <c r="AT21" s="124">
        <v>14</v>
      </c>
      <c r="AU21" s="131">
        <v>10</v>
      </c>
      <c r="AV21" s="126">
        <v>10</v>
      </c>
      <c r="BC21" s="44"/>
    </row>
    <row r="22" spans="1:55">
      <c r="A22" s="44"/>
      <c r="E22" s="44"/>
      <c r="F22" s="45"/>
      <c r="G22" s="45"/>
      <c r="H22" s="58" t="s">
        <v>764</v>
      </c>
      <c r="I22" s="132">
        <v>3</v>
      </c>
      <c r="J22" s="133">
        <v>10</v>
      </c>
      <c r="K22" s="131">
        <v>2</v>
      </c>
      <c r="L22" s="131">
        <v>3</v>
      </c>
      <c r="M22" s="131"/>
      <c r="N22" s="131"/>
      <c r="O22" s="131">
        <v>3</v>
      </c>
      <c r="P22" s="131"/>
      <c r="Q22" s="131">
        <v>3</v>
      </c>
      <c r="R22" s="131">
        <v>1</v>
      </c>
      <c r="S22" s="126"/>
      <c r="T22" s="44"/>
      <c r="V22" s="53" t="s">
        <v>767</v>
      </c>
      <c r="W22" s="53">
        <v>6</v>
      </c>
      <c r="X22" s="123">
        <v>17</v>
      </c>
      <c r="Y22" s="123"/>
      <c r="Z22" s="123"/>
      <c r="AA22" s="52"/>
      <c r="AB22" s="45"/>
      <c r="AC22" s="44" t="s">
        <v>769</v>
      </c>
      <c r="AD22" s="124">
        <v>17</v>
      </c>
      <c r="AE22" s="131"/>
      <c r="AF22" s="131">
        <v>21</v>
      </c>
      <c r="AG22" s="131"/>
      <c r="AH22" s="126"/>
      <c r="AJ22" s="45"/>
      <c r="AS22" s="124" t="s">
        <v>769</v>
      </c>
      <c r="AT22" s="124">
        <v>17</v>
      </c>
      <c r="AU22" s="131">
        <v>21</v>
      </c>
      <c r="AV22" s="126">
        <v>21</v>
      </c>
      <c r="BC22" s="44"/>
    </row>
    <row r="23" spans="1:55">
      <c r="A23" s="44"/>
      <c r="E23" s="44"/>
      <c r="F23" s="45"/>
      <c r="G23" s="45"/>
      <c r="H23" s="58" t="s">
        <v>764</v>
      </c>
      <c r="I23" s="132">
        <v>4</v>
      </c>
      <c r="J23" s="133">
        <v>4</v>
      </c>
      <c r="K23" s="131">
        <v>1</v>
      </c>
      <c r="L23" s="131">
        <v>1</v>
      </c>
      <c r="M23" s="131">
        <v>5</v>
      </c>
      <c r="N23" s="131"/>
      <c r="O23" s="131">
        <v>1</v>
      </c>
      <c r="P23" s="131"/>
      <c r="Q23" s="131">
        <v>9</v>
      </c>
      <c r="R23" s="131">
        <v>4</v>
      </c>
      <c r="S23" s="126">
        <v>1</v>
      </c>
      <c r="T23" s="44"/>
      <c r="V23" s="53" t="s">
        <v>767</v>
      </c>
      <c r="W23" s="53">
        <v>9</v>
      </c>
      <c r="X23" s="123">
        <v>29</v>
      </c>
      <c r="Y23" s="123"/>
      <c r="Z23" s="123"/>
      <c r="AA23" s="52"/>
      <c r="AB23" s="45"/>
      <c r="AC23" s="44" t="s">
        <v>769</v>
      </c>
      <c r="AD23" s="124">
        <v>14</v>
      </c>
      <c r="AE23" s="131"/>
      <c r="AF23" s="131">
        <v>11</v>
      </c>
      <c r="AG23" s="131"/>
      <c r="AH23" s="126"/>
      <c r="AJ23" s="45"/>
      <c r="AS23" s="124" t="s">
        <v>769</v>
      </c>
      <c r="AT23" s="124">
        <v>14</v>
      </c>
      <c r="AU23" s="131">
        <v>11</v>
      </c>
      <c r="AV23" s="126">
        <v>11</v>
      </c>
      <c r="BC23" s="44"/>
    </row>
    <row r="24" spans="1:55">
      <c r="A24" s="44"/>
      <c r="E24" s="44"/>
      <c r="F24" s="45"/>
      <c r="G24" s="45"/>
      <c r="H24" s="58" t="s">
        <v>764</v>
      </c>
      <c r="I24" s="132">
        <v>5</v>
      </c>
      <c r="J24" s="133">
        <v>11</v>
      </c>
      <c r="K24" s="131">
        <v>3</v>
      </c>
      <c r="L24" s="131">
        <v>1</v>
      </c>
      <c r="M24" s="131">
        <v>1</v>
      </c>
      <c r="N24" s="131"/>
      <c r="O24" s="131">
        <v>1</v>
      </c>
      <c r="P24" s="131"/>
      <c r="Q24" s="131">
        <v>5</v>
      </c>
      <c r="R24" s="131"/>
      <c r="S24" s="126">
        <v>5</v>
      </c>
      <c r="T24" s="44"/>
      <c r="V24" s="53" t="s">
        <v>768</v>
      </c>
      <c r="W24" s="53">
        <v>10</v>
      </c>
      <c r="X24" s="123">
        <v>21</v>
      </c>
      <c r="Y24" s="123"/>
      <c r="Z24" s="123"/>
      <c r="AA24" s="52"/>
      <c r="AB24" s="45"/>
      <c r="AC24" s="44" t="s">
        <v>769</v>
      </c>
      <c r="AD24" s="124">
        <v>15</v>
      </c>
      <c r="AE24" s="131"/>
      <c r="AF24" s="131">
        <v>12</v>
      </c>
      <c r="AG24" s="131"/>
      <c r="AH24" s="126"/>
      <c r="AJ24" s="45"/>
      <c r="AS24" s="124" t="s">
        <v>769</v>
      </c>
      <c r="AT24" s="124">
        <v>15</v>
      </c>
      <c r="AU24" s="131">
        <v>12</v>
      </c>
      <c r="AV24" s="126">
        <v>12</v>
      </c>
      <c r="BC24" s="44"/>
    </row>
    <row r="25" spans="1:55">
      <c r="A25" s="44"/>
      <c r="E25" s="44"/>
      <c r="F25" s="45"/>
      <c r="G25" s="45"/>
      <c r="H25" s="58" t="s">
        <v>767</v>
      </c>
      <c r="I25" s="132">
        <v>7</v>
      </c>
      <c r="J25" s="133">
        <v>8</v>
      </c>
      <c r="K25" s="131">
        <v>2</v>
      </c>
      <c r="L25" s="131">
        <v>1</v>
      </c>
      <c r="M25" s="131">
        <v>1</v>
      </c>
      <c r="N25" s="131"/>
      <c r="O25" s="131">
        <v>7</v>
      </c>
      <c r="P25" s="131"/>
      <c r="Q25" s="131">
        <v>5</v>
      </c>
      <c r="R25" s="131"/>
      <c r="S25" s="126">
        <v>1</v>
      </c>
      <c r="T25" s="44"/>
      <c r="V25" s="53" t="s">
        <v>768</v>
      </c>
      <c r="W25" s="53">
        <v>13</v>
      </c>
      <c r="X25" s="123">
        <v>25</v>
      </c>
      <c r="Y25" s="123"/>
      <c r="Z25" s="123"/>
      <c r="AA25" s="52"/>
      <c r="AB25" s="45"/>
      <c r="AC25" s="44" t="s">
        <v>769</v>
      </c>
      <c r="AD25" s="124">
        <v>18</v>
      </c>
      <c r="AE25" s="131"/>
      <c r="AF25" s="131">
        <v>15</v>
      </c>
      <c r="AG25" s="131"/>
      <c r="AH25" s="126"/>
      <c r="AJ25" s="45"/>
      <c r="AS25" s="124" t="s">
        <v>769</v>
      </c>
      <c r="AT25" s="124">
        <v>18</v>
      </c>
      <c r="AU25" s="131">
        <v>15</v>
      </c>
      <c r="AV25" s="126">
        <v>15</v>
      </c>
      <c r="BC25" s="44"/>
    </row>
    <row r="26" spans="1:55">
      <c r="A26" s="44"/>
      <c r="E26" s="44"/>
      <c r="F26" s="45"/>
      <c r="G26" s="45"/>
      <c r="H26" s="58" t="s">
        <v>767</v>
      </c>
      <c r="I26" s="132">
        <v>8</v>
      </c>
      <c r="J26" s="133">
        <v>7</v>
      </c>
      <c r="K26" s="131">
        <v>4</v>
      </c>
      <c r="L26" s="131">
        <v>3</v>
      </c>
      <c r="M26" s="131">
        <v>1</v>
      </c>
      <c r="N26" s="131"/>
      <c r="O26" s="131">
        <v>2</v>
      </c>
      <c r="P26" s="131"/>
      <c r="Q26" s="131">
        <v>7</v>
      </c>
      <c r="R26" s="131"/>
      <c r="S26" s="126">
        <v>2</v>
      </c>
      <c r="T26" s="44"/>
      <c r="V26" s="53" t="s">
        <v>768</v>
      </c>
      <c r="W26" s="53">
        <v>11</v>
      </c>
      <c r="X26" s="123">
        <v>36</v>
      </c>
      <c r="Y26" s="123"/>
      <c r="Z26" s="123"/>
      <c r="AA26" s="52"/>
      <c r="AB26" s="45"/>
      <c r="AJ26" s="45"/>
      <c r="AS26" s="124" t="s">
        <v>758</v>
      </c>
      <c r="AT26" s="44"/>
      <c r="AU26" s="131">
        <v>659</v>
      </c>
      <c r="AV26" s="126">
        <v>659</v>
      </c>
      <c r="BC26" s="44"/>
    </row>
    <row r="27" spans="1:55">
      <c r="A27" s="44"/>
      <c r="E27" s="44"/>
      <c r="F27" s="45"/>
      <c r="G27" s="45"/>
      <c r="H27" s="58" t="s">
        <v>767</v>
      </c>
      <c r="I27" s="132">
        <v>6</v>
      </c>
      <c r="J27" s="133">
        <v>5</v>
      </c>
      <c r="K27" s="131">
        <v>2</v>
      </c>
      <c r="L27" s="131">
        <v>2</v>
      </c>
      <c r="M27" s="131"/>
      <c r="N27" s="131"/>
      <c r="O27" s="131">
        <v>2</v>
      </c>
      <c r="P27" s="131"/>
      <c r="Q27" s="131">
        <v>5</v>
      </c>
      <c r="R27" s="131"/>
      <c r="S27" s="126">
        <v>1</v>
      </c>
      <c r="T27" s="44"/>
      <c r="V27" s="53" t="s">
        <v>768</v>
      </c>
      <c r="W27" s="53">
        <v>12</v>
      </c>
      <c r="X27" s="123">
        <v>34</v>
      </c>
      <c r="Y27" s="123"/>
      <c r="Z27" s="123"/>
      <c r="AA27" s="52"/>
      <c r="AB27" s="45"/>
      <c r="AJ27" s="45"/>
      <c r="BC27" s="44"/>
    </row>
    <row r="28" spans="1:55">
      <c r="A28" s="44"/>
      <c r="E28" s="44"/>
      <c r="F28" s="45"/>
      <c r="G28" s="45"/>
      <c r="H28" s="58" t="s">
        <v>767</v>
      </c>
      <c r="I28" s="132">
        <v>9</v>
      </c>
      <c r="J28" s="133">
        <v>19</v>
      </c>
      <c r="K28" s="131">
        <v>1</v>
      </c>
      <c r="L28" s="131">
        <v>1</v>
      </c>
      <c r="M28" s="131"/>
      <c r="N28" s="131"/>
      <c r="O28" s="131">
        <v>2</v>
      </c>
      <c r="P28" s="131"/>
      <c r="Q28" s="131">
        <v>6</v>
      </c>
      <c r="R28" s="131"/>
      <c r="S28" s="126"/>
      <c r="T28" s="44"/>
      <c r="V28" s="53" t="s">
        <v>768</v>
      </c>
      <c r="W28" s="53">
        <v>14</v>
      </c>
      <c r="X28" s="123">
        <v>10</v>
      </c>
      <c r="Y28" s="123"/>
      <c r="Z28" s="123"/>
      <c r="AA28" s="52"/>
      <c r="AB28" s="45"/>
      <c r="AJ28" s="45"/>
      <c r="BC28" s="44"/>
    </row>
    <row r="29" spans="1:55">
      <c r="A29" s="44"/>
      <c r="E29" s="44"/>
      <c r="F29" s="45"/>
      <c r="G29" s="45"/>
      <c r="H29" s="58" t="s">
        <v>768</v>
      </c>
      <c r="I29" s="132">
        <v>10</v>
      </c>
      <c r="J29" s="133">
        <v>8</v>
      </c>
      <c r="K29" s="131">
        <v>1</v>
      </c>
      <c r="L29" s="131">
        <v>7</v>
      </c>
      <c r="M29" s="131"/>
      <c r="N29" s="131"/>
      <c r="O29" s="131">
        <v>4</v>
      </c>
      <c r="P29" s="131"/>
      <c r="Q29" s="131">
        <v>1</v>
      </c>
      <c r="R29" s="131"/>
      <c r="S29" s="126"/>
      <c r="T29" s="44"/>
      <c r="V29" s="53" t="s">
        <v>769</v>
      </c>
      <c r="W29" s="53">
        <v>17</v>
      </c>
      <c r="X29" s="123">
        <v>21</v>
      </c>
      <c r="Y29" s="123"/>
      <c r="Z29" s="123"/>
      <c r="AA29" s="52"/>
      <c r="AB29" s="45"/>
      <c r="AJ29" s="45"/>
      <c r="BC29" s="44"/>
    </row>
    <row r="30" spans="1:55">
      <c r="A30" s="44"/>
      <c r="E30" s="44"/>
      <c r="F30" s="45"/>
      <c r="G30" s="45"/>
      <c r="H30" s="58" t="s">
        <v>768</v>
      </c>
      <c r="I30" s="132">
        <v>13</v>
      </c>
      <c r="J30" s="133">
        <v>15</v>
      </c>
      <c r="K30" s="131">
        <v>2</v>
      </c>
      <c r="L30" s="131">
        <v>1</v>
      </c>
      <c r="M30" s="131"/>
      <c r="N30" s="131"/>
      <c r="O30" s="131">
        <v>2</v>
      </c>
      <c r="P30" s="131"/>
      <c r="Q30" s="131">
        <v>5</v>
      </c>
      <c r="R30" s="131"/>
      <c r="S30" s="126"/>
      <c r="T30" s="44"/>
      <c r="V30" s="53" t="s">
        <v>769</v>
      </c>
      <c r="W30" s="53">
        <v>14</v>
      </c>
      <c r="X30" s="123">
        <v>11</v>
      </c>
      <c r="Y30" s="123"/>
      <c r="Z30" s="123"/>
      <c r="AA30" s="52"/>
      <c r="AB30" s="45"/>
      <c r="AJ30" s="45"/>
      <c r="BC30" s="44"/>
    </row>
    <row r="31" spans="1:55">
      <c r="A31" s="44"/>
      <c r="E31" s="44"/>
      <c r="F31" s="45"/>
      <c r="G31" s="45"/>
      <c r="H31" s="58" t="s">
        <v>768</v>
      </c>
      <c r="I31" s="132">
        <v>11</v>
      </c>
      <c r="J31" s="133">
        <v>12</v>
      </c>
      <c r="K31" s="131">
        <v>9</v>
      </c>
      <c r="L31" s="131">
        <v>2</v>
      </c>
      <c r="M31" s="131"/>
      <c r="N31" s="131"/>
      <c r="O31" s="131">
        <v>3</v>
      </c>
      <c r="P31" s="131"/>
      <c r="Q31" s="131">
        <v>10</v>
      </c>
      <c r="R31" s="131"/>
      <c r="S31" s="126"/>
      <c r="T31" s="44"/>
      <c r="V31" s="53" t="s">
        <v>769</v>
      </c>
      <c r="W31" s="53">
        <v>15</v>
      </c>
      <c r="X31" s="123">
        <v>12</v>
      </c>
      <c r="Y31" s="123"/>
      <c r="Z31" s="123"/>
      <c r="AA31" s="52"/>
      <c r="AB31" s="45"/>
      <c r="AJ31" s="45"/>
      <c r="BC31" s="44"/>
    </row>
    <row r="32" spans="1:55">
      <c r="A32" s="44"/>
      <c r="E32" s="44"/>
      <c r="F32" s="45"/>
      <c r="G32" s="45"/>
      <c r="H32" s="58" t="s">
        <v>768</v>
      </c>
      <c r="I32" s="132">
        <v>12</v>
      </c>
      <c r="J32" s="133">
        <v>22</v>
      </c>
      <c r="K32" s="131">
        <v>2</v>
      </c>
      <c r="L32" s="131"/>
      <c r="M32" s="131">
        <v>1</v>
      </c>
      <c r="N32" s="131"/>
      <c r="O32" s="131">
        <v>2</v>
      </c>
      <c r="P32" s="131"/>
      <c r="Q32" s="131">
        <v>3</v>
      </c>
      <c r="R32" s="131"/>
      <c r="S32" s="126">
        <v>4</v>
      </c>
      <c r="T32" s="44"/>
      <c r="V32" s="53" t="s">
        <v>769</v>
      </c>
      <c r="W32" s="53">
        <v>18</v>
      </c>
      <c r="X32" s="123">
        <v>15</v>
      </c>
      <c r="Y32" s="123"/>
      <c r="Z32" s="123"/>
      <c r="AA32" s="52"/>
      <c r="AB32" s="45"/>
      <c r="AJ32" s="45"/>
      <c r="BC32" s="44"/>
    </row>
    <row r="33" spans="8:55">
      <c r="H33" s="58" t="s">
        <v>768</v>
      </c>
      <c r="I33" s="132">
        <v>14</v>
      </c>
      <c r="J33" s="133">
        <v>3</v>
      </c>
      <c r="K33" s="131">
        <v>3</v>
      </c>
      <c r="L33" s="131"/>
      <c r="M33" s="131"/>
      <c r="N33" s="131"/>
      <c r="O33" s="131">
        <v>3</v>
      </c>
      <c r="P33" s="131"/>
      <c r="Q33" s="131">
        <v>1</v>
      </c>
      <c r="R33" s="131"/>
      <c r="S33" s="126"/>
      <c r="BC33" s="44"/>
    </row>
    <row r="34" spans="8:55">
      <c r="H34" s="58" t="s">
        <v>769</v>
      </c>
      <c r="I34" s="132">
        <v>17</v>
      </c>
      <c r="J34" s="133">
        <v>5</v>
      </c>
      <c r="K34" s="131">
        <v>1</v>
      </c>
      <c r="L34" s="131">
        <v>2</v>
      </c>
      <c r="M34" s="131"/>
      <c r="N34" s="131"/>
      <c r="O34" s="131">
        <v>2</v>
      </c>
      <c r="P34" s="131"/>
      <c r="Q34" s="131">
        <v>10</v>
      </c>
      <c r="R34" s="131">
        <v>1</v>
      </c>
      <c r="S34" s="126"/>
    </row>
    <row r="35" spans="8:55">
      <c r="H35" s="58" t="s">
        <v>769</v>
      </c>
      <c r="I35" s="132">
        <v>14</v>
      </c>
      <c r="J35" s="133">
        <v>7</v>
      </c>
      <c r="K35" s="131">
        <v>1</v>
      </c>
      <c r="L35" s="131"/>
      <c r="M35" s="131"/>
      <c r="N35" s="131"/>
      <c r="O35" s="131">
        <v>1</v>
      </c>
      <c r="P35" s="131"/>
      <c r="Q35" s="131">
        <v>2</v>
      </c>
      <c r="R35" s="131"/>
      <c r="S35" s="126"/>
    </row>
    <row r="36" spans="8:55">
      <c r="H36" s="58" t="s">
        <v>769</v>
      </c>
      <c r="I36" s="132">
        <v>15</v>
      </c>
      <c r="J36" s="133">
        <v>3</v>
      </c>
      <c r="K36" s="131">
        <v>6</v>
      </c>
      <c r="L36" s="131"/>
      <c r="M36" s="131"/>
      <c r="N36" s="131"/>
      <c r="O36" s="131"/>
      <c r="P36" s="131"/>
      <c r="Q36" s="131">
        <v>3</v>
      </c>
      <c r="R36" s="131"/>
      <c r="S36" s="126"/>
    </row>
    <row r="37" spans="8:55">
      <c r="H37" s="58" t="s">
        <v>769</v>
      </c>
      <c r="I37" s="132">
        <v>18</v>
      </c>
      <c r="J37" s="133">
        <v>1</v>
      </c>
      <c r="K37" s="131"/>
      <c r="L37" s="131"/>
      <c r="M37" s="131">
        <v>1</v>
      </c>
      <c r="N37" s="131"/>
      <c r="O37" s="131">
        <v>5</v>
      </c>
      <c r="P37" s="131"/>
      <c r="Q37" s="131">
        <v>8</v>
      </c>
      <c r="R37" s="131"/>
      <c r="S37" s="126"/>
    </row>
  </sheetData>
  <pageMargins left="0.7" right="0.7" top="0.75" bottom="0.75" header="0.3" footer="0.3"/>
  <pageSetup paperSize="9" orientation="portrait" verticalDpi="0"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5232C-9133-441E-9020-AFF9C07E5194}">
  <sheetPr codeName="Sheet6"/>
  <dimension ref="A1:BC44"/>
  <sheetViews>
    <sheetView showGridLines="0" topLeftCell="A9" zoomScaleNormal="100" workbookViewId="0">
      <selection activeCell="AG38" sqref="AG38"/>
    </sheetView>
  </sheetViews>
  <sheetFormatPr defaultRowHeight="10.5"/>
  <cols>
    <col min="1" max="2" width="2.1640625" customWidth="1"/>
    <col min="3" max="3" width="13" bestFit="1" customWidth="1"/>
    <col min="4" max="4" width="12.1640625" bestFit="1" customWidth="1"/>
    <col min="5" max="5" width="2.6640625" customWidth="1"/>
    <col min="6" max="6" width="2" customWidth="1"/>
    <col min="7" max="7" width="2.5" customWidth="1"/>
    <col min="8" max="8" width="13" bestFit="1" customWidth="1"/>
    <col min="9" max="9" width="15.6640625" bestFit="1" customWidth="1"/>
    <col min="10" max="10" width="9.6640625" bestFit="1" customWidth="1"/>
    <col min="11" max="11" width="8.5" bestFit="1" customWidth="1"/>
    <col min="12" max="12" width="6.5" bestFit="1" customWidth="1"/>
    <col min="13" max="13" width="4.5" bestFit="1" customWidth="1"/>
    <col min="14" max="14" width="8" bestFit="1" customWidth="1"/>
    <col min="15" max="15" width="4.5" bestFit="1" customWidth="1"/>
    <col min="16" max="17" width="8.33203125" bestFit="1" customWidth="1"/>
    <col min="18" max="18" width="8.5" bestFit="1" customWidth="1"/>
    <col min="19" max="19" width="9.33203125" bestFit="1" customWidth="1"/>
    <col min="20" max="20" width="2.6640625" customWidth="1"/>
    <col min="21" max="21" width="2.83203125" customWidth="1"/>
    <col min="22" max="22" width="13" bestFit="1" customWidth="1"/>
    <col min="23" max="23" width="7.5" bestFit="1" customWidth="1"/>
    <col min="24" max="24" width="15.6640625" bestFit="1" customWidth="1"/>
    <col min="25" max="25" width="9.6640625" bestFit="1" customWidth="1"/>
    <col min="26" max="26" width="5.33203125" bestFit="1" customWidth="1"/>
    <col min="27" max="27" width="3.5" customWidth="1"/>
    <col min="28" max="28" width="3" customWidth="1"/>
    <col min="29" max="29" width="20.5" bestFit="1" customWidth="1"/>
    <col min="30" max="30" width="7.5" bestFit="1" customWidth="1"/>
    <col min="31" max="31" width="15.6640625" bestFit="1" customWidth="1"/>
    <col min="32" max="32" width="6.33203125" bestFit="1" customWidth="1"/>
    <col min="33" max="33" width="7.5" bestFit="1" customWidth="1"/>
    <col min="34" max="34" width="5.33203125" bestFit="1" customWidth="1"/>
    <col min="35" max="35" width="7.5" customWidth="1"/>
    <col min="36" max="36" width="2.5" customWidth="1"/>
    <col min="37" max="37" width="13" bestFit="1" customWidth="1"/>
    <col min="38" max="38" width="14.33203125" bestFit="1" customWidth="1"/>
    <col min="39" max="39" width="8" bestFit="1" customWidth="1"/>
    <col min="40" max="41" width="13.1640625" bestFit="1" customWidth="1"/>
    <col min="42" max="44" width="4.5" customWidth="1"/>
    <col min="45" max="45" width="22.1640625" bestFit="1" customWidth="1"/>
    <col min="46" max="46" width="8.1640625" bestFit="1" customWidth="1"/>
    <col min="47" max="47" width="15.6640625" bestFit="1" customWidth="1"/>
    <col min="48" max="48" width="12.6640625" bestFit="1" customWidth="1"/>
    <col min="49" max="49" width="11.1640625" bestFit="1" customWidth="1"/>
    <col min="50" max="50" width="10" bestFit="1" customWidth="1"/>
    <col min="51" max="51" width="5.6640625" customWidth="1"/>
    <col min="55" max="55" width="4.6640625" customWidth="1"/>
  </cols>
  <sheetData>
    <row r="1" spans="1:55">
      <c r="B1" t="s">
        <v>738</v>
      </c>
      <c r="G1" t="s">
        <v>739</v>
      </c>
      <c r="U1" t="s">
        <v>740</v>
      </c>
      <c r="AB1" t="s">
        <v>741</v>
      </c>
      <c r="AJ1" s="47"/>
      <c r="AK1" s="48"/>
      <c r="AL1" s="48"/>
      <c r="AM1" s="48"/>
      <c r="AN1" s="48"/>
      <c r="AO1" s="49"/>
      <c r="AS1" s="125" t="s">
        <v>30</v>
      </c>
      <c r="AT1" s="44" t="s">
        <v>742</v>
      </c>
      <c r="BC1" s="44"/>
    </row>
    <row r="2" spans="1:55">
      <c r="B2" s="47"/>
      <c r="C2" s="48"/>
      <c r="D2" s="48"/>
      <c r="E2" s="49"/>
      <c r="F2" s="45"/>
      <c r="G2" s="47"/>
      <c r="H2" s="48"/>
      <c r="I2" s="48"/>
      <c r="J2" s="48"/>
      <c r="K2" s="48"/>
      <c r="L2" s="48"/>
      <c r="M2" s="48"/>
      <c r="N2" s="48"/>
      <c r="O2" s="48"/>
      <c r="P2" s="48"/>
      <c r="Q2" s="48"/>
      <c r="R2" s="48"/>
      <c r="S2" s="49"/>
      <c r="T2" s="44"/>
      <c r="U2" s="47"/>
      <c r="V2" s="48"/>
      <c r="W2" s="48"/>
      <c r="X2" s="48"/>
      <c r="Y2" s="48"/>
      <c r="Z2" s="49"/>
      <c r="AA2" s="52"/>
      <c r="AB2" s="47"/>
      <c r="AC2" s="48"/>
      <c r="AD2" s="48"/>
      <c r="AE2" s="48"/>
      <c r="AF2" s="48"/>
      <c r="AG2" s="48"/>
      <c r="AH2" s="48"/>
      <c r="AJ2" s="45"/>
      <c r="AK2" s="54" t="s">
        <v>31</v>
      </c>
      <c r="AL2" s="49" t="s">
        <v>743</v>
      </c>
      <c r="AO2" s="44"/>
      <c r="BC2" s="44"/>
    </row>
    <row r="3" spans="1:55">
      <c r="B3" s="45"/>
      <c r="C3" s="22" t="s">
        <v>744</v>
      </c>
      <c r="D3" s="3" t="s">
        <v>745</v>
      </c>
      <c r="E3" s="44"/>
      <c r="F3" s="45"/>
      <c r="G3" s="45"/>
      <c r="H3" s="22" t="s">
        <v>746</v>
      </c>
      <c r="I3" s="22" t="s">
        <v>747</v>
      </c>
      <c r="J3" s="3"/>
      <c r="P3" t="s">
        <v>748</v>
      </c>
      <c r="S3" s="44"/>
      <c r="T3" s="44"/>
      <c r="V3" s="43" t="s">
        <v>746</v>
      </c>
      <c r="X3" s="43" t="s">
        <v>747</v>
      </c>
      <c r="AA3" s="52"/>
      <c r="AB3" s="45"/>
      <c r="AC3" s="125" t="s">
        <v>749</v>
      </c>
      <c r="AD3" s="44"/>
      <c r="AE3" s="51" t="s">
        <v>747</v>
      </c>
      <c r="AF3" s="124"/>
      <c r="AG3" s="124"/>
      <c r="AH3" s="44"/>
      <c r="AJ3" s="45"/>
      <c r="AO3" s="44"/>
      <c r="AS3" s="125" t="s">
        <v>750</v>
      </c>
      <c r="AT3" s="44"/>
      <c r="AU3" s="51" t="s">
        <v>747</v>
      </c>
      <c r="AV3" s="44"/>
      <c r="AZ3" s="61" t="s">
        <v>751</v>
      </c>
      <c r="BA3" s="8">
        <f>GETPIVOTDATA("Performace",$AS$3)</f>
        <v>659</v>
      </c>
      <c r="BC3" s="44"/>
    </row>
    <row r="4" spans="1:55">
      <c r="B4" s="45"/>
      <c r="C4" s="55" t="s">
        <v>17</v>
      </c>
      <c r="D4" s="128">
        <v>187</v>
      </c>
      <c r="E4" s="44"/>
      <c r="F4" s="45"/>
      <c r="G4" s="45"/>
      <c r="H4" s="22" t="s">
        <v>744</v>
      </c>
      <c r="I4" s="98" t="s">
        <v>742</v>
      </c>
      <c r="J4" s="96" t="s">
        <v>752</v>
      </c>
      <c r="L4" s="74" t="s">
        <v>5</v>
      </c>
      <c r="M4" s="74" t="s">
        <v>742</v>
      </c>
      <c r="N4" s="74" t="s">
        <v>752</v>
      </c>
      <c r="P4" s="74" t="s">
        <v>5</v>
      </c>
      <c r="Q4" s="74" t="s">
        <v>742</v>
      </c>
      <c r="R4" s="74" t="s">
        <v>753</v>
      </c>
      <c r="S4" s="44"/>
      <c r="T4" s="44"/>
      <c r="V4" s="43" t="s">
        <v>744</v>
      </c>
      <c r="W4" s="43" t="s">
        <v>4</v>
      </c>
      <c r="X4" t="s">
        <v>742</v>
      </c>
      <c r="Y4" t="s">
        <v>752</v>
      </c>
      <c r="Z4" t="s">
        <v>754</v>
      </c>
      <c r="AA4" s="52"/>
      <c r="AB4" s="45"/>
      <c r="AC4" s="51" t="s">
        <v>744</v>
      </c>
      <c r="AD4" s="51" t="s">
        <v>4</v>
      </c>
      <c r="AE4" s="124" t="s">
        <v>741</v>
      </c>
      <c r="AF4" s="124" t="s">
        <v>755</v>
      </c>
      <c r="AG4" s="124" t="s">
        <v>756</v>
      </c>
      <c r="AH4" s="44" t="s">
        <v>754</v>
      </c>
      <c r="AJ4" s="45"/>
      <c r="AK4" s="54" t="s">
        <v>744</v>
      </c>
      <c r="AL4" s="103" t="s">
        <v>5</v>
      </c>
      <c r="AM4" s="103" t="s">
        <v>2</v>
      </c>
      <c r="AN4" s="104" t="s">
        <v>7</v>
      </c>
      <c r="AS4" s="51" t="s">
        <v>744</v>
      </c>
      <c r="AT4" s="51" t="s">
        <v>4</v>
      </c>
      <c r="AU4" s="44" t="s">
        <v>757</v>
      </c>
      <c r="AV4" s="44" t="s">
        <v>758</v>
      </c>
      <c r="AZ4" s="61" t="s">
        <v>759</v>
      </c>
      <c r="BA4" s="8">
        <f>GETPIVOTDATA("Performace",$AS$3,"Performace","On Time")</f>
        <v>659</v>
      </c>
      <c r="BB4" s="64">
        <f>BA4/BA3</f>
        <v>1</v>
      </c>
      <c r="BC4" s="44"/>
    </row>
    <row r="5" spans="1:55">
      <c r="B5" s="45"/>
      <c r="C5" s="52" t="s">
        <v>14</v>
      </c>
      <c r="D5" s="129">
        <v>64</v>
      </c>
      <c r="E5" s="44"/>
      <c r="F5" s="45"/>
      <c r="G5" s="45"/>
      <c r="H5" s="57" t="s">
        <v>14</v>
      </c>
      <c r="I5" s="135">
        <v>64</v>
      </c>
      <c r="J5" s="134"/>
      <c r="L5" t="s">
        <v>21</v>
      </c>
      <c r="M5">
        <f>IFERROR(VLOOKUP(L5,$H$5:$J$13,2,FALSE),0)</f>
        <v>65</v>
      </c>
      <c r="N5">
        <f>IFERROR(VLOOKUP(L5,$H$5:$J$13,3,FALSE),0)</f>
        <v>2</v>
      </c>
      <c r="P5" t="str" cm="1">
        <f t="array" ref="P5:R12">_xlfn._xlws.SORT(L5:N12,3,-1)</f>
        <v>RFQ</v>
      </c>
      <c r="Q5">
        <v>65</v>
      </c>
      <c r="R5">
        <v>2</v>
      </c>
      <c r="S5" s="44"/>
      <c r="T5" s="44"/>
      <c r="V5" s="53" t="s">
        <v>760</v>
      </c>
      <c r="W5" s="53">
        <v>19</v>
      </c>
      <c r="X5" s="123">
        <v>14</v>
      </c>
      <c r="Y5" s="123"/>
      <c r="Z5" s="123"/>
      <c r="AA5" s="52"/>
      <c r="AB5" s="45"/>
      <c r="AC5" s="44" t="s">
        <v>760</v>
      </c>
      <c r="AD5" s="124">
        <v>19</v>
      </c>
      <c r="AE5" s="131"/>
      <c r="AF5" s="131">
        <v>14</v>
      </c>
      <c r="AG5" s="131"/>
      <c r="AH5" s="126"/>
      <c r="AJ5" s="45"/>
      <c r="AS5" s="124" t="s">
        <v>760</v>
      </c>
      <c r="AT5" s="124">
        <v>19</v>
      </c>
      <c r="AU5" s="131">
        <v>14</v>
      </c>
      <c r="AV5" s="126">
        <v>14</v>
      </c>
      <c r="AZ5" s="61" t="s">
        <v>761</v>
      </c>
      <c r="BA5" s="8">
        <f>IFERROR(GETPIVOTDATA("Performace",$AS$3,"Performace","Delay"),0)</f>
        <v>0</v>
      </c>
      <c r="BB5" s="64">
        <f>BA5/BA3</f>
        <v>0</v>
      </c>
      <c r="BC5" s="44"/>
    </row>
    <row r="6" spans="1:55">
      <c r="B6" s="45"/>
      <c r="C6" s="52" t="s">
        <v>19</v>
      </c>
      <c r="D6" s="129">
        <v>15</v>
      </c>
      <c r="E6" s="44"/>
      <c r="F6" s="45"/>
      <c r="G6" s="45"/>
      <c r="H6" s="58" t="s">
        <v>20</v>
      </c>
      <c r="I6" s="133">
        <v>75</v>
      </c>
      <c r="J6" s="126"/>
      <c r="L6" t="s">
        <v>17</v>
      </c>
      <c r="M6">
        <f>IFERROR(VLOOKUP(L6,$H$5:$J$13,2,FALSE),0)</f>
        <v>186</v>
      </c>
      <c r="N6">
        <f t="shared" ref="N6:N11" si="0">IFERROR(VLOOKUP(L6,$H$5:$J$11,3,FALSE),0)</f>
        <v>1</v>
      </c>
      <c r="P6" t="str">
        <v>NPI</v>
      </c>
      <c r="Q6">
        <v>186</v>
      </c>
      <c r="R6">
        <v>1</v>
      </c>
      <c r="S6" s="44"/>
      <c r="T6" s="44"/>
      <c r="V6" s="53" t="s">
        <v>760</v>
      </c>
      <c r="W6" s="53">
        <v>20</v>
      </c>
      <c r="X6" s="123">
        <v>28</v>
      </c>
      <c r="Y6" s="123"/>
      <c r="Z6" s="123"/>
      <c r="AA6" s="52"/>
      <c r="AB6" s="45"/>
      <c r="AC6" s="44" t="s">
        <v>760</v>
      </c>
      <c r="AD6" s="124">
        <v>20</v>
      </c>
      <c r="AE6" s="131"/>
      <c r="AF6" s="131">
        <v>28</v>
      </c>
      <c r="AG6" s="131"/>
      <c r="AH6" s="126"/>
      <c r="AJ6" s="45"/>
      <c r="AS6" s="124" t="s">
        <v>760</v>
      </c>
      <c r="AT6" s="124">
        <v>20</v>
      </c>
      <c r="AU6" s="131">
        <v>28</v>
      </c>
      <c r="AV6" s="126">
        <v>28</v>
      </c>
      <c r="BC6" s="44"/>
    </row>
    <row r="7" spans="1:55">
      <c r="B7" s="45"/>
      <c r="C7" s="52" t="s">
        <v>20</v>
      </c>
      <c r="D7" s="129">
        <v>75</v>
      </c>
      <c r="E7" s="44"/>
      <c r="F7" s="45"/>
      <c r="G7" s="45"/>
      <c r="H7" s="58" t="s">
        <v>17</v>
      </c>
      <c r="I7" s="133">
        <v>186</v>
      </c>
      <c r="J7" s="126">
        <v>1</v>
      </c>
      <c r="L7" t="s">
        <v>14</v>
      </c>
      <c r="M7">
        <f t="shared" ref="M7:M8" si="1">IFERROR(VLOOKUP(L7,$H$5:$J$11,2,FALSE),0)</f>
        <v>64</v>
      </c>
      <c r="N7">
        <f t="shared" si="0"/>
        <v>0</v>
      </c>
      <c r="P7" t="str">
        <v>PROJECT</v>
      </c>
      <c r="Q7">
        <v>6</v>
      </c>
      <c r="R7">
        <v>1</v>
      </c>
      <c r="S7" s="44"/>
      <c r="T7" s="44"/>
      <c r="V7" s="53" t="s">
        <v>760</v>
      </c>
      <c r="W7" s="53">
        <v>21</v>
      </c>
      <c r="X7" s="123">
        <v>39</v>
      </c>
      <c r="Y7" s="123"/>
      <c r="Z7" s="123"/>
      <c r="AA7" s="52"/>
      <c r="AB7" s="45"/>
      <c r="AC7" s="44" t="s">
        <v>760</v>
      </c>
      <c r="AD7" s="124">
        <v>21</v>
      </c>
      <c r="AE7" s="131"/>
      <c r="AF7" s="131">
        <v>39</v>
      </c>
      <c r="AG7" s="131"/>
      <c r="AH7" s="126"/>
      <c r="AJ7" s="45"/>
      <c r="AS7" s="124" t="s">
        <v>760</v>
      </c>
      <c r="AT7" s="124">
        <v>21</v>
      </c>
      <c r="AU7" s="131">
        <v>39</v>
      </c>
      <c r="AV7" s="126">
        <v>39</v>
      </c>
      <c r="BC7" s="44"/>
    </row>
    <row r="8" spans="1:55">
      <c r="B8" s="45"/>
      <c r="C8" s="52" t="s">
        <v>16</v>
      </c>
      <c r="D8" s="129">
        <v>31</v>
      </c>
      <c r="E8" s="44"/>
      <c r="F8" s="45"/>
      <c r="G8" s="45"/>
      <c r="H8" s="58" t="s">
        <v>16</v>
      </c>
      <c r="I8" s="133">
        <v>31</v>
      </c>
      <c r="J8" s="126"/>
      <c r="L8" t="s">
        <v>16</v>
      </c>
      <c r="M8">
        <f t="shared" si="1"/>
        <v>31</v>
      </c>
      <c r="N8">
        <f t="shared" si="0"/>
        <v>0</v>
      </c>
      <c r="P8" t="str">
        <v>DFM Mold</v>
      </c>
      <c r="Q8">
        <v>64</v>
      </c>
      <c r="R8">
        <v>0</v>
      </c>
      <c r="S8" s="44"/>
      <c r="T8" s="44"/>
      <c r="V8" s="53" t="s">
        <v>760</v>
      </c>
      <c r="W8" s="53">
        <v>22</v>
      </c>
      <c r="X8" s="123">
        <v>28</v>
      </c>
      <c r="Y8" s="123"/>
      <c r="Z8" s="123"/>
      <c r="AA8" s="52"/>
      <c r="AB8" s="45"/>
      <c r="AC8" s="44" t="s">
        <v>760</v>
      </c>
      <c r="AD8" s="124">
        <v>22</v>
      </c>
      <c r="AE8" s="131"/>
      <c r="AF8" s="131">
        <v>28</v>
      </c>
      <c r="AG8" s="131"/>
      <c r="AH8" s="126"/>
      <c r="AJ8" s="45"/>
      <c r="AS8" s="124" t="s">
        <v>760</v>
      </c>
      <c r="AT8" s="124">
        <v>22</v>
      </c>
      <c r="AU8" s="131">
        <v>28</v>
      </c>
      <c r="AV8" s="126">
        <v>28</v>
      </c>
      <c r="BC8" s="44"/>
    </row>
    <row r="9" spans="1:55">
      <c r="B9" s="45"/>
      <c r="C9" s="52" t="s">
        <v>725</v>
      </c>
      <c r="D9" s="129">
        <v>20</v>
      </c>
      <c r="E9" s="44"/>
      <c r="F9" s="45"/>
      <c r="G9" s="45"/>
      <c r="H9" s="58" t="s">
        <v>725</v>
      </c>
      <c r="I9" s="133">
        <v>20</v>
      </c>
      <c r="J9" s="126"/>
      <c r="L9" t="s">
        <v>19</v>
      </c>
      <c r="M9">
        <f>IFERROR(VLOOKUP(L9,$H$5:$J$13,2,FALSE),0)</f>
        <v>0</v>
      </c>
      <c r="N9">
        <f t="shared" si="0"/>
        <v>0</v>
      </c>
      <c r="P9" t="str">
        <v>OTHER</v>
      </c>
      <c r="Q9">
        <v>31</v>
      </c>
      <c r="R9">
        <v>0</v>
      </c>
      <c r="S9" s="44"/>
      <c r="T9" s="44"/>
      <c r="V9" s="53" t="s">
        <v>762</v>
      </c>
      <c r="W9" s="53">
        <v>24</v>
      </c>
      <c r="X9" s="123">
        <v>35</v>
      </c>
      <c r="Y9" s="123"/>
      <c r="Z9" s="123"/>
      <c r="AA9" s="52"/>
      <c r="AB9" s="45"/>
      <c r="AC9" s="44" t="s">
        <v>762</v>
      </c>
      <c r="AD9" s="124">
        <v>24</v>
      </c>
      <c r="AE9" s="131"/>
      <c r="AF9" s="131">
        <v>35</v>
      </c>
      <c r="AG9" s="131"/>
      <c r="AH9" s="126"/>
      <c r="AJ9" s="45"/>
      <c r="AS9" s="124" t="s">
        <v>762</v>
      </c>
      <c r="AT9" s="124">
        <v>24</v>
      </c>
      <c r="AU9" s="131">
        <v>35</v>
      </c>
      <c r="AV9" s="126">
        <v>35</v>
      </c>
      <c r="BC9" s="44"/>
    </row>
    <row r="10" spans="1:55">
      <c r="B10" s="45"/>
      <c r="C10" s="52" t="s">
        <v>22</v>
      </c>
      <c r="D10" s="129">
        <v>7</v>
      </c>
      <c r="E10" s="44"/>
      <c r="F10" s="45"/>
      <c r="G10" s="45"/>
      <c r="H10" s="58" t="s">
        <v>22</v>
      </c>
      <c r="I10" s="133">
        <v>6</v>
      </c>
      <c r="J10" s="126">
        <v>1</v>
      </c>
      <c r="L10" t="s">
        <v>22</v>
      </c>
      <c r="M10">
        <f>IFERROR(VLOOKUP(L10,$H$5:$J$13,2,FALSE),0)</f>
        <v>6</v>
      </c>
      <c r="N10">
        <f t="shared" si="0"/>
        <v>1</v>
      </c>
      <c r="P10" t="str">
        <v>Part DFM</v>
      </c>
      <c r="Q10">
        <v>0</v>
      </c>
      <c r="R10">
        <v>0</v>
      </c>
      <c r="S10" s="44"/>
      <c r="T10" s="44"/>
      <c r="V10" s="53" t="s">
        <v>762</v>
      </c>
      <c r="W10" s="53">
        <v>25</v>
      </c>
      <c r="X10" s="123">
        <v>30</v>
      </c>
      <c r="Y10" s="123"/>
      <c r="Z10" s="123"/>
      <c r="AA10" s="52"/>
      <c r="AB10" s="45"/>
      <c r="AC10" s="44" t="s">
        <v>762</v>
      </c>
      <c r="AD10" s="124">
        <v>25</v>
      </c>
      <c r="AE10" s="131"/>
      <c r="AF10" s="131">
        <v>30</v>
      </c>
      <c r="AG10" s="131"/>
      <c r="AH10" s="126"/>
      <c r="AJ10" s="45"/>
      <c r="AS10" s="124" t="s">
        <v>762</v>
      </c>
      <c r="AT10" s="124">
        <v>25</v>
      </c>
      <c r="AU10" s="131">
        <v>30</v>
      </c>
      <c r="AV10" s="126">
        <v>30</v>
      </c>
      <c r="BC10" s="44"/>
    </row>
    <row r="11" spans="1:55">
      <c r="B11" s="45"/>
      <c r="C11" s="52" t="s">
        <v>21</v>
      </c>
      <c r="D11" s="129">
        <v>67</v>
      </c>
      <c r="E11" s="44"/>
      <c r="F11" s="45"/>
      <c r="G11" s="45"/>
      <c r="H11" s="58" t="s">
        <v>21</v>
      </c>
      <c r="I11" s="133">
        <v>65</v>
      </c>
      <c r="J11" s="126">
        <v>2</v>
      </c>
      <c r="L11" t="s">
        <v>20</v>
      </c>
      <c r="M11">
        <f>IFERROR(VLOOKUP(L11,$H$5:$J$13,2,FALSE),0)</f>
        <v>75</v>
      </c>
      <c r="N11">
        <f t="shared" si="0"/>
        <v>0</v>
      </c>
      <c r="P11" t="str">
        <v>MEETING</v>
      </c>
      <c r="Q11">
        <v>75</v>
      </c>
      <c r="R11">
        <v>0</v>
      </c>
      <c r="S11" s="44"/>
      <c r="T11" s="44"/>
      <c r="V11" s="53" t="s">
        <v>762</v>
      </c>
      <c r="W11" s="53">
        <v>26</v>
      </c>
      <c r="X11" s="123">
        <v>24</v>
      </c>
      <c r="Y11" s="123"/>
      <c r="Z11" s="123"/>
      <c r="AA11" s="52"/>
      <c r="AB11" s="45"/>
      <c r="AC11" s="44" t="s">
        <v>762</v>
      </c>
      <c r="AD11" s="124">
        <v>26</v>
      </c>
      <c r="AE11" s="131"/>
      <c r="AF11" s="131">
        <v>24</v>
      </c>
      <c r="AG11" s="131"/>
      <c r="AH11" s="126"/>
      <c r="AJ11" s="45"/>
      <c r="AS11" s="124" t="s">
        <v>762</v>
      </c>
      <c r="AT11" s="124">
        <v>26</v>
      </c>
      <c r="AU11" s="131">
        <v>23</v>
      </c>
      <c r="AV11" s="126">
        <v>23</v>
      </c>
      <c r="BC11" s="44"/>
    </row>
    <row r="12" spans="1:55">
      <c r="B12" s="46"/>
      <c r="C12" s="56" t="s">
        <v>726</v>
      </c>
      <c r="D12" s="130">
        <v>199</v>
      </c>
      <c r="E12" s="50"/>
      <c r="F12" s="45"/>
      <c r="G12" s="46"/>
      <c r="H12" s="59" t="s">
        <v>726</v>
      </c>
      <c r="I12" s="136">
        <v>197</v>
      </c>
      <c r="J12" s="127">
        <v>2</v>
      </c>
      <c r="K12" s="7"/>
      <c r="L12" s="7" t="s">
        <v>725</v>
      </c>
      <c r="M12" s="7">
        <f>IFERROR(VLOOKUP(L12,$H$5:$J$13,2,FALSE),0)</f>
        <v>20</v>
      </c>
      <c r="N12" s="7">
        <f>IFERROR(VLOOKUP(L12,$H$5:$J$11,3,FALSE),0)</f>
        <v>0</v>
      </c>
      <c r="O12" s="7"/>
      <c r="P12" s="7" t="str">
        <v>DFA</v>
      </c>
      <c r="Q12" s="7">
        <v>20</v>
      </c>
      <c r="R12" s="7">
        <v>0</v>
      </c>
      <c r="S12" s="50"/>
      <c r="T12" s="44"/>
      <c r="V12" s="53" t="s">
        <v>762</v>
      </c>
      <c r="W12" s="53">
        <v>27</v>
      </c>
      <c r="X12" s="123">
        <v>21</v>
      </c>
      <c r="Y12" s="123"/>
      <c r="Z12" s="123"/>
      <c r="AA12" s="52"/>
      <c r="AB12" s="45"/>
      <c r="AC12" s="44" t="s">
        <v>762</v>
      </c>
      <c r="AD12" s="124">
        <v>27</v>
      </c>
      <c r="AE12" s="131"/>
      <c r="AF12" s="131">
        <v>21</v>
      </c>
      <c r="AG12" s="131"/>
      <c r="AH12" s="126"/>
      <c r="AJ12" s="45"/>
      <c r="AS12" s="124" t="s">
        <v>762</v>
      </c>
      <c r="AT12" s="124">
        <v>27</v>
      </c>
      <c r="AU12" s="131">
        <v>21</v>
      </c>
      <c r="AV12" s="126">
        <v>21</v>
      </c>
      <c r="BC12" s="44"/>
    </row>
    <row r="13" spans="1:55">
      <c r="B13" s="8" t="s">
        <v>765</v>
      </c>
      <c r="E13" s="8"/>
      <c r="G13" t="s">
        <v>766</v>
      </c>
      <c r="L13" s="48" t="s">
        <v>726</v>
      </c>
      <c r="M13" s="48">
        <f>IFERROR(VLOOKUP(L13,$H$5:$J$13,2,FALSE),0)</f>
        <v>197</v>
      </c>
      <c r="N13" s="48">
        <f>IFERROR(VLOOKUP(L13,$H$5:$J$13,3,FALSE),0)</f>
        <v>2</v>
      </c>
      <c r="P13" s="48" t="str" cm="1">
        <f t="array" ref="P13:R13">_xlfn._xlws.SORT(L13:N13,3,-1)</f>
        <v>PACKING</v>
      </c>
      <c r="Q13" s="49">
        <v>197</v>
      </c>
      <c r="R13">
        <v>2</v>
      </c>
      <c r="T13" s="44"/>
      <c r="V13" s="53" t="s">
        <v>762</v>
      </c>
      <c r="W13" s="53">
        <v>23</v>
      </c>
      <c r="X13" s="123">
        <v>23</v>
      </c>
      <c r="Y13" s="123"/>
      <c r="Z13" s="123"/>
      <c r="AA13" s="52"/>
      <c r="AB13" s="45"/>
      <c r="AC13" s="44" t="s">
        <v>762</v>
      </c>
      <c r="AD13" s="124">
        <v>23</v>
      </c>
      <c r="AE13" s="131"/>
      <c r="AF13" s="131">
        <v>23</v>
      </c>
      <c r="AG13" s="131"/>
      <c r="AH13" s="126"/>
      <c r="AJ13" s="45"/>
      <c r="AS13" s="124" t="s">
        <v>762</v>
      </c>
      <c r="AT13" s="124">
        <v>23</v>
      </c>
      <c r="AU13" s="131">
        <v>23</v>
      </c>
      <c r="AV13" s="126">
        <v>23</v>
      </c>
      <c r="BC13" s="44"/>
    </row>
    <row r="14" spans="1:55">
      <c r="A14" s="44"/>
      <c r="E14" s="49"/>
      <c r="F14" s="45"/>
      <c r="G14" s="47"/>
      <c r="K14" s="48"/>
      <c r="L14" s="48"/>
      <c r="M14" s="48"/>
      <c r="N14" s="48"/>
      <c r="O14" s="48"/>
      <c r="P14" s="48"/>
      <c r="Q14" s="49"/>
      <c r="T14" s="44"/>
      <c r="V14" s="53" t="s">
        <v>763</v>
      </c>
      <c r="W14" s="53">
        <v>27</v>
      </c>
      <c r="X14" s="123">
        <v>15</v>
      </c>
      <c r="Y14" s="123"/>
      <c r="Z14" s="123"/>
      <c r="AA14" s="52"/>
      <c r="AB14" s="45"/>
      <c r="AC14" s="44" t="s">
        <v>763</v>
      </c>
      <c r="AD14" s="124">
        <v>27</v>
      </c>
      <c r="AE14" s="131"/>
      <c r="AF14" s="131">
        <v>15</v>
      </c>
      <c r="AG14" s="131"/>
      <c r="AH14" s="126"/>
      <c r="AJ14" s="45"/>
      <c r="AS14" s="124" t="s">
        <v>763</v>
      </c>
      <c r="AT14" s="124">
        <v>27</v>
      </c>
      <c r="AU14" s="131">
        <v>15</v>
      </c>
      <c r="AV14" s="126">
        <v>15</v>
      </c>
      <c r="BC14" s="44"/>
    </row>
    <row r="15" spans="1:55">
      <c r="A15" s="44"/>
      <c r="C15" s="43" t="s">
        <v>5</v>
      </c>
      <c r="D15" t="s">
        <v>16</v>
      </c>
      <c r="E15" s="44"/>
      <c r="F15" s="45"/>
      <c r="G15" s="45"/>
      <c r="H15" s="60" t="s">
        <v>745</v>
      </c>
      <c r="I15" s="44"/>
      <c r="J15" s="65" t="s">
        <v>747</v>
      </c>
      <c r="K15" s="45"/>
      <c r="L15" s="124"/>
      <c r="M15" s="124"/>
      <c r="N15" s="124"/>
      <c r="O15" s="124"/>
      <c r="P15" s="124"/>
      <c r="Q15" s="124"/>
      <c r="R15" s="124"/>
      <c r="S15" s="44"/>
      <c r="T15" s="44"/>
      <c r="V15" s="53" t="s">
        <v>763</v>
      </c>
      <c r="W15" s="53">
        <v>28</v>
      </c>
      <c r="X15" s="123">
        <v>26</v>
      </c>
      <c r="Y15" s="123">
        <v>6</v>
      </c>
      <c r="Z15" s="123"/>
      <c r="AA15" s="52"/>
      <c r="AB15" s="45"/>
      <c r="AC15" s="44" t="s">
        <v>763</v>
      </c>
      <c r="AD15" s="124">
        <v>28</v>
      </c>
      <c r="AE15" s="131"/>
      <c r="AF15" s="131">
        <v>26</v>
      </c>
      <c r="AG15" s="131">
        <v>6</v>
      </c>
      <c r="AH15" s="126"/>
      <c r="AJ15" s="45"/>
      <c r="AS15" s="124" t="s">
        <v>763</v>
      </c>
      <c r="AT15" s="124">
        <v>28</v>
      </c>
      <c r="AU15" s="131">
        <v>26</v>
      </c>
      <c r="AV15" s="126">
        <v>26</v>
      </c>
      <c r="BC15" s="44"/>
    </row>
    <row r="16" spans="1:55">
      <c r="A16" s="44"/>
      <c r="E16" s="44"/>
      <c r="F16" s="45"/>
      <c r="G16" s="45"/>
      <c r="H16" s="65" t="s">
        <v>744</v>
      </c>
      <c r="I16" s="65" t="s">
        <v>4</v>
      </c>
      <c r="J16" s="45" t="s">
        <v>17</v>
      </c>
      <c r="K16" s="44" t="s">
        <v>20</v>
      </c>
      <c r="L16" s="45" t="s">
        <v>16</v>
      </c>
      <c r="M16" s="124" t="s">
        <v>725</v>
      </c>
      <c r="N16" s="44" t="s">
        <v>22</v>
      </c>
      <c r="O16" s="124" t="s">
        <v>21</v>
      </c>
      <c r="P16" s="124"/>
      <c r="Q16" s="124" t="s">
        <v>726</v>
      </c>
      <c r="R16" s="124" t="s">
        <v>19</v>
      </c>
      <c r="S16" s="44" t="s">
        <v>14</v>
      </c>
      <c r="T16" s="44"/>
      <c r="V16" s="53" t="s">
        <v>764</v>
      </c>
      <c r="W16" s="53">
        <v>2</v>
      </c>
      <c r="X16" s="123">
        <v>20</v>
      </c>
      <c r="Y16" s="123"/>
      <c r="Z16" s="123"/>
      <c r="AA16" s="52"/>
      <c r="AB16" s="45"/>
      <c r="AC16" s="44" t="s">
        <v>764</v>
      </c>
      <c r="AD16" s="124">
        <v>2</v>
      </c>
      <c r="AE16" s="131"/>
      <c r="AF16" s="131">
        <v>20</v>
      </c>
      <c r="AG16" s="131"/>
      <c r="AH16" s="126"/>
      <c r="AJ16" s="45"/>
      <c r="AS16" s="124" t="s">
        <v>764</v>
      </c>
      <c r="AT16" s="124">
        <v>2</v>
      </c>
      <c r="AU16" s="131">
        <v>20</v>
      </c>
      <c r="AV16" s="126">
        <v>20</v>
      </c>
      <c r="BC16" s="44"/>
    </row>
    <row r="17" spans="1:55">
      <c r="A17" s="44"/>
      <c r="C17" s="43" t="s">
        <v>744</v>
      </c>
      <c r="D17" t="s">
        <v>745</v>
      </c>
      <c r="E17" s="44"/>
      <c r="F17" s="45"/>
      <c r="G17" s="45"/>
      <c r="H17" s="58" t="s">
        <v>760</v>
      </c>
      <c r="I17" s="132">
        <v>19</v>
      </c>
      <c r="J17" s="133"/>
      <c r="K17" s="131"/>
      <c r="L17" s="131"/>
      <c r="M17" s="131"/>
      <c r="N17" s="131"/>
      <c r="O17" s="131">
        <v>3</v>
      </c>
      <c r="P17" s="131"/>
      <c r="Q17" s="131">
        <v>10</v>
      </c>
      <c r="R17" s="131"/>
      <c r="S17" s="126">
        <v>1</v>
      </c>
      <c r="T17" s="44"/>
      <c r="V17" s="53" t="s">
        <v>764</v>
      </c>
      <c r="W17" s="53">
        <v>3</v>
      </c>
      <c r="X17" s="123">
        <v>22</v>
      </c>
      <c r="Y17" s="123"/>
      <c r="Z17" s="123"/>
      <c r="AA17" s="52"/>
      <c r="AB17" s="45"/>
      <c r="AC17" s="44" t="s">
        <v>764</v>
      </c>
      <c r="AD17" s="124">
        <v>3</v>
      </c>
      <c r="AE17" s="131"/>
      <c r="AF17" s="131">
        <v>22</v>
      </c>
      <c r="AG17" s="131"/>
      <c r="AH17" s="126"/>
      <c r="AJ17" s="45"/>
      <c r="AS17" s="124" t="s">
        <v>764</v>
      </c>
      <c r="AT17" s="124">
        <v>3</v>
      </c>
      <c r="AU17" s="131">
        <v>22</v>
      </c>
      <c r="AV17" s="126">
        <v>22</v>
      </c>
      <c r="BC17" s="44"/>
    </row>
    <row r="18" spans="1:55">
      <c r="A18" s="44"/>
      <c r="C18" s="53" t="s">
        <v>104</v>
      </c>
      <c r="D18" s="123">
        <v>2</v>
      </c>
      <c r="E18" s="44"/>
      <c r="F18" s="45"/>
      <c r="G18" s="45"/>
      <c r="H18" s="58" t="s">
        <v>760</v>
      </c>
      <c r="I18" s="132">
        <v>20</v>
      </c>
      <c r="J18" s="133"/>
      <c r="K18" s="131">
        <v>1</v>
      </c>
      <c r="L18" s="131"/>
      <c r="M18" s="131"/>
      <c r="N18" s="131"/>
      <c r="O18" s="131">
        <v>2</v>
      </c>
      <c r="P18" s="131"/>
      <c r="Q18" s="131">
        <v>2</v>
      </c>
      <c r="R18" s="131"/>
      <c r="S18" s="126">
        <v>23</v>
      </c>
      <c r="T18" s="44"/>
      <c r="V18" s="53" t="s">
        <v>764</v>
      </c>
      <c r="W18" s="53">
        <v>4</v>
      </c>
      <c r="X18" s="123">
        <v>26</v>
      </c>
      <c r="Y18" s="123"/>
      <c r="Z18" s="123"/>
      <c r="AA18" s="52"/>
      <c r="AB18" s="45"/>
      <c r="AC18" s="44" t="s">
        <v>764</v>
      </c>
      <c r="AD18" s="124">
        <v>4</v>
      </c>
      <c r="AE18" s="131"/>
      <c r="AF18" s="131">
        <v>26</v>
      </c>
      <c r="AG18" s="131"/>
      <c r="AH18" s="126"/>
      <c r="AJ18" s="45"/>
      <c r="AS18" s="124" t="s">
        <v>764</v>
      </c>
      <c r="AT18" s="124">
        <v>4</v>
      </c>
      <c r="AU18" s="131">
        <v>26</v>
      </c>
      <c r="AV18" s="126">
        <v>26</v>
      </c>
      <c r="BC18" s="44"/>
    </row>
    <row r="19" spans="1:55">
      <c r="A19" s="44"/>
      <c r="C19" s="53" t="s">
        <v>108</v>
      </c>
      <c r="D19" s="123">
        <v>20</v>
      </c>
      <c r="E19" s="44"/>
      <c r="F19" s="45"/>
      <c r="G19" s="45"/>
      <c r="H19" s="58" t="s">
        <v>760</v>
      </c>
      <c r="I19" s="132">
        <v>21</v>
      </c>
      <c r="J19" s="133">
        <v>2</v>
      </c>
      <c r="K19" s="131">
        <v>3</v>
      </c>
      <c r="L19" s="131"/>
      <c r="M19" s="131"/>
      <c r="N19" s="131">
        <v>1</v>
      </c>
      <c r="O19" s="131">
        <v>2</v>
      </c>
      <c r="P19" s="131"/>
      <c r="Q19" s="131">
        <v>22</v>
      </c>
      <c r="R19" s="131"/>
      <c r="S19" s="126">
        <v>9</v>
      </c>
      <c r="T19" s="44"/>
      <c r="V19" s="53" t="s">
        <v>764</v>
      </c>
      <c r="W19" s="53">
        <v>5</v>
      </c>
      <c r="X19" s="123">
        <v>27</v>
      </c>
      <c r="Y19" s="123"/>
      <c r="Z19" s="123"/>
      <c r="AA19" s="52"/>
      <c r="AB19" s="45"/>
      <c r="AC19" s="44" t="s">
        <v>764</v>
      </c>
      <c r="AD19" s="124">
        <v>5</v>
      </c>
      <c r="AE19" s="131"/>
      <c r="AF19" s="131">
        <v>27</v>
      </c>
      <c r="AG19" s="131"/>
      <c r="AH19" s="126"/>
      <c r="AJ19" s="45"/>
      <c r="AS19" s="124" t="s">
        <v>764</v>
      </c>
      <c r="AT19" s="124">
        <v>5</v>
      </c>
      <c r="AU19" s="131">
        <v>27</v>
      </c>
      <c r="AV19" s="126">
        <v>27</v>
      </c>
      <c r="BC19" s="44"/>
    </row>
    <row r="20" spans="1:55">
      <c r="A20" s="44"/>
      <c r="C20" s="53" t="s">
        <v>298</v>
      </c>
      <c r="D20" s="123">
        <v>1</v>
      </c>
      <c r="E20" s="44"/>
      <c r="F20" s="45"/>
      <c r="G20" s="45"/>
      <c r="H20" s="58" t="s">
        <v>760</v>
      </c>
      <c r="I20" s="132">
        <v>22</v>
      </c>
      <c r="J20" s="133">
        <v>2</v>
      </c>
      <c r="K20" s="131">
        <v>2</v>
      </c>
      <c r="L20" s="131">
        <v>1</v>
      </c>
      <c r="M20" s="131"/>
      <c r="N20" s="131"/>
      <c r="O20" s="131">
        <v>2</v>
      </c>
      <c r="P20" s="131"/>
      <c r="Q20" s="131">
        <v>12</v>
      </c>
      <c r="R20" s="131">
        <v>3</v>
      </c>
      <c r="S20" s="126">
        <v>6</v>
      </c>
      <c r="T20" s="44"/>
      <c r="V20" s="53" t="s">
        <v>767</v>
      </c>
      <c r="W20" s="53">
        <v>7</v>
      </c>
      <c r="X20" s="123">
        <v>25</v>
      </c>
      <c r="Y20" s="123"/>
      <c r="Z20" s="123"/>
      <c r="AA20" s="52"/>
      <c r="AB20" s="45"/>
      <c r="AC20" s="44" t="s">
        <v>767</v>
      </c>
      <c r="AD20" s="124">
        <v>7</v>
      </c>
      <c r="AE20" s="131"/>
      <c r="AF20" s="131">
        <v>25</v>
      </c>
      <c r="AG20" s="131"/>
      <c r="AH20" s="126"/>
      <c r="AJ20" s="45"/>
      <c r="AS20" s="124" t="s">
        <v>767</v>
      </c>
      <c r="AT20" s="124">
        <v>7</v>
      </c>
      <c r="AU20" s="131">
        <v>25</v>
      </c>
      <c r="AV20" s="126">
        <v>25</v>
      </c>
      <c r="BC20" s="44"/>
    </row>
    <row r="21" spans="1:55">
      <c r="A21" s="44"/>
      <c r="C21" s="53" t="s">
        <v>262</v>
      </c>
      <c r="D21" s="123">
        <v>2</v>
      </c>
      <c r="E21" s="44"/>
      <c r="F21" s="45"/>
      <c r="G21" s="45"/>
      <c r="H21" s="58" t="s">
        <v>762</v>
      </c>
      <c r="I21" s="99">
        <v>24</v>
      </c>
      <c r="J21" s="133">
        <v>5</v>
      </c>
      <c r="K21" s="131">
        <v>2</v>
      </c>
      <c r="L21" s="131">
        <v>1</v>
      </c>
      <c r="M21" s="131"/>
      <c r="N21" s="131"/>
      <c r="O21" s="131">
        <v>2</v>
      </c>
      <c r="P21" s="131"/>
      <c r="Q21" s="131">
        <v>18</v>
      </c>
      <c r="R21" s="131">
        <v>1</v>
      </c>
      <c r="S21" s="126">
        <v>6</v>
      </c>
      <c r="T21" s="44"/>
      <c r="V21" s="53" t="s">
        <v>767</v>
      </c>
      <c r="W21" s="53">
        <v>8</v>
      </c>
      <c r="X21" s="123">
        <v>26</v>
      </c>
      <c r="Y21" s="123"/>
      <c r="Z21" s="123"/>
      <c r="AA21" s="52"/>
      <c r="AB21" s="45"/>
      <c r="AC21" s="44" t="s">
        <v>767</v>
      </c>
      <c r="AD21" s="124">
        <v>8</v>
      </c>
      <c r="AE21" s="131"/>
      <c r="AF21" s="131">
        <v>26</v>
      </c>
      <c r="AG21" s="131"/>
      <c r="AH21" s="126"/>
      <c r="AJ21" s="45"/>
      <c r="AS21" s="124" t="s">
        <v>767</v>
      </c>
      <c r="AT21" s="124">
        <v>8</v>
      </c>
      <c r="AU21" s="131">
        <v>26</v>
      </c>
      <c r="AV21" s="126">
        <v>26</v>
      </c>
      <c r="BC21" s="44"/>
    </row>
    <row r="22" spans="1:55">
      <c r="A22" s="44"/>
      <c r="C22" s="53" t="s">
        <v>201</v>
      </c>
      <c r="D22" s="123">
        <v>1</v>
      </c>
      <c r="E22" s="44"/>
      <c r="F22" s="45"/>
      <c r="G22" s="45"/>
      <c r="H22" s="58" t="s">
        <v>762</v>
      </c>
      <c r="I22" s="99">
        <v>25</v>
      </c>
      <c r="J22" s="133">
        <v>5</v>
      </c>
      <c r="K22" s="131">
        <v>5</v>
      </c>
      <c r="L22" s="131">
        <v>3</v>
      </c>
      <c r="M22" s="131">
        <v>1</v>
      </c>
      <c r="N22" s="131">
        <v>1</v>
      </c>
      <c r="O22" s="131">
        <v>2</v>
      </c>
      <c r="P22" s="131"/>
      <c r="Q22" s="131">
        <v>10</v>
      </c>
      <c r="R22" s="131">
        <v>1</v>
      </c>
      <c r="S22" s="126">
        <v>2</v>
      </c>
      <c r="T22" s="44"/>
      <c r="V22" s="53" t="s">
        <v>767</v>
      </c>
      <c r="W22" s="53">
        <v>6</v>
      </c>
      <c r="X22" s="123">
        <v>17</v>
      </c>
      <c r="Y22" s="123"/>
      <c r="Z22" s="123"/>
      <c r="AA22" s="52"/>
      <c r="AB22" s="45"/>
      <c r="AC22" s="44" t="s">
        <v>767</v>
      </c>
      <c r="AD22" s="124">
        <v>6</v>
      </c>
      <c r="AE22" s="131"/>
      <c r="AF22" s="131">
        <v>17</v>
      </c>
      <c r="AG22" s="131"/>
      <c r="AH22" s="126"/>
      <c r="AJ22" s="45"/>
      <c r="AS22" s="124" t="s">
        <v>767</v>
      </c>
      <c r="AT22" s="124">
        <v>6</v>
      </c>
      <c r="AU22" s="131">
        <v>17</v>
      </c>
      <c r="AV22" s="126">
        <v>17</v>
      </c>
      <c r="BC22" s="44"/>
    </row>
    <row r="23" spans="1:55">
      <c r="A23" s="44"/>
      <c r="C23" s="53" t="s">
        <v>325</v>
      </c>
      <c r="D23" s="123">
        <v>5</v>
      </c>
      <c r="E23" s="44"/>
      <c r="F23" s="45"/>
      <c r="G23" s="45"/>
      <c r="H23" s="58" t="s">
        <v>762</v>
      </c>
      <c r="I23" s="99">
        <v>26</v>
      </c>
      <c r="J23" s="133">
        <v>1</v>
      </c>
      <c r="K23" s="131">
        <v>8</v>
      </c>
      <c r="L23" s="131">
        <v>1</v>
      </c>
      <c r="M23" s="131">
        <v>3</v>
      </c>
      <c r="N23" s="131">
        <v>2</v>
      </c>
      <c r="O23" s="131">
        <v>3</v>
      </c>
      <c r="P23" s="131"/>
      <c r="Q23" s="131">
        <v>4</v>
      </c>
      <c r="R23" s="131">
        <v>1</v>
      </c>
      <c r="S23" s="126"/>
      <c r="T23" s="44"/>
      <c r="V23" s="53" t="s">
        <v>767</v>
      </c>
      <c r="W23" s="53">
        <v>9</v>
      </c>
      <c r="X23" s="123">
        <v>29</v>
      </c>
      <c r="Y23" s="123"/>
      <c r="Z23" s="123"/>
      <c r="AA23" s="52"/>
      <c r="AB23" s="45"/>
      <c r="AC23" s="44" t="s">
        <v>767</v>
      </c>
      <c r="AD23" s="124">
        <v>9</v>
      </c>
      <c r="AE23" s="131"/>
      <c r="AF23" s="131">
        <v>29</v>
      </c>
      <c r="AG23" s="131"/>
      <c r="AH23" s="126"/>
      <c r="AJ23" s="45"/>
      <c r="AS23" s="124" t="s">
        <v>767</v>
      </c>
      <c r="AT23" s="124">
        <v>9</v>
      </c>
      <c r="AU23" s="131">
        <v>29</v>
      </c>
      <c r="AV23" s="126">
        <v>29</v>
      </c>
      <c r="BC23" s="44"/>
    </row>
    <row r="24" spans="1:55">
      <c r="A24" s="44"/>
      <c r="E24" s="44"/>
      <c r="F24" s="45"/>
      <c r="G24" s="45"/>
      <c r="H24" s="58" t="s">
        <v>762</v>
      </c>
      <c r="I24" s="132">
        <v>27</v>
      </c>
      <c r="J24" s="133">
        <v>5</v>
      </c>
      <c r="K24" s="131">
        <v>2</v>
      </c>
      <c r="L24" s="131"/>
      <c r="M24" s="131">
        <v>2</v>
      </c>
      <c r="N24" s="131"/>
      <c r="O24" s="131">
        <v>2</v>
      </c>
      <c r="P24" s="131"/>
      <c r="Q24" s="131">
        <v>9</v>
      </c>
      <c r="R24" s="131">
        <v>1</v>
      </c>
      <c r="S24" s="126"/>
      <c r="T24" s="44"/>
      <c r="V24" s="53" t="s">
        <v>768</v>
      </c>
      <c r="W24" s="53">
        <v>10</v>
      </c>
      <c r="X24" s="123">
        <v>21</v>
      </c>
      <c r="Y24" s="123"/>
      <c r="Z24" s="123"/>
      <c r="AA24" s="52"/>
      <c r="AB24" s="45"/>
      <c r="AC24" s="44" t="s">
        <v>768</v>
      </c>
      <c r="AD24" s="124">
        <v>10</v>
      </c>
      <c r="AE24" s="131"/>
      <c r="AF24" s="131">
        <v>21</v>
      </c>
      <c r="AG24" s="131"/>
      <c r="AH24" s="126"/>
      <c r="AJ24" s="45"/>
      <c r="AS24" s="124" t="s">
        <v>768</v>
      </c>
      <c r="AT24" s="124">
        <v>10</v>
      </c>
      <c r="AU24" s="131">
        <v>21</v>
      </c>
      <c r="AV24" s="126">
        <v>21</v>
      </c>
      <c r="BC24" s="44"/>
    </row>
    <row r="25" spans="1:55">
      <c r="A25" s="44"/>
      <c r="E25" s="44"/>
      <c r="F25" s="45"/>
      <c r="G25" s="45"/>
      <c r="H25" s="58" t="s">
        <v>762</v>
      </c>
      <c r="I25" s="132">
        <v>23</v>
      </c>
      <c r="J25" s="133">
        <v>4</v>
      </c>
      <c r="K25" s="131">
        <v>2</v>
      </c>
      <c r="L25" s="131"/>
      <c r="M25" s="131">
        <v>2</v>
      </c>
      <c r="N25" s="131"/>
      <c r="O25" s="131">
        <v>3</v>
      </c>
      <c r="P25" s="131"/>
      <c r="Q25" s="131">
        <v>11</v>
      </c>
      <c r="R25" s="131"/>
      <c r="S25" s="126">
        <v>1</v>
      </c>
      <c r="T25" s="44"/>
      <c r="V25" s="53" t="s">
        <v>768</v>
      </c>
      <c r="W25" s="53">
        <v>13</v>
      </c>
      <c r="X25" s="123">
        <v>25</v>
      </c>
      <c r="Y25" s="123"/>
      <c r="Z25" s="123"/>
      <c r="AA25" s="52"/>
      <c r="AB25" s="45"/>
      <c r="AC25" s="44" t="s">
        <v>768</v>
      </c>
      <c r="AD25" s="124">
        <v>13</v>
      </c>
      <c r="AE25" s="131"/>
      <c r="AF25" s="131">
        <v>25</v>
      </c>
      <c r="AG25" s="131"/>
      <c r="AH25" s="126"/>
      <c r="AJ25" s="45"/>
      <c r="AS25" s="124" t="s">
        <v>768</v>
      </c>
      <c r="AT25" s="124">
        <v>13</v>
      </c>
      <c r="AU25" s="131">
        <v>25</v>
      </c>
      <c r="AV25" s="126">
        <v>25</v>
      </c>
      <c r="BC25" s="44"/>
    </row>
    <row r="26" spans="1:55">
      <c r="A26" s="44"/>
      <c r="E26" s="44"/>
      <c r="F26" s="45"/>
      <c r="G26" s="45"/>
      <c r="H26" s="58" t="s">
        <v>763</v>
      </c>
      <c r="I26" s="132">
        <v>27</v>
      </c>
      <c r="J26" s="133">
        <v>7</v>
      </c>
      <c r="K26" s="131">
        <v>3</v>
      </c>
      <c r="L26" s="131"/>
      <c r="M26" s="131"/>
      <c r="N26" s="131">
        <v>1</v>
      </c>
      <c r="O26" s="131">
        <v>1</v>
      </c>
      <c r="P26" s="131"/>
      <c r="Q26" s="131">
        <v>2</v>
      </c>
      <c r="R26" s="131"/>
      <c r="S26" s="126">
        <v>1</v>
      </c>
      <c r="T26" s="44"/>
      <c r="V26" s="53" t="s">
        <v>768</v>
      </c>
      <c r="W26" s="53">
        <v>11</v>
      </c>
      <c r="X26" s="123">
        <v>36</v>
      </c>
      <c r="Y26" s="123"/>
      <c r="Z26" s="123"/>
      <c r="AA26" s="52"/>
      <c r="AB26" s="45"/>
      <c r="AC26" s="44" t="s">
        <v>768</v>
      </c>
      <c r="AD26" s="124">
        <v>11</v>
      </c>
      <c r="AE26" s="131"/>
      <c r="AF26" s="131">
        <v>36</v>
      </c>
      <c r="AG26" s="131"/>
      <c r="AH26" s="126"/>
      <c r="AJ26" s="45"/>
      <c r="AS26" s="124" t="s">
        <v>768</v>
      </c>
      <c r="AT26" s="124">
        <v>11</v>
      </c>
      <c r="AU26" s="131">
        <v>36</v>
      </c>
      <c r="AV26" s="126">
        <v>36</v>
      </c>
      <c r="BC26" s="44"/>
    </row>
    <row r="27" spans="1:55">
      <c r="A27" s="44"/>
      <c r="E27" s="44"/>
      <c r="F27" s="45"/>
      <c r="G27" s="45"/>
      <c r="H27" s="58" t="s">
        <v>763</v>
      </c>
      <c r="I27" s="132">
        <v>28</v>
      </c>
      <c r="J27" s="133">
        <v>6</v>
      </c>
      <c r="K27" s="131">
        <v>4</v>
      </c>
      <c r="L27" s="131"/>
      <c r="M27" s="131">
        <v>2</v>
      </c>
      <c r="N27" s="131">
        <v>2</v>
      </c>
      <c r="O27" s="131">
        <v>4</v>
      </c>
      <c r="P27" s="131"/>
      <c r="Q27" s="131">
        <v>11</v>
      </c>
      <c r="R27" s="131">
        <v>2</v>
      </c>
      <c r="S27" s="126">
        <v>1</v>
      </c>
      <c r="T27" s="44"/>
      <c r="V27" s="53" t="s">
        <v>768</v>
      </c>
      <c r="W27" s="53">
        <v>12</v>
      </c>
      <c r="X27" s="123">
        <v>34</v>
      </c>
      <c r="Y27" s="123"/>
      <c r="Z27" s="123"/>
      <c r="AA27" s="52"/>
      <c r="AB27" s="45"/>
      <c r="AC27" s="44" t="s">
        <v>768</v>
      </c>
      <c r="AD27" s="124">
        <v>12</v>
      </c>
      <c r="AE27" s="131"/>
      <c r="AF27" s="131">
        <v>34</v>
      </c>
      <c r="AG27" s="131"/>
      <c r="AH27" s="126"/>
      <c r="AJ27" s="45"/>
      <c r="AS27" s="124" t="s">
        <v>768</v>
      </c>
      <c r="AT27" s="124">
        <v>12</v>
      </c>
      <c r="AU27" s="131">
        <v>34</v>
      </c>
      <c r="AV27" s="126">
        <v>34</v>
      </c>
      <c r="BC27" s="44"/>
    </row>
    <row r="28" spans="1:55">
      <c r="A28" s="44"/>
      <c r="E28" s="44"/>
      <c r="F28" s="45"/>
      <c r="G28" s="45"/>
      <c r="H28" s="58" t="s">
        <v>764</v>
      </c>
      <c r="I28" s="132">
        <v>2</v>
      </c>
      <c r="J28" s="133">
        <v>10</v>
      </c>
      <c r="K28" s="131">
        <v>3</v>
      </c>
      <c r="L28" s="131">
        <v>1</v>
      </c>
      <c r="M28" s="131"/>
      <c r="N28" s="131"/>
      <c r="O28" s="131">
        <v>1</v>
      </c>
      <c r="P28" s="131"/>
      <c r="Q28" s="131">
        <v>5</v>
      </c>
      <c r="R28" s="131"/>
      <c r="S28" s="126"/>
      <c r="T28" s="44"/>
      <c r="V28" s="53" t="s">
        <v>768</v>
      </c>
      <c r="W28" s="53">
        <v>14</v>
      </c>
      <c r="X28" s="123">
        <v>10</v>
      </c>
      <c r="Y28" s="123"/>
      <c r="Z28" s="123"/>
      <c r="AA28" s="52"/>
      <c r="AB28" s="45"/>
      <c r="AC28" s="44" t="s">
        <v>768</v>
      </c>
      <c r="AD28" s="124">
        <v>14</v>
      </c>
      <c r="AE28" s="131"/>
      <c r="AF28" s="131">
        <v>10</v>
      </c>
      <c r="AG28" s="131"/>
      <c r="AH28" s="126"/>
      <c r="AJ28" s="45"/>
      <c r="AS28" s="124" t="s">
        <v>768</v>
      </c>
      <c r="AT28" s="124">
        <v>14</v>
      </c>
      <c r="AU28" s="131">
        <v>10</v>
      </c>
      <c r="AV28" s="126">
        <v>10</v>
      </c>
      <c r="BC28" s="44"/>
    </row>
    <row r="29" spans="1:55">
      <c r="A29" s="44"/>
      <c r="E29" s="44"/>
      <c r="F29" s="45"/>
      <c r="G29" s="45"/>
      <c r="H29" s="58" t="s">
        <v>764</v>
      </c>
      <c r="I29" s="132">
        <v>3</v>
      </c>
      <c r="J29" s="133">
        <v>10</v>
      </c>
      <c r="K29" s="131">
        <v>2</v>
      </c>
      <c r="L29" s="131">
        <v>3</v>
      </c>
      <c r="M29" s="131"/>
      <c r="N29" s="131"/>
      <c r="O29" s="131">
        <v>3</v>
      </c>
      <c r="P29" s="131"/>
      <c r="Q29" s="131">
        <v>3</v>
      </c>
      <c r="R29" s="131">
        <v>1</v>
      </c>
      <c r="S29" s="126"/>
      <c r="T29" s="44"/>
      <c r="V29" s="53" t="s">
        <v>769</v>
      </c>
      <c r="W29" s="53">
        <v>17</v>
      </c>
      <c r="X29" s="123">
        <v>21</v>
      </c>
      <c r="Y29" s="123"/>
      <c r="Z29" s="123"/>
      <c r="AA29" s="52"/>
      <c r="AB29" s="45"/>
      <c r="AC29" s="44" t="s">
        <v>769</v>
      </c>
      <c r="AD29" s="124">
        <v>17</v>
      </c>
      <c r="AE29" s="131"/>
      <c r="AF29" s="131">
        <v>21</v>
      </c>
      <c r="AG29" s="131"/>
      <c r="AH29" s="126"/>
      <c r="AJ29" s="45"/>
      <c r="AS29" s="124" t="s">
        <v>769</v>
      </c>
      <c r="AT29" s="124">
        <v>17</v>
      </c>
      <c r="AU29" s="131">
        <v>21</v>
      </c>
      <c r="AV29" s="126">
        <v>21</v>
      </c>
      <c r="BC29" s="44"/>
    </row>
    <row r="30" spans="1:55">
      <c r="A30" s="44"/>
      <c r="E30" s="44"/>
      <c r="F30" s="45"/>
      <c r="G30" s="45"/>
      <c r="H30" s="58" t="s">
        <v>764</v>
      </c>
      <c r="I30" s="132">
        <v>4</v>
      </c>
      <c r="J30" s="133">
        <v>4</v>
      </c>
      <c r="K30" s="131">
        <v>1</v>
      </c>
      <c r="L30" s="131">
        <v>1</v>
      </c>
      <c r="M30" s="131">
        <v>5</v>
      </c>
      <c r="N30" s="131"/>
      <c r="O30" s="131">
        <v>1</v>
      </c>
      <c r="P30" s="131"/>
      <c r="Q30" s="131">
        <v>9</v>
      </c>
      <c r="R30" s="131">
        <v>4</v>
      </c>
      <c r="S30" s="126">
        <v>1</v>
      </c>
      <c r="T30" s="44"/>
      <c r="V30" s="53" t="s">
        <v>769</v>
      </c>
      <c r="W30" s="53">
        <v>14</v>
      </c>
      <c r="X30" s="123">
        <v>11</v>
      </c>
      <c r="Y30" s="123"/>
      <c r="Z30" s="123"/>
      <c r="AA30" s="52"/>
      <c r="AB30" s="45"/>
      <c r="AC30" s="44" t="s">
        <v>769</v>
      </c>
      <c r="AD30" s="124">
        <v>14</v>
      </c>
      <c r="AE30" s="131"/>
      <c r="AF30" s="131">
        <v>11</v>
      </c>
      <c r="AG30" s="131"/>
      <c r="AH30" s="126"/>
      <c r="AJ30" s="45"/>
      <c r="AS30" s="124" t="s">
        <v>769</v>
      </c>
      <c r="AT30" s="124">
        <v>14</v>
      </c>
      <c r="AU30" s="131">
        <v>11</v>
      </c>
      <c r="AV30" s="126">
        <v>11</v>
      </c>
      <c r="BC30" s="44"/>
    </row>
    <row r="31" spans="1:55">
      <c r="A31" s="44"/>
      <c r="E31" s="44"/>
      <c r="F31" s="45"/>
      <c r="G31" s="45"/>
      <c r="H31" s="58" t="s">
        <v>764</v>
      </c>
      <c r="I31" s="132">
        <v>5</v>
      </c>
      <c r="J31" s="133">
        <v>11</v>
      </c>
      <c r="K31" s="131">
        <v>3</v>
      </c>
      <c r="L31" s="131">
        <v>1</v>
      </c>
      <c r="M31" s="131">
        <v>1</v>
      </c>
      <c r="N31" s="131"/>
      <c r="O31" s="131">
        <v>1</v>
      </c>
      <c r="P31" s="131"/>
      <c r="Q31" s="131">
        <v>5</v>
      </c>
      <c r="R31" s="131"/>
      <c r="S31" s="126">
        <v>5</v>
      </c>
      <c r="T31" s="44"/>
      <c r="V31" s="53" t="s">
        <v>769</v>
      </c>
      <c r="W31" s="53">
        <v>15</v>
      </c>
      <c r="X31" s="123">
        <v>12</v>
      </c>
      <c r="Y31" s="123"/>
      <c r="Z31" s="123"/>
      <c r="AA31" s="52"/>
      <c r="AB31" s="45"/>
      <c r="AC31" s="44" t="s">
        <v>769</v>
      </c>
      <c r="AD31" s="124">
        <v>15</v>
      </c>
      <c r="AE31" s="131"/>
      <c r="AF31" s="131">
        <v>12</v>
      </c>
      <c r="AG31" s="131"/>
      <c r="AH31" s="126"/>
      <c r="AJ31" s="45"/>
      <c r="AS31" s="124" t="s">
        <v>769</v>
      </c>
      <c r="AT31" s="124">
        <v>15</v>
      </c>
      <c r="AU31" s="131">
        <v>12</v>
      </c>
      <c r="AV31" s="126">
        <v>12</v>
      </c>
      <c r="BC31" s="44"/>
    </row>
    <row r="32" spans="1:55">
      <c r="A32" s="44"/>
      <c r="E32" s="44"/>
      <c r="F32" s="45"/>
      <c r="G32" s="45"/>
      <c r="H32" s="58" t="s">
        <v>767</v>
      </c>
      <c r="I32" s="132">
        <v>7</v>
      </c>
      <c r="J32" s="133">
        <v>8</v>
      </c>
      <c r="K32" s="131">
        <v>2</v>
      </c>
      <c r="L32" s="131">
        <v>1</v>
      </c>
      <c r="M32" s="131">
        <v>1</v>
      </c>
      <c r="N32" s="131"/>
      <c r="O32" s="131">
        <v>7</v>
      </c>
      <c r="P32" s="131"/>
      <c r="Q32" s="131">
        <v>5</v>
      </c>
      <c r="R32" s="131"/>
      <c r="S32" s="126">
        <v>1</v>
      </c>
      <c r="T32" s="44"/>
      <c r="V32" s="53" t="s">
        <v>769</v>
      </c>
      <c r="W32" s="53">
        <v>18</v>
      </c>
      <c r="X32" s="123">
        <v>15</v>
      </c>
      <c r="Y32" s="123"/>
      <c r="Z32" s="123"/>
      <c r="AA32" s="52"/>
      <c r="AB32" s="45"/>
      <c r="AC32" s="44" t="s">
        <v>769</v>
      </c>
      <c r="AD32" s="124">
        <v>18</v>
      </c>
      <c r="AE32" s="131"/>
      <c r="AF32" s="131">
        <v>15</v>
      </c>
      <c r="AG32" s="131"/>
      <c r="AH32" s="126"/>
      <c r="AJ32" s="45"/>
      <c r="AS32" s="124" t="s">
        <v>769</v>
      </c>
      <c r="AT32" s="124">
        <v>18</v>
      </c>
      <c r="AU32" s="131">
        <v>15</v>
      </c>
      <c r="AV32" s="126">
        <v>15</v>
      </c>
      <c r="BC32" s="44"/>
    </row>
    <row r="33" spans="3:55">
      <c r="H33" s="58" t="s">
        <v>767</v>
      </c>
      <c r="I33" s="132">
        <v>8</v>
      </c>
      <c r="J33" s="133">
        <v>7</v>
      </c>
      <c r="K33" s="131">
        <v>4</v>
      </c>
      <c r="L33" s="131">
        <v>3</v>
      </c>
      <c r="M33" s="131">
        <v>1</v>
      </c>
      <c r="N33" s="131"/>
      <c r="O33" s="131">
        <v>2</v>
      </c>
      <c r="P33" s="131"/>
      <c r="Q33" s="131">
        <v>7</v>
      </c>
      <c r="R33" s="131"/>
      <c r="S33" s="126">
        <v>2</v>
      </c>
      <c r="AS33" s="124" t="s">
        <v>758</v>
      </c>
      <c r="AT33" s="44"/>
      <c r="AU33" s="131">
        <v>659</v>
      </c>
      <c r="AV33" s="126">
        <v>659</v>
      </c>
      <c r="BC33" s="44"/>
    </row>
    <row r="34" spans="3:55">
      <c r="H34" s="58" t="s">
        <v>767</v>
      </c>
      <c r="I34" s="132">
        <v>6</v>
      </c>
      <c r="J34" s="133">
        <v>5</v>
      </c>
      <c r="K34" s="131">
        <v>2</v>
      </c>
      <c r="L34" s="131">
        <v>2</v>
      </c>
      <c r="M34" s="131"/>
      <c r="N34" s="131"/>
      <c r="O34" s="131">
        <v>2</v>
      </c>
      <c r="P34" s="131"/>
      <c r="Q34" s="131">
        <v>5</v>
      </c>
      <c r="R34" s="131"/>
      <c r="S34" s="126">
        <v>1</v>
      </c>
    </row>
    <row r="35" spans="3:55">
      <c r="C35" s="43" t="s">
        <v>744</v>
      </c>
      <c r="H35" s="58" t="s">
        <v>767</v>
      </c>
      <c r="I35" s="132">
        <v>9</v>
      </c>
      <c r="J35" s="133">
        <v>19</v>
      </c>
      <c r="K35" s="131">
        <v>1</v>
      </c>
      <c r="L35" s="131">
        <v>1</v>
      </c>
      <c r="M35" s="131"/>
      <c r="N35" s="131"/>
      <c r="O35" s="131">
        <v>2</v>
      </c>
      <c r="P35" s="131"/>
      <c r="Q35" s="131">
        <v>6</v>
      </c>
      <c r="R35" s="131"/>
      <c r="S35" s="126"/>
    </row>
    <row r="36" spans="3:55">
      <c r="C36" s="53" t="s">
        <v>191</v>
      </c>
      <c r="H36" s="58" t="s">
        <v>768</v>
      </c>
      <c r="I36" s="132">
        <v>10</v>
      </c>
      <c r="J36" s="133">
        <v>8</v>
      </c>
      <c r="K36" s="131">
        <v>1</v>
      </c>
      <c r="L36" s="131">
        <v>7</v>
      </c>
      <c r="M36" s="131"/>
      <c r="N36" s="131"/>
      <c r="O36" s="131">
        <v>4</v>
      </c>
      <c r="P36" s="131"/>
      <c r="Q36" s="131">
        <v>1</v>
      </c>
      <c r="R36" s="131"/>
      <c r="S36" s="126"/>
    </row>
    <row r="37" spans="3:55">
      <c r="C37" s="53" t="s">
        <v>182</v>
      </c>
      <c r="H37" s="58" t="s">
        <v>768</v>
      </c>
      <c r="I37" s="132">
        <v>13</v>
      </c>
      <c r="J37" s="133">
        <v>15</v>
      </c>
      <c r="K37" s="131">
        <v>2</v>
      </c>
      <c r="L37" s="131">
        <v>1</v>
      </c>
      <c r="M37" s="131"/>
      <c r="N37" s="131"/>
      <c r="O37" s="131">
        <v>2</v>
      </c>
      <c r="P37" s="131"/>
      <c r="Q37" s="131">
        <v>5</v>
      </c>
      <c r="R37" s="131"/>
      <c r="S37" s="126"/>
    </row>
    <row r="38" spans="3:55">
      <c r="C38" s="53" t="s">
        <v>64</v>
      </c>
      <c r="H38" s="58" t="s">
        <v>768</v>
      </c>
      <c r="I38" s="132">
        <v>11</v>
      </c>
      <c r="J38" s="133">
        <v>12</v>
      </c>
      <c r="K38" s="131">
        <v>9</v>
      </c>
      <c r="L38" s="131">
        <v>2</v>
      </c>
      <c r="M38" s="131"/>
      <c r="N38" s="131"/>
      <c r="O38" s="131">
        <v>3</v>
      </c>
      <c r="P38" s="131"/>
      <c r="Q38" s="131">
        <v>10</v>
      </c>
      <c r="R38" s="131"/>
      <c r="S38" s="126"/>
    </row>
    <row r="39" spans="3:55">
      <c r="C39" s="53" t="s">
        <v>436</v>
      </c>
      <c r="H39" s="58" t="s">
        <v>768</v>
      </c>
      <c r="I39" s="132">
        <v>12</v>
      </c>
      <c r="J39" s="133">
        <v>22</v>
      </c>
      <c r="K39" s="131">
        <v>2</v>
      </c>
      <c r="L39" s="131"/>
      <c r="M39" s="131">
        <v>1</v>
      </c>
      <c r="N39" s="131"/>
      <c r="O39" s="131">
        <v>2</v>
      </c>
      <c r="P39" s="131"/>
      <c r="Q39" s="131">
        <v>3</v>
      </c>
      <c r="R39" s="131"/>
      <c r="S39" s="126">
        <v>4</v>
      </c>
    </row>
    <row r="40" spans="3:55">
      <c r="C40" s="53" t="s">
        <v>440</v>
      </c>
      <c r="H40" s="58" t="s">
        <v>768</v>
      </c>
      <c r="I40" s="132">
        <v>14</v>
      </c>
      <c r="J40" s="133">
        <v>3</v>
      </c>
      <c r="K40" s="131">
        <v>3</v>
      </c>
      <c r="L40" s="131"/>
      <c r="M40" s="131"/>
      <c r="N40" s="131"/>
      <c r="O40" s="131">
        <v>3</v>
      </c>
      <c r="P40" s="131"/>
      <c r="Q40" s="131">
        <v>1</v>
      </c>
      <c r="R40" s="131"/>
      <c r="S40" s="126"/>
    </row>
    <row r="41" spans="3:55">
      <c r="C41" s="53" t="s">
        <v>479</v>
      </c>
      <c r="H41" s="58" t="s">
        <v>769</v>
      </c>
      <c r="I41" s="132">
        <v>17</v>
      </c>
      <c r="J41" s="133">
        <v>5</v>
      </c>
      <c r="K41" s="131">
        <v>1</v>
      </c>
      <c r="L41" s="131">
        <v>2</v>
      </c>
      <c r="M41" s="131"/>
      <c r="N41" s="131"/>
      <c r="O41" s="131">
        <v>2</v>
      </c>
      <c r="P41" s="131"/>
      <c r="Q41" s="131">
        <v>10</v>
      </c>
      <c r="R41" s="131">
        <v>1</v>
      </c>
      <c r="S41" s="126"/>
    </row>
    <row r="42" spans="3:55">
      <c r="C42" s="53" t="s">
        <v>758</v>
      </c>
      <c r="H42" s="58" t="s">
        <v>769</v>
      </c>
      <c r="I42" s="132">
        <v>14</v>
      </c>
      <c r="J42" s="133">
        <v>7</v>
      </c>
      <c r="K42" s="131">
        <v>1</v>
      </c>
      <c r="L42" s="131"/>
      <c r="M42" s="131"/>
      <c r="N42" s="131"/>
      <c r="O42" s="131">
        <v>1</v>
      </c>
      <c r="P42" s="131"/>
      <c r="Q42" s="131">
        <v>2</v>
      </c>
      <c r="R42" s="131"/>
      <c r="S42" s="126"/>
    </row>
    <row r="43" spans="3:55">
      <c r="H43" s="58" t="s">
        <v>769</v>
      </c>
      <c r="I43" s="132">
        <v>15</v>
      </c>
      <c r="J43" s="133">
        <v>3</v>
      </c>
      <c r="K43" s="131">
        <v>6</v>
      </c>
      <c r="L43" s="131"/>
      <c r="M43" s="131"/>
      <c r="N43" s="131"/>
      <c r="O43" s="131"/>
      <c r="P43" s="131"/>
      <c r="Q43" s="131">
        <v>3</v>
      </c>
      <c r="R43" s="131"/>
      <c r="S43" s="126"/>
    </row>
    <row r="44" spans="3:55">
      <c r="H44" s="58" t="s">
        <v>769</v>
      </c>
      <c r="I44" s="132">
        <v>18</v>
      </c>
      <c r="J44" s="133">
        <v>1</v>
      </c>
      <c r="K44" s="131"/>
      <c r="L44" s="131"/>
      <c r="M44" s="131">
        <v>1</v>
      </c>
      <c r="N44" s="131"/>
      <c r="O44" s="131">
        <v>5</v>
      </c>
      <c r="P44" s="131"/>
      <c r="Q44" s="131">
        <v>8</v>
      </c>
      <c r="R44" s="131"/>
      <c r="S44" s="126"/>
    </row>
  </sheetData>
  <pageMargins left="0.7" right="0.7" top="0.75" bottom="0.75" header="0.3" footer="0.3"/>
  <pageSetup paperSize="9" orientation="portrait" verticalDpi="0" r:id="rId1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55356-767F-4986-8B5E-5ABBEED487BF}">
  <dimension ref="D9:H290"/>
  <sheetViews>
    <sheetView workbookViewId="0">
      <selection activeCell="G44" sqref="G44"/>
    </sheetView>
  </sheetViews>
  <sheetFormatPr defaultRowHeight="10.5"/>
  <cols>
    <col min="4" max="4" width="19" bestFit="1" customWidth="1"/>
    <col min="5" max="5" width="14.5" bestFit="1" customWidth="1"/>
    <col min="7" max="7" width="34" bestFit="1" customWidth="1"/>
    <col min="8" max="8" width="15.5" bestFit="1" customWidth="1"/>
  </cols>
  <sheetData>
    <row r="9" spans="4:8" ht="18.600000000000001">
      <c r="D9" s="77" t="s">
        <v>27</v>
      </c>
      <c r="E9" s="77" t="s">
        <v>770</v>
      </c>
      <c r="G9" s="90" t="s">
        <v>771</v>
      </c>
      <c r="H9" s="91" t="s">
        <v>770</v>
      </c>
    </row>
    <row r="10" spans="4:8" ht="18.600000000000001">
      <c r="D10" s="75" t="s">
        <v>182</v>
      </c>
      <c r="E10" s="77">
        <f>COUNTIF(Schedule2026!G13:G1232, D10)</f>
        <v>133</v>
      </c>
      <c r="G10" s="90" t="s">
        <v>772</v>
      </c>
      <c r="H10" s="90">
        <f>COUNTIF(Schedule2026!F13:F1204, G10)</f>
        <v>0</v>
      </c>
    </row>
    <row r="11" spans="4:8" ht="18.600000000000001">
      <c r="D11" s="76" t="s">
        <v>479</v>
      </c>
      <c r="E11" s="77">
        <f>COUNTIF(Schedule2026!G13:G1232, D11)</f>
        <v>75</v>
      </c>
      <c r="G11" s="90" t="s">
        <v>149</v>
      </c>
      <c r="H11" s="90">
        <f>COUNTIF(Schedule2026!F13:F1218, G11)</f>
        <v>14</v>
      </c>
    </row>
    <row r="12" spans="4:8" ht="18.600000000000001">
      <c r="D12" s="76" t="s">
        <v>191</v>
      </c>
      <c r="E12" s="77">
        <f>COUNTIF(Schedule2026!G24:G1232, D12)</f>
        <v>2</v>
      </c>
      <c r="G12" s="90" t="s">
        <v>470</v>
      </c>
      <c r="H12" s="90">
        <f>COUNTIF(Schedule2026!F13:F1219, G12)</f>
        <v>3</v>
      </c>
    </row>
    <row r="13" spans="4:8" ht="18.600000000000001">
      <c r="D13" s="76" t="s">
        <v>440</v>
      </c>
      <c r="E13" s="77">
        <f>COUNTIF(Schedule2026!G13:G1232, D13)</f>
        <v>81</v>
      </c>
      <c r="G13" s="90" t="s">
        <v>773</v>
      </c>
      <c r="H13" s="90">
        <f>COUNTIF(Schedule2026!F13:F1220, G13)</f>
        <v>0</v>
      </c>
    </row>
    <row r="14" spans="4:8" ht="18.600000000000001">
      <c r="D14" s="94" t="s">
        <v>64</v>
      </c>
      <c r="E14" s="77">
        <f>COUNTIF(Schedule2026!G13:G1232, D14)</f>
        <v>220</v>
      </c>
      <c r="G14" s="90" t="s">
        <v>95</v>
      </c>
      <c r="H14" s="90">
        <f>COUNTIF(Schedule2026!F13:F1221, G14)</f>
        <v>128</v>
      </c>
    </row>
    <row r="15" spans="4:8" ht="18.600000000000001">
      <c r="D15" s="76" t="s">
        <v>774</v>
      </c>
      <c r="E15" s="77">
        <f>COUNTIF(Schedule2026!G24:G1232, D15)</f>
        <v>0</v>
      </c>
      <c r="G15" s="90" t="s">
        <v>329</v>
      </c>
      <c r="H15" s="90">
        <f>COUNTIF(Schedule2026!F13:F1222, G15)</f>
        <v>6</v>
      </c>
    </row>
    <row r="16" spans="4:8" ht="18.600000000000001">
      <c r="E16" s="77">
        <f>SUM(E10:E14)</f>
        <v>511</v>
      </c>
      <c r="G16" s="90" t="s">
        <v>114</v>
      </c>
      <c r="H16" s="90">
        <f>COUNTIF(Schedule2026!F13:F1223, G16)</f>
        <v>22</v>
      </c>
    </row>
    <row r="17" spans="7:8" ht="18.600000000000001">
      <c r="G17" s="90" t="s">
        <v>66</v>
      </c>
      <c r="H17" s="90">
        <f>COUNTIF(Schedule2026!F13:F1224, G17)</f>
        <v>102</v>
      </c>
    </row>
    <row r="18" spans="7:8" ht="18.600000000000001">
      <c r="G18" s="90" t="s">
        <v>407</v>
      </c>
      <c r="H18" s="90">
        <f>COUNTIF(Schedule2026!F13:F1225, G18)</f>
        <v>13</v>
      </c>
    </row>
    <row r="19" spans="7:8" ht="18.600000000000001">
      <c r="G19" s="90" t="s">
        <v>138</v>
      </c>
      <c r="H19" s="90">
        <f>COUNTIF(Schedule2026!F13:F1226, G19)</f>
        <v>19</v>
      </c>
    </row>
    <row r="20" spans="7:8" ht="18.600000000000001">
      <c r="G20" s="90" t="s">
        <v>63</v>
      </c>
      <c r="H20" s="90">
        <f>COUNTIF(Schedule2026!F13:F1227, G20)</f>
        <v>126</v>
      </c>
    </row>
    <row r="21" spans="7:8" ht="18.600000000000001">
      <c r="G21" s="90" t="s">
        <v>93</v>
      </c>
      <c r="H21" s="90">
        <f>COUNTIF(Schedule2026!F14:F1228, G21)</f>
        <v>30</v>
      </c>
    </row>
    <row r="290" spans="6:6">
      <c r="F290" s="82" t="s">
        <v>366</v>
      </c>
    </row>
  </sheetData>
  <conditionalFormatting sqref="D10:D12">
    <cfRule type="containsText" dxfId="13" priority="203" operator="containsText" text="Packaging PIC">
      <formula>NOT(ISERROR(SEARCH("Packaging PIC",D10)))</formula>
    </cfRule>
    <cfRule type="containsText" dxfId="12" priority="204" operator="containsText" text="All">
      <formula>NOT(ISERROR(SEARCH("All",D10)))</formula>
    </cfRule>
    <cfRule type="containsText" dxfId="11" priority="206" operator="containsText" text="Plastic PIC">
      <formula>NOT(ISERROR(SEARCH("Plastic PIC",D10)))</formula>
    </cfRule>
    <cfRule type="containsText" dxfId="10" priority="207" operator="containsText" text="Kumpon">
      <formula>NOT(ISERROR(SEARCH("Kumpon",D10)))</formula>
    </cfRule>
    <cfRule type="containsText" dxfId="9" priority="208" operator="containsText" text="Cable PIC">
      <formula>NOT(ISERROR(SEARCH("Cable PIC",D10)))</formula>
    </cfRule>
    <cfRule type="containsText" dxfId="8" priority="209" operator="containsText" text="Bunnarak">
      <formula>NOT(ISERROR(SEARCH("Bunnarak",D10)))</formula>
    </cfRule>
  </conditionalFormatting>
  <conditionalFormatting sqref="D10:D12">
    <cfRule type="cellIs" dxfId="7" priority="205" operator="equal">
      <formula>0</formula>
    </cfRule>
  </conditionalFormatting>
  <conditionalFormatting sqref="D13:D15">
    <cfRule type="containsText" dxfId="6" priority="1" operator="containsText" text="Kamonchanok">
      <formula>NOT(ISERROR(SEARCH("Kamonchanok",D13)))</formula>
    </cfRule>
    <cfRule type="containsText" dxfId="5" priority="2" operator="containsText" text="All">
      <formula>NOT(ISERROR(SEARCH("All",D13)))</formula>
    </cfRule>
    <cfRule type="containsText" dxfId="4" priority="4" operator="containsText" text="Plastic PIC">
      <formula>NOT(ISERROR(SEARCH("Plastic PIC",D13)))</formula>
    </cfRule>
    <cfRule type="containsText" dxfId="3" priority="5" operator="containsText" text="Kumpon">
      <formula>NOT(ISERROR(SEARCH("Kumpon",D13)))</formula>
    </cfRule>
    <cfRule type="containsText" dxfId="2" priority="6" operator="containsText" text="Cable PIC">
      <formula>NOT(ISERROR(SEARCH("Cable PIC",D13)))</formula>
    </cfRule>
    <cfRule type="containsText" dxfId="1" priority="7" operator="containsText" text="Bunnarak">
      <formula>NOT(ISERROR(SEARCH("Bunnarak",D13)))</formula>
    </cfRule>
  </conditionalFormatting>
  <conditionalFormatting sqref="D13:D15">
    <cfRule type="cellIs" dxfId="0" priority="3" operator="equal">
      <formula>0</formula>
    </cfRule>
  </conditionalFormatting>
  <dataValidations count="1">
    <dataValidation type="list" allowBlank="1" showInputMessage="1" showErrorMessage="1" sqref="D10:D14" xr:uid="{D02EFD85-88CB-43A2-8804-5BE2EC37B9A6}">
      <formula1>Name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03453-D587-4694-B347-BBDDC88114A1}">
  <dimension ref="A1"/>
  <sheetViews>
    <sheetView workbookViewId="0">
      <selection activeCell="S18" sqref="S18"/>
    </sheetView>
  </sheetViews>
  <sheetFormatPr defaultRowHeight="10.5"/>
  <cols>
    <col min="6" max="6" width="11.83203125" customWidth="1"/>
  </cols>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807fc3b9-28ad-4492-a85a-e629bee55c6e" xsi:nil="true"/>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0F8F7066B2FA9D409F8BF5129F198549" ma:contentTypeVersion="10" ma:contentTypeDescription="Create a new document." ma:contentTypeScope="" ma:versionID="fe7976cf0da7035b646e4c9eb2df8a0c">
  <xsd:schema xmlns:xsd="http://www.w3.org/2001/XMLSchema" xmlns:xs="http://www.w3.org/2001/XMLSchema" xmlns:p="http://schemas.microsoft.com/office/2006/metadata/properties" xmlns:ns3="807fc3b9-28ad-4492-a85a-e629bee55c6e" targetNamespace="http://schemas.microsoft.com/office/2006/metadata/properties" ma:root="true" ma:fieldsID="19cd5d42841cc91b39b982a65a64f67e" ns3:_="">
    <xsd:import namespace="807fc3b9-28ad-4492-a85a-e629bee55c6e"/>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SystemTags" minOccurs="0"/>
                <xsd:element ref="ns3:MediaServiceGenerationTime" minOccurs="0"/>
                <xsd:element ref="ns3:MediaServiceEventHashCode" minOccurs="0"/>
                <xsd:element ref="ns3:MediaLengthInSecond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7fc3b9-28ad-4492-a85a-e629bee55c6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595FF0-E269-490B-8A89-26D149020FF3}"/>
</file>

<file path=customXml/itemProps2.xml><?xml version="1.0" encoding="utf-8"?>
<ds:datastoreItem xmlns:ds="http://schemas.openxmlformats.org/officeDocument/2006/customXml" ds:itemID="{F798505A-ABC9-44BA-80AE-8042E2C29E44}"/>
</file>

<file path=customXml/itemProps3.xml><?xml version="1.0" encoding="utf-8"?>
<ds:datastoreItem xmlns:ds="http://schemas.openxmlformats.org/officeDocument/2006/customXml" ds:itemID="{EEC570B7-B0D3-48CD-9FC1-D1606ED232EA}"/>
</file>

<file path=customXml/itemProps4.xml><?xml version="1.0" encoding="utf-8"?>
<ds:datastoreItem xmlns:ds="http://schemas.openxmlformats.org/officeDocument/2006/customXml" ds:itemID="{E8AF6BA2-FD46-4D24-B626-FF9AD819991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AMW Npi 07 Vanassanan</dc:creator>
  <cp:keywords/>
  <dc:description/>
  <cp:lastModifiedBy/>
  <cp:revision/>
  <dcterms:created xsi:type="dcterms:W3CDTF">2025-01-31T01:57:14Z</dcterms:created>
  <dcterms:modified xsi:type="dcterms:W3CDTF">2026-07-10T06:33:52Z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0x0101000F8F7066B2FA9D409F8BF5129F198549</vt:lpwstr>
  </property>
</Properties>
</file>